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MI ALBUM\HAPPYS\HIDRA\FORMATOS -HIDRA\"/>
    </mc:Choice>
  </mc:AlternateContent>
  <xr:revisionPtr revIDLastSave="0" documentId="13_ncr:1_{C1BB688B-5501-4FFB-A2B2-E29949DB1B30}" xr6:coauthVersionLast="47" xr6:coauthVersionMax="47" xr10:uidLastSave="{00000000-0000-0000-0000-000000000000}"/>
  <bookViews>
    <workbookView xWindow="1050" yWindow="-120" windowWidth="27870" windowHeight="16440" xr2:uid="{00000000-000D-0000-FFFF-FFFF00000000}"/>
  </bookViews>
  <sheets>
    <sheet name="RECETAS" sheetId="1" r:id="rId1"/>
    <sheet name="MATERIALES" sheetId="2" r:id="rId2"/>
    <sheet name="CODIGO MAT" sheetId="4" r:id="rId3"/>
    <sheet name="COSTOS DE CONFECCION" sheetId="3" r:id="rId4"/>
  </sheets>
  <externalReferences>
    <externalReference r:id="rId5"/>
    <externalReference r:id="rId6"/>
  </externalReferences>
  <definedNames>
    <definedName name="abc">#REF!</definedName>
    <definedName name="Beneficio_Porcent">#REF!</definedName>
    <definedName name="categoria">#REF!</definedName>
    <definedName name="Categoria_Personal">#REF!</definedName>
    <definedName name="ce_CodigoImagen">#REF!</definedName>
    <definedName name="Celular">#REF!</definedName>
    <definedName name="Clientes">#REF!</definedName>
    <definedName name="Cost_TotalGastos">'[1]Hoja de Costos'!$D$85</definedName>
    <definedName name="Costo_Mat">#REF!</definedName>
    <definedName name="Costo_MO">#REF!</definedName>
    <definedName name="Costo_Reprocesos">#REF!</definedName>
    <definedName name="Costo_Servicios">#REF!</definedName>
    <definedName name="Costo_Suministros">#REF!</definedName>
    <definedName name="CostoTotal">#REF!</definedName>
    <definedName name="Depreciacion_Total">#REF!</definedName>
    <definedName name="descripcion">#REF!</definedName>
    <definedName name="Destino">#REF!</definedName>
    <definedName name="DiasMes">#REF!</definedName>
    <definedName name="Direccion">#REF!</definedName>
    <definedName name="DNI">#REF!</definedName>
    <definedName name="ExcesoMat_Porcent">#REF!</definedName>
    <definedName name="Factor_Depreciacion">#REF!</definedName>
    <definedName name="fecha_venta">#REF!</definedName>
    <definedName name="Gasto_Depreciacion">#REF!</definedName>
    <definedName name="Gasto_Desarrollo">#REF!</definedName>
    <definedName name="Gasto_Financiero">#REF!</definedName>
    <definedName name="Gasto_ServiciosInd">#REF!</definedName>
    <definedName name="Gasto_Sueldos">#REF!</definedName>
    <definedName name="Gasto_SumHer">#REF!</definedName>
    <definedName name="HojaCostos_Codigo">'[1]Hoja de Costos'!$C$1</definedName>
    <definedName name="HorasJornada">#REF!</definedName>
    <definedName name="Item_Maquina">#REF!</definedName>
    <definedName name="MinHora">#REF!</definedName>
    <definedName name="Monto">#REF!</definedName>
    <definedName name="Monto_letras">#REF!</definedName>
    <definedName name="number_boleta">#REF!</definedName>
    <definedName name="PRODUCTO">#REF!</definedName>
    <definedName name="PrototipoMOD_Porcent">#REF!</definedName>
    <definedName name="ReprocesoMat_Porcent">#REF!</definedName>
    <definedName name="ReprocesoMO_Porcent">#REF!</definedName>
    <definedName name="T_MAQUINA_BORDADO">#REF!</definedName>
    <definedName name="Valor_Inicial">#REF!</definedName>
    <definedName name="Valor_Residual">#REF!</definedName>
    <definedName name="Vida_Uti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16" i="1" l="1"/>
  <c r="G620" i="2"/>
  <c r="G619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598" i="2"/>
  <c r="G599" i="2"/>
  <c r="G600" i="2"/>
  <c r="G601" i="2"/>
  <c r="G602" i="2"/>
  <c r="G603" i="2"/>
  <c r="G604" i="2"/>
  <c r="G597" i="2"/>
  <c r="G592" i="2"/>
  <c r="G593" i="2"/>
  <c r="G594" i="2"/>
  <c r="G595" i="2"/>
  <c r="G596" i="2"/>
  <c r="G589" i="2"/>
  <c r="G590" i="2"/>
  <c r="G591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H1842" i="1"/>
  <c r="H1828" i="1"/>
  <c r="H1812" i="1"/>
  <c r="G571" i="2"/>
  <c r="G572" i="2"/>
  <c r="G573" i="2"/>
  <c r="G563" i="2"/>
  <c r="G564" i="2"/>
  <c r="G565" i="2"/>
  <c r="G566" i="2"/>
  <c r="G567" i="2"/>
  <c r="G568" i="2"/>
  <c r="G569" i="2"/>
  <c r="G570" i="2"/>
  <c r="G560" i="2"/>
  <c r="G561" i="2"/>
  <c r="G562" i="2"/>
  <c r="G556" i="2"/>
  <c r="G557" i="2"/>
  <c r="G558" i="2"/>
  <c r="G559" i="2"/>
  <c r="G547" i="2"/>
  <c r="G548" i="2"/>
  <c r="G549" i="2"/>
  <c r="G550" i="2"/>
  <c r="G551" i="2"/>
  <c r="G552" i="2"/>
  <c r="G553" i="2"/>
  <c r="G554" i="2"/>
  <c r="G555" i="2"/>
  <c r="G545" i="2"/>
  <c r="G546" i="2"/>
  <c r="G541" i="2"/>
  <c r="G542" i="2"/>
  <c r="G543" i="2"/>
  <c r="G544" i="2"/>
  <c r="G534" i="2"/>
  <c r="G535" i="2"/>
  <c r="G536" i="2"/>
  <c r="G537" i="2"/>
  <c r="G538" i="2"/>
  <c r="G539" i="2"/>
  <c r="G540" i="2"/>
  <c r="G527" i="2"/>
  <c r="G528" i="2"/>
  <c r="G529" i="2"/>
  <c r="G530" i="2"/>
  <c r="G531" i="2"/>
  <c r="G532" i="2"/>
  <c r="G533" i="2"/>
  <c r="G519" i="2"/>
  <c r="G520" i="2"/>
  <c r="G521" i="2"/>
  <c r="G522" i="2"/>
  <c r="G523" i="2"/>
  <c r="G524" i="2"/>
  <c r="G525" i="2"/>
  <c r="G526" i="2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G512" i="2"/>
  <c r="G513" i="2"/>
  <c r="G514" i="2"/>
  <c r="G515" i="2"/>
  <c r="G516" i="2"/>
  <c r="G517" i="2"/>
  <c r="G518" i="2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G507" i="2"/>
  <c r="G508" i="2"/>
  <c r="G509" i="2"/>
  <c r="G510" i="2"/>
  <c r="G511" i="2"/>
  <c r="G497" i="2"/>
  <c r="G498" i="2"/>
  <c r="G499" i="2"/>
  <c r="G500" i="2"/>
  <c r="G501" i="2"/>
  <c r="G502" i="2"/>
  <c r="G503" i="2"/>
  <c r="G504" i="2"/>
  <c r="G505" i="2"/>
  <c r="G506" i="2"/>
  <c r="G494" i="2"/>
  <c r="G495" i="2"/>
  <c r="G496" i="2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G485" i="2"/>
  <c r="G486" i="2"/>
  <c r="G487" i="2"/>
  <c r="G488" i="2"/>
  <c r="G489" i="2"/>
  <c r="G490" i="2"/>
  <c r="G491" i="2"/>
  <c r="G492" i="2"/>
  <c r="G493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31" i="2"/>
  <c r="G432" i="2"/>
  <c r="G433" i="2"/>
  <c r="G434" i="2"/>
  <c r="G435" i="2"/>
  <c r="G436" i="2"/>
  <c r="G437" i="2"/>
  <c r="G438" i="2"/>
  <c r="G439" i="2"/>
  <c r="G423" i="2"/>
  <c r="G424" i="2"/>
  <c r="G425" i="2"/>
  <c r="G426" i="2"/>
  <c r="G427" i="2"/>
  <c r="G428" i="2"/>
  <c r="G429" i="2"/>
  <c r="G43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00" i="2"/>
  <c r="G401" i="2"/>
  <c r="G402" i="2"/>
  <c r="G403" i="2"/>
  <c r="G404" i="2"/>
  <c r="G405" i="2"/>
  <c r="G406" i="2"/>
  <c r="G407" i="2"/>
  <c r="G408" i="2"/>
  <c r="G409" i="2"/>
  <c r="G410" i="2"/>
  <c r="G391" i="2"/>
  <c r="G392" i="2"/>
  <c r="G393" i="2"/>
  <c r="G394" i="2"/>
  <c r="G395" i="2"/>
  <c r="G396" i="2"/>
  <c r="G397" i="2"/>
  <c r="G398" i="2"/>
  <c r="G399" i="2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01" i="1"/>
  <c r="H1102" i="1"/>
  <c r="H1103" i="1"/>
  <c r="H1104" i="1"/>
  <c r="H1105" i="1"/>
  <c r="H1106" i="1"/>
  <c r="H1107" i="1"/>
  <c r="H1108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G379" i="2"/>
  <c r="G378" i="2"/>
  <c r="G377" i="2"/>
  <c r="G376" i="2"/>
  <c r="G375" i="2"/>
  <c r="G374" i="2"/>
  <c r="G373" i="2"/>
  <c r="G372" i="2"/>
  <c r="G371" i="2"/>
  <c r="G380" i="2"/>
  <c r="G381" i="2"/>
  <c r="G382" i="2"/>
  <c r="G383" i="2"/>
  <c r="G384" i="2"/>
  <c r="G385" i="2"/>
  <c r="G386" i="2"/>
  <c r="G387" i="2"/>
  <c r="G388" i="2"/>
  <c r="G389" i="2"/>
  <c r="G390" i="2"/>
  <c r="C656" i="2"/>
  <c r="G370" i="2"/>
  <c r="G369" i="2"/>
  <c r="G368" i="2"/>
  <c r="Q341" i="1" l="1"/>
  <c r="Q301" i="1"/>
  <c r="Q349" i="1" s="1"/>
  <c r="R316" i="1" l="1"/>
  <c r="Q33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9" i="1"/>
  <c r="N270" i="1"/>
  <c r="N271" i="1"/>
  <c r="N272" i="1"/>
  <c r="N273" i="1"/>
  <c r="N274" i="1"/>
  <c r="N275" i="1"/>
  <c r="N276" i="1"/>
  <c r="N277" i="1"/>
  <c r="N278" i="1"/>
  <c r="N280" i="1"/>
  <c r="N282" i="1"/>
  <c r="N283" i="1"/>
  <c r="N284" i="1"/>
  <c r="N285" i="1"/>
  <c r="N286" i="1"/>
  <c r="N287" i="1"/>
  <c r="N288" i="1"/>
  <c r="N289" i="1"/>
  <c r="N290" i="1"/>
  <c r="N292" i="1"/>
  <c r="N294" i="1"/>
  <c r="N295" i="1"/>
  <c r="N296" i="1"/>
  <c r="N297" i="1"/>
  <c r="N298" i="1"/>
  <c r="N299" i="1"/>
  <c r="N300" i="1"/>
  <c r="N301" i="1"/>
  <c r="N302" i="1"/>
  <c r="N304" i="1"/>
  <c r="N306" i="1"/>
  <c r="N307" i="1"/>
  <c r="N308" i="1"/>
  <c r="N309" i="1"/>
  <c r="N310" i="1"/>
  <c r="N311" i="1"/>
  <c r="N312" i="1"/>
  <c r="N313" i="1"/>
  <c r="N314" i="1"/>
  <c r="N316" i="1"/>
  <c r="N318" i="1"/>
  <c r="N319" i="1"/>
  <c r="N320" i="1"/>
  <c r="N321" i="1"/>
  <c r="N322" i="1"/>
  <c r="N323" i="1"/>
  <c r="N324" i="1"/>
  <c r="N325" i="1"/>
  <c r="N326" i="1"/>
  <c r="N328" i="1"/>
  <c r="N330" i="1"/>
  <c r="N331" i="1"/>
  <c r="N332" i="1"/>
  <c r="N333" i="1"/>
  <c r="N334" i="1"/>
  <c r="N335" i="1"/>
  <c r="N336" i="1"/>
  <c r="N337" i="1"/>
  <c r="N338" i="1"/>
  <c r="N341" i="1"/>
  <c r="N342" i="1"/>
  <c r="N343" i="1"/>
  <c r="N344" i="1"/>
  <c r="N345" i="1"/>
  <c r="N346" i="1"/>
  <c r="N347" i="1"/>
  <c r="N348" i="1"/>
  <c r="N349" i="1"/>
  <c r="N350" i="1"/>
  <c r="N353" i="1"/>
  <c r="N354" i="1"/>
  <c r="N355" i="1"/>
  <c r="N356" i="1"/>
  <c r="N357" i="1"/>
  <c r="N358" i="1"/>
  <c r="N359" i="1"/>
  <c r="N360" i="1"/>
  <c r="N361" i="1"/>
  <c r="N362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4" i="1"/>
  <c r="N575" i="1"/>
  <c r="N576" i="1"/>
  <c r="N577" i="1"/>
  <c r="N578" i="1"/>
  <c r="N579" i="1"/>
  <c r="N580" i="1"/>
  <c r="N581" i="1"/>
  <c r="N582" i="1"/>
  <c r="N583" i="1"/>
  <c r="N585" i="1"/>
  <c r="N586" i="1"/>
  <c r="N587" i="1"/>
  <c r="N588" i="1"/>
  <c r="N589" i="1"/>
  <c r="N590" i="1"/>
  <c r="N591" i="1"/>
  <c r="N592" i="1"/>
  <c r="N593" i="1"/>
  <c r="N594" i="1"/>
  <c r="N596" i="1"/>
  <c r="N597" i="1"/>
  <c r="N598" i="1"/>
  <c r="N599" i="1"/>
  <c r="N600" i="1"/>
  <c r="N601" i="1"/>
  <c r="N602" i="1"/>
  <c r="N603" i="1"/>
  <c r="N604" i="1"/>
  <c r="N605" i="1"/>
  <c r="N607" i="1"/>
  <c r="N608" i="1"/>
  <c r="N609" i="1"/>
  <c r="N610" i="1"/>
  <c r="N611" i="1"/>
  <c r="N612" i="1"/>
  <c r="N613" i="1"/>
  <c r="N614" i="1"/>
  <c r="N615" i="1"/>
  <c r="N616" i="1"/>
  <c r="N618" i="1"/>
  <c r="N619" i="1"/>
  <c r="N620" i="1"/>
  <c r="N621" i="1"/>
  <c r="N622" i="1"/>
  <c r="N623" i="1"/>
  <c r="N624" i="1"/>
  <c r="N625" i="1"/>
  <c r="N626" i="1"/>
  <c r="N627" i="1"/>
  <c r="N629" i="1"/>
  <c r="N630" i="1"/>
  <c r="N631" i="1"/>
  <c r="N632" i="1"/>
  <c r="N633" i="1"/>
  <c r="N634" i="1"/>
  <c r="N635" i="1"/>
  <c r="N636" i="1"/>
  <c r="N637" i="1"/>
  <c r="N638" i="1"/>
  <c r="N640" i="1"/>
  <c r="N641" i="1"/>
  <c r="N642" i="1"/>
  <c r="N643" i="1"/>
  <c r="N644" i="1"/>
  <c r="N645" i="1"/>
  <c r="N646" i="1"/>
  <c r="N647" i="1"/>
  <c r="N648" i="1"/>
  <c r="N649" i="1"/>
  <c r="N651" i="1"/>
  <c r="N652" i="1"/>
  <c r="N653" i="1"/>
  <c r="N654" i="1"/>
  <c r="N655" i="1"/>
  <c r="N656" i="1"/>
  <c r="N657" i="1"/>
  <c r="N658" i="1"/>
  <c r="N659" i="1"/>
  <c r="N660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2" i="1"/>
  <c r="G173" i="2" l="1"/>
  <c r="G71" i="2"/>
  <c r="G355" i="2"/>
  <c r="G356" i="2"/>
  <c r="G353" i="2"/>
  <c r="G354" i="2"/>
  <c r="G194" i="2"/>
  <c r="G327" i="2"/>
  <c r="G89" i="2"/>
  <c r="G88" i="2"/>
  <c r="G9" i="2"/>
  <c r="G118" i="2"/>
  <c r="G220" i="2"/>
  <c r="G242" i="2"/>
  <c r="G250" i="2"/>
  <c r="G248" i="2"/>
  <c r="G249" i="2"/>
  <c r="G303" i="2"/>
  <c r="G302" i="2"/>
  <c r="G358" i="2"/>
  <c r="G55" i="2"/>
  <c r="G122" i="2"/>
  <c r="G10" i="2"/>
  <c r="G16" i="2"/>
  <c r="G13" i="2"/>
  <c r="G12" i="2"/>
  <c r="G17" i="2"/>
  <c r="G15" i="2"/>
  <c r="G14" i="2"/>
  <c r="G26" i="2"/>
  <c r="G18" i="2"/>
  <c r="G27" i="2"/>
  <c r="G25" i="2"/>
  <c r="G23" i="2"/>
  <c r="G21" i="2"/>
  <c r="G20" i="2"/>
  <c r="G24" i="2"/>
  <c r="G22" i="2"/>
  <c r="G28" i="2"/>
  <c r="G29" i="2"/>
  <c r="G114" i="2"/>
  <c r="G117" i="2"/>
  <c r="G36" i="2"/>
  <c r="G46" i="2"/>
  <c r="G45" i="2"/>
  <c r="G44" i="2"/>
  <c r="G43" i="2"/>
  <c r="G54" i="2"/>
  <c r="G53" i="2"/>
  <c r="G52" i="2"/>
  <c r="G49" i="2"/>
  <c r="G50" i="2"/>
  <c r="G47" i="2"/>
  <c r="G48" i="2"/>
  <c r="G51" i="2"/>
  <c r="G87" i="2"/>
  <c r="G78" i="2"/>
  <c r="G86" i="2"/>
  <c r="G84" i="2"/>
  <c r="G81" i="2"/>
  <c r="G77" i="2"/>
  <c r="G80" i="2"/>
  <c r="G83" i="2"/>
  <c r="G82" i="2"/>
  <c r="G85" i="2"/>
  <c r="G79" i="2"/>
  <c r="G62" i="2"/>
  <c r="G64" i="2"/>
  <c r="G66" i="2"/>
  <c r="G69" i="2"/>
  <c r="G70" i="2"/>
  <c r="G65" i="2"/>
  <c r="G67" i="2"/>
  <c r="G68" i="2"/>
  <c r="G61" i="2"/>
  <c r="G63" i="2"/>
  <c r="G60" i="2"/>
  <c r="G72" i="2"/>
  <c r="G75" i="2"/>
  <c r="G74" i="2"/>
  <c r="G73" i="2"/>
  <c r="G76" i="2"/>
  <c r="G56" i="2"/>
  <c r="G57" i="2"/>
  <c r="G58" i="2"/>
  <c r="G59" i="2"/>
  <c r="G91" i="2"/>
  <c r="G90" i="2"/>
  <c r="G99" i="2"/>
  <c r="G96" i="2"/>
  <c r="G95" i="2"/>
  <c r="G94" i="2"/>
  <c r="G92" i="2"/>
  <c r="G100" i="2"/>
  <c r="G98" i="2"/>
  <c r="G93" i="2"/>
  <c r="G97" i="2"/>
  <c r="G102" i="2"/>
  <c r="G101" i="2"/>
  <c r="G105" i="2"/>
  <c r="G104" i="2"/>
  <c r="G111" i="2"/>
  <c r="G110" i="2"/>
  <c r="G112" i="2"/>
  <c r="G115" i="2"/>
  <c r="G214" i="2"/>
  <c r="G212" i="2"/>
  <c r="G217" i="2"/>
  <c r="G216" i="2"/>
  <c r="G213" i="2"/>
  <c r="G215" i="2"/>
  <c r="G243" i="2"/>
  <c r="G244" i="2"/>
  <c r="G121" i="2"/>
  <c r="G124" i="2"/>
  <c r="G30" i="2"/>
  <c r="G123" i="2"/>
  <c r="G126" i="2"/>
  <c r="G125" i="2"/>
  <c r="G132" i="2"/>
  <c r="G133" i="2"/>
  <c r="G130" i="2"/>
  <c r="G131" i="2"/>
  <c r="G128" i="2"/>
  <c r="G129" i="2"/>
  <c r="G127" i="2"/>
  <c r="G139" i="2"/>
  <c r="G138" i="2"/>
  <c r="G141" i="2"/>
  <c r="G142" i="2"/>
  <c r="G140" i="2"/>
  <c r="G135" i="2"/>
  <c r="G137" i="2"/>
  <c r="G136" i="2"/>
  <c r="G153" i="2"/>
  <c r="G152" i="2"/>
  <c r="G155" i="2"/>
  <c r="G157" i="2"/>
  <c r="G163" i="2"/>
  <c r="G169" i="2"/>
  <c r="G165" i="2"/>
  <c r="G167" i="2"/>
  <c r="G166" i="2"/>
  <c r="G174" i="2"/>
  <c r="G160" i="2"/>
  <c r="G168" i="2"/>
  <c r="G171" i="2"/>
  <c r="G170" i="2"/>
  <c r="G178" i="2"/>
  <c r="G176" i="2"/>
  <c r="G175" i="2"/>
  <c r="G179" i="2"/>
  <c r="G177" i="2"/>
  <c r="G162" i="2"/>
  <c r="G161" i="2"/>
  <c r="G159" i="2"/>
  <c r="G158" i="2"/>
  <c r="G172" i="2"/>
  <c r="G164" i="2"/>
  <c r="G245" i="2"/>
  <c r="G364" i="2"/>
  <c r="G363" i="2"/>
  <c r="G109" i="2"/>
  <c r="G107" i="2"/>
  <c r="G106" i="2"/>
  <c r="G108" i="2"/>
  <c r="G120" i="2"/>
  <c r="G181" i="2"/>
  <c r="G32" i="2"/>
  <c r="G35" i="2"/>
  <c r="G33" i="2"/>
  <c r="G31" i="2"/>
  <c r="G34" i="2"/>
  <c r="G39" i="2"/>
  <c r="G38" i="2"/>
  <c r="G41" i="2"/>
  <c r="G42" i="2"/>
  <c r="G40" i="2"/>
  <c r="G37" i="2"/>
  <c r="G310" i="2"/>
  <c r="G308" i="2"/>
  <c r="G307" i="2"/>
  <c r="G306" i="2"/>
  <c r="G309" i="2"/>
  <c r="G273" i="2"/>
  <c r="G268" i="2"/>
  <c r="G264" i="2"/>
  <c r="G269" i="2"/>
  <c r="G271" i="2"/>
  <c r="G267" i="2"/>
  <c r="G272" i="2"/>
  <c r="G265" i="2"/>
  <c r="G270" i="2"/>
  <c r="G266" i="2"/>
  <c r="G240" i="2"/>
  <c r="G239" i="2"/>
  <c r="G218" i="2"/>
  <c r="G219" i="2"/>
  <c r="G134" i="2"/>
  <c r="G223" i="2"/>
  <c r="G226" i="2"/>
  <c r="G225" i="2"/>
  <c r="G224" i="2"/>
  <c r="G229" i="2"/>
  <c r="G222" i="2"/>
  <c r="G221" i="2"/>
  <c r="G227" i="2"/>
  <c r="G228" i="2"/>
  <c r="G241" i="2"/>
  <c r="G211" i="2"/>
  <c r="G206" i="2"/>
  <c r="G209" i="2"/>
  <c r="G202" i="2"/>
  <c r="G203" i="2"/>
  <c r="G205" i="2"/>
  <c r="G210" i="2"/>
  <c r="G208" i="2"/>
  <c r="G207" i="2"/>
  <c r="G204" i="2"/>
  <c r="G198" i="2"/>
  <c r="G197" i="2"/>
  <c r="G195" i="2"/>
  <c r="G196" i="2"/>
  <c r="G201" i="2"/>
  <c r="G199" i="2"/>
  <c r="G200" i="2"/>
  <c r="G234" i="2"/>
  <c r="G230" i="2"/>
  <c r="G235" i="2"/>
  <c r="G233" i="2"/>
  <c r="G237" i="2"/>
  <c r="G232" i="2"/>
  <c r="G231" i="2"/>
  <c r="G238" i="2"/>
  <c r="G236" i="2"/>
  <c r="G185" i="2"/>
  <c r="G184" i="2"/>
  <c r="G182" i="2"/>
  <c r="G183" i="2"/>
  <c r="G191" i="2"/>
  <c r="G193" i="2"/>
  <c r="G187" i="2"/>
  <c r="G192" i="2"/>
  <c r="G190" i="2"/>
  <c r="G189" i="2"/>
  <c r="G188" i="2"/>
  <c r="G147" i="2"/>
  <c r="G146" i="2"/>
  <c r="G148" i="2"/>
  <c r="G149" i="2"/>
  <c r="G143" i="2"/>
  <c r="G150" i="2"/>
  <c r="G145" i="2"/>
  <c r="G151" i="2"/>
  <c r="G144" i="2"/>
  <c r="G6" i="2"/>
  <c r="G5" i="2"/>
  <c r="G8" i="2"/>
  <c r="G7" i="2"/>
  <c r="G186" i="2"/>
  <c r="G246" i="2"/>
  <c r="G247" i="2"/>
  <c r="G260" i="2"/>
  <c r="G258" i="2"/>
  <c r="G263" i="2"/>
  <c r="G262" i="2"/>
  <c r="G257" i="2"/>
  <c r="G259" i="2"/>
  <c r="G261" i="2"/>
  <c r="G255" i="2"/>
  <c r="G256" i="2"/>
  <c r="G254" i="2"/>
  <c r="G251" i="2"/>
  <c r="G252" i="2"/>
  <c r="G253" i="2"/>
  <c r="G119" i="2"/>
  <c r="G362" i="2"/>
  <c r="G361" i="2"/>
  <c r="G328" i="2"/>
  <c r="G326" i="2"/>
  <c r="G329" i="2"/>
  <c r="G330" i="2"/>
  <c r="G322" i="2"/>
  <c r="G311" i="2"/>
  <c r="G313" i="2"/>
  <c r="G315" i="2"/>
  <c r="G316" i="2"/>
  <c r="G335" i="2"/>
  <c r="G323" i="2"/>
  <c r="G325" i="2"/>
  <c r="G338" i="2"/>
  <c r="G339" i="2"/>
  <c r="G314" i="2"/>
  <c r="G312" i="2"/>
  <c r="G318" i="2"/>
  <c r="G332" i="2"/>
  <c r="G341" i="2"/>
  <c r="G340" i="2"/>
  <c r="G331" i="2"/>
  <c r="G324" i="2"/>
  <c r="G333" i="2"/>
  <c r="G317" i="2"/>
  <c r="G334" i="2"/>
  <c r="G336" i="2"/>
  <c r="G337" i="2"/>
  <c r="G320" i="2"/>
  <c r="G319" i="2"/>
  <c r="G321" i="2"/>
  <c r="G349" i="2"/>
  <c r="G348" i="2"/>
  <c r="G342" i="2"/>
  <c r="G345" i="2"/>
  <c r="G344" i="2"/>
  <c r="G343" i="2"/>
  <c r="G347" i="2"/>
  <c r="G352" i="2"/>
  <c r="G350" i="2"/>
  <c r="G351" i="2"/>
  <c r="G346" i="2"/>
  <c r="G290" i="2"/>
  <c r="G283" i="2"/>
  <c r="G284" i="2"/>
  <c r="G282" i="2"/>
  <c r="G281" i="2"/>
  <c r="G280" i="2"/>
  <c r="G275" i="2"/>
  <c r="G292" i="2"/>
  <c r="G285" i="2"/>
  <c r="G291" i="2"/>
  <c r="G286" i="2"/>
  <c r="G274" i="2"/>
  <c r="G278" i="2"/>
  <c r="G287" i="2"/>
  <c r="G288" i="2"/>
  <c r="G277" i="2"/>
  <c r="G276" i="2"/>
  <c r="G279" i="2"/>
  <c r="G289" i="2"/>
  <c r="G293" i="2"/>
  <c r="G296" i="2"/>
  <c r="G299" i="2"/>
  <c r="G297" i="2"/>
  <c r="G294" i="2"/>
  <c r="G301" i="2"/>
  <c r="G298" i="2"/>
  <c r="G295" i="2"/>
  <c r="G300" i="2"/>
</calcChain>
</file>

<file path=xl/sharedStrings.xml><?xml version="1.0" encoding="utf-8"?>
<sst xmlns="http://schemas.openxmlformats.org/spreadsheetml/2006/main" count="18087" uniqueCount="1731">
  <si>
    <t>CODIGO PRODUCTO TERMINADO</t>
  </si>
  <si>
    <t>DESCRIPCION MATERIAL</t>
  </si>
  <si>
    <t xml:space="preserve">FP02  </t>
  </si>
  <si>
    <t>FP03</t>
  </si>
  <si>
    <t>FP04</t>
  </si>
  <si>
    <t>FP05</t>
  </si>
  <si>
    <t>FP06</t>
  </si>
  <si>
    <t>FP07</t>
  </si>
  <si>
    <t>FP08</t>
  </si>
  <si>
    <t>FP10</t>
  </si>
  <si>
    <t>TEL0000035</t>
  </si>
  <si>
    <t>GASA DE 3MM</t>
  </si>
  <si>
    <t>SERMAT BLANCO</t>
  </si>
  <si>
    <t>SERMAT AZULINO</t>
  </si>
  <si>
    <t>SERMAT LAMINADO AZULINO</t>
  </si>
  <si>
    <t>AVI0000010</t>
  </si>
  <si>
    <t>AVI0000012</t>
  </si>
  <si>
    <t>AVI0000053</t>
  </si>
  <si>
    <t>AVI0000009</t>
  </si>
  <si>
    <t>CATEGORIA</t>
  </si>
  <si>
    <t xml:space="preserve"> PRODUCTO TERMINADO</t>
  </si>
  <si>
    <t>FIESTAS PATRIAS</t>
  </si>
  <si>
    <t>BOLIVAR #4</t>
  </si>
  <si>
    <t>BOLIVAR #6</t>
  </si>
  <si>
    <t>BOLIVAR #8</t>
  </si>
  <si>
    <t>BOLIVAR #10</t>
  </si>
  <si>
    <t>BOLIVAR #12</t>
  </si>
  <si>
    <t>BOLIVAR #14</t>
  </si>
  <si>
    <t>BOLIVAR #16</t>
  </si>
  <si>
    <t>BOLIVAR #S</t>
  </si>
  <si>
    <t>BOLIVAR #AD</t>
  </si>
  <si>
    <t>PF12</t>
  </si>
  <si>
    <t>SERMAT AZUL</t>
  </si>
  <si>
    <t>SERMAT ROJO</t>
  </si>
  <si>
    <t>GRECA TRINCHI DORADO</t>
  </si>
  <si>
    <t>GRECA 511 DORADO</t>
  </si>
  <si>
    <t>BOTON ANCLA #28 DORADO</t>
  </si>
  <si>
    <t xml:space="preserve">SAN MARTIN #4                                                                                            </t>
  </si>
  <si>
    <t xml:space="preserve">SAN MARTIN #4                </t>
  </si>
  <si>
    <t>SAN MARTIN  #4</t>
  </si>
  <si>
    <t>SAN MARTIN #4</t>
  </si>
  <si>
    <t>SAN MARTIN #6</t>
  </si>
  <si>
    <t>SAN MARTIN #8</t>
  </si>
  <si>
    <t>SAN MARTIN #10</t>
  </si>
  <si>
    <t>SAN MARTIN #12</t>
  </si>
  <si>
    <t>SAN MARTIN #14</t>
  </si>
  <si>
    <t>SAN MARTIN#14</t>
  </si>
  <si>
    <t>SAN MARTIN #16</t>
  </si>
  <si>
    <t>SAN MARTIN  #16</t>
  </si>
  <si>
    <t>SAN MARTIN #AD</t>
  </si>
  <si>
    <t>TELA</t>
  </si>
  <si>
    <t>AVIO</t>
  </si>
  <si>
    <t>FP12</t>
  </si>
  <si>
    <t>FP13</t>
  </si>
  <si>
    <t>PFP13</t>
  </si>
  <si>
    <t>FP14</t>
  </si>
  <si>
    <t>FP15</t>
  </si>
  <si>
    <t>FP16</t>
  </si>
  <si>
    <t>FP17</t>
  </si>
  <si>
    <t>FP18</t>
  </si>
  <si>
    <t>FP19</t>
  </si>
  <si>
    <t>FP20</t>
  </si>
  <si>
    <t>PF01</t>
  </si>
  <si>
    <t>PROFESIONES</t>
  </si>
  <si>
    <t>BOMBERO #4</t>
  </si>
  <si>
    <t>PF0120</t>
  </si>
  <si>
    <t>PF20</t>
  </si>
  <si>
    <t>HILO PARA BORDAR AMARILLO ORO</t>
  </si>
  <si>
    <t>HILO PARA BORDAR NEGRO</t>
  </si>
  <si>
    <t>HILO PARA BORDAR ROJO</t>
  </si>
  <si>
    <t>CLASIFICACIÓN</t>
  </si>
  <si>
    <t>MATERIALES</t>
  </si>
  <si>
    <t>CON IGV</t>
  </si>
  <si>
    <t>UNIDAD DE COMPRA</t>
  </si>
  <si>
    <t>PRECIO</t>
  </si>
  <si>
    <t>Columna1</t>
  </si>
  <si>
    <t>UNIDAD</t>
  </si>
  <si>
    <t>POLINAM SIN BRILLO AZULINO</t>
  </si>
  <si>
    <t>m</t>
  </si>
  <si>
    <t>POLINAM SIN BRILLO  BLANCO</t>
  </si>
  <si>
    <t>POLINAM SIN BRILLO  ROJO</t>
  </si>
  <si>
    <t>POLINAM SIN BRILLO TURQUEZA</t>
  </si>
  <si>
    <t>POLINAM SIN BRILLO  BEIGE</t>
  </si>
  <si>
    <t>POLINAM SIN BRILLO  NARANJA</t>
  </si>
  <si>
    <t>POLINAM SIN BRILLO  VERDE JADE</t>
  </si>
  <si>
    <t>POLINAM SIN BRILLO  CREMA</t>
  </si>
  <si>
    <t>POLINAM SIN BRILLO   NEGRO</t>
  </si>
  <si>
    <t>POLINAM BRILLOSO  ROJO</t>
  </si>
  <si>
    <t>POLINAM BRILLOSO  BLANCO</t>
  </si>
  <si>
    <t>POLINAM BRILLOSO  AZUL</t>
  </si>
  <si>
    <t>POLINAM BRILLOSO  AZULINO</t>
  </si>
  <si>
    <t>POLINAM BRILLOSO  PLOMO</t>
  </si>
  <si>
    <t>POLINAM BRILLOSO  NEGRO</t>
  </si>
  <si>
    <t>POLINAM BRILLOSO  BEIGE</t>
  </si>
  <si>
    <t>POLINAM BRILLOSO  AMARILLO BRASIL</t>
  </si>
  <si>
    <t>POLINAM BRILLOSO  NARANJA</t>
  </si>
  <si>
    <t>POLINAM BRILLOSO  TUTI</t>
  </si>
  <si>
    <t>POLINAM BRILLOSO  MARRON</t>
  </si>
  <si>
    <t>POLINAM BRILLOSO  VERDE LORO</t>
  </si>
  <si>
    <t>POLINAM BRILLOSO  AMARILLO ORO</t>
  </si>
  <si>
    <t>POLINAM BRILLOSO  LAMINADO -AMARILLO ORO</t>
  </si>
  <si>
    <t>POLINAM BRILLOSO  LAMINADO -AZULINO</t>
  </si>
  <si>
    <t>POLINAM BRILLOSO  LAMINADO -BLANCO</t>
  </si>
  <si>
    <t>POLINAM BRILLOSO  LAMINADO -ROJO</t>
  </si>
  <si>
    <t>POLINAM BRILLOSO  LAMINADO -NEGRO</t>
  </si>
  <si>
    <t>POLINAM BRILLOSO  TURQUEZA</t>
  </si>
  <si>
    <t>TAFETA DE FORRO BLANCO</t>
  </si>
  <si>
    <t>TAFETA DE FORRO VERDE LORO</t>
  </si>
  <si>
    <t>TAFETA DE FORRO TUTI</t>
  </si>
  <si>
    <t>TAFETA DE FORRO VERDE MANZANA</t>
  </si>
  <si>
    <t>TAFETA DE FORRO LILA</t>
  </si>
  <si>
    <t>TAFETA DE FORRO  ROJO</t>
  </si>
  <si>
    <t>TAFETA DE FORRO AZUL</t>
  </si>
  <si>
    <t>TAFETA DE FORRO AZULINO</t>
  </si>
  <si>
    <t>TAFETA DE FORRO  NEGRO</t>
  </si>
  <si>
    <t>TAFETA DE FORRO MORADO</t>
  </si>
  <si>
    <t>TAFETA DE FORRO PLOMO</t>
  </si>
  <si>
    <t>SERMAT PLOMO</t>
  </si>
  <si>
    <t>SERMAT NEGRO</t>
  </si>
  <si>
    <t>SERMAT AMARILLO BRAZIL</t>
  </si>
  <si>
    <t>SERMAT NARANJA</t>
  </si>
  <si>
    <t>SERMAT FUXIA</t>
  </si>
  <si>
    <t>SERMAT MARRON</t>
  </si>
  <si>
    <t>SERMAT VERDE LORO</t>
  </si>
  <si>
    <t>SERMAT V ERDE MANZANA</t>
  </si>
  <si>
    <t>SERMAT MORADO</t>
  </si>
  <si>
    <t>SERMAT AMARILLO ORO</t>
  </si>
  <si>
    <t>SERMAT  LILA</t>
  </si>
  <si>
    <t>SERMAT  VERDE BOTELLA</t>
  </si>
  <si>
    <t>SERMAT TURQUEZA ENFERMERA</t>
  </si>
  <si>
    <t xml:space="preserve">SERMAT TURQUEZA </t>
  </si>
  <si>
    <t>SERMAT GUINDA</t>
  </si>
  <si>
    <t>SERMAT EYGORI</t>
  </si>
  <si>
    <t>SERMAT PALO ROSA</t>
  </si>
  <si>
    <t>SERMAT  VERDE JADE</t>
  </si>
  <si>
    <t>SERMAT  VERDE CLINICO</t>
  </si>
  <si>
    <t>SERMAT  ROSADO</t>
  </si>
  <si>
    <t>SERMAT  CHICLE</t>
  </si>
  <si>
    <t>SERMAT CREMA</t>
  </si>
  <si>
    <t>SERMAT LAMINADO VERDE BOTELLA</t>
  </si>
  <si>
    <t>SERMAT LAMINADO BLANCO</t>
  </si>
  <si>
    <t>SERMAT LAMINADO AZUL</t>
  </si>
  <si>
    <t>SERMAT LAMINADO BEIGE</t>
  </si>
  <si>
    <t>TUL ESPAÑOL BLANCO</t>
  </si>
  <si>
    <t>TUL ESPAÑOL CHICLE</t>
  </si>
  <si>
    <t>ENCAJE NEGRO</t>
  </si>
  <si>
    <t>PLUSH NEGRO</t>
  </si>
  <si>
    <t>PLUSH BLANCO</t>
  </si>
  <si>
    <t>PLUSH AZULINO</t>
  </si>
  <si>
    <t>PLUSH ROJO</t>
  </si>
  <si>
    <t>PLUSH VERDE LORO</t>
  </si>
  <si>
    <t>PLUSH TURQUEZA</t>
  </si>
  <si>
    <t>POLAR BLANCO</t>
  </si>
  <si>
    <t>POLAR AMARILLO BRAZIL</t>
  </si>
  <si>
    <t>POLAR  CARAMELO</t>
  </si>
  <si>
    <t xml:space="preserve">POLAR MARRON </t>
  </si>
  <si>
    <t>POLAR NEGRO</t>
  </si>
  <si>
    <t>POLAR A CUADROS CHAVO</t>
  </si>
  <si>
    <t>POLAR AMARILLO ORO</t>
  </si>
  <si>
    <t>PIEL DE ANGEL BLANCO GRUESO</t>
  </si>
  <si>
    <t>PIEL DE ANGEL BLANCO DELGADO</t>
  </si>
  <si>
    <t>LANILLA SINTETICA NEGRA</t>
  </si>
  <si>
    <t>BIOCUERO P  ESTAMPAR DORADO</t>
  </si>
  <si>
    <t>BIOCUERO P  ESTAMPAR PLATEADO</t>
  </si>
  <si>
    <t>BIOCUERO P  APLICACIÓN DORADO</t>
  </si>
  <si>
    <t>BIOCUERO P  APLICACIÓN PLATEADO</t>
  </si>
  <si>
    <t>HIDROSEDAL LISTADO AMARILLOCON NEGRO</t>
  </si>
  <si>
    <t>HIDROSEDAL LISTADO ROJO CON BLANCO</t>
  </si>
  <si>
    <t>HIDROSEDAL LISTADO AZULINO CON BLANCO</t>
  </si>
  <si>
    <t>HIDROSEDAL LISTADO NARANJA CON NEGRO</t>
  </si>
  <si>
    <t>HIDROSEDAL LISTADO  BLANCO CON NEGRO</t>
  </si>
  <si>
    <t>HIDROSEDAL LISTADO LILA CON BLANCO</t>
  </si>
  <si>
    <t>HIDROSEDAL LISTADO FUXIA CON BLANCO</t>
  </si>
  <si>
    <t>HIDROSEDAL LISTADO CHAVITO</t>
  </si>
  <si>
    <t>HIDROSEDAL LISTADO CHUKKY</t>
  </si>
  <si>
    <t>LATEX  LICRADO DORADO</t>
  </si>
  <si>
    <t>LATEX  LICRADO DORADO VIEJO</t>
  </si>
  <si>
    <t>LATEX  LICRADO FUXIA</t>
  </si>
  <si>
    <t>LATEX  LICRADO PLATEADO</t>
  </si>
  <si>
    <t>LATEX  LICRADO AZULINO</t>
  </si>
  <si>
    <t>LATEX  LICRADO ROJO</t>
  </si>
  <si>
    <t>LATEX  LICRADO NEGRO</t>
  </si>
  <si>
    <t>LAME TOPAZ NEGRO</t>
  </si>
  <si>
    <t>LAME TOPAZ DORADO</t>
  </si>
  <si>
    <t>LAME TOPAZ PLATEADO</t>
  </si>
  <si>
    <t>LAME TOPAZ ROJO</t>
  </si>
  <si>
    <t>NOVA DE 3MM ROJO</t>
  </si>
  <si>
    <t>NOVA DE 3MM VERDE LORO</t>
  </si>
  <si>
    <t>NOVA DE 3MM AZUL</t>
  </si>
  <si>
    <t>NOVA DE 3MM AZULINO</t>
  </si>
  <si>
    <t>NOVA DE 3MM TURQUEZA</t>
  </si>
  <si>
    <t>NOVA DE 3MM LILA</t>
  </si>
  <si>
    <t>NOVA DE 3MM NEGRO</t>
  </si>
  <si>
    <t>NOVA DE 3MM AMARILLO BRAZIL</t>
  </si>
  <si>
    <t>NOVA DE 3MM MARRON</t>
  </si>
  <si>
    <t>LENTEJUELA COSIDA LILA</t>
  </si>
  <si>
    <t>LENTEJUELA COSIDA FUXIA</t>
  </si>
  <si>
    <t>LENTEJUELA COSIDA MORADO</t>
  </si>
  <si>
    <t>LENTEJUELA COSIDA  PLATEADO</t>
  </si>
  <si>
    <t>LENTEJUELA COSIDA  NEGRO</t>
  </si>
  <si>
    <t>LENTEJUELA COSIDA AMARILLO</t>
  </si>
  <si>
    <t>LENTEJUELA COSIDA AZULINO</t>
  </si>
  <si>
    <t>LENTEJUELA PEGADA DORADO</t>
  </si>
  <si>
    <t>LENTEJUELA PEGADA PLATEADO</t>
  </si>
  <si>
    <t>LENTEJUELA PEGADA ROJO</t>
  </si>
  <si>
    <t>LENTEJUELA PEGADA VERDE MANZANA</t>
  </si>
  <si>
    <t>LENTEJUELA PEGADA FUXIA</t>
  </si>
  <si>
    <t>LENTEJUELA PEGADA  TURQUEZA</t>
  </si>
  <si>
    <t>LENTEJUELA PEGADA  LILA</t>
  </si>
  <si>
    <t>LENTEJUELA PEGADA ROSADO</t>
  </si>
  <si>
    <t>LENTEJUELA PEGADA NEGRO</t>
  </si>
  <si>
    <t>LINON</t>
  </si>
  <si>
    <t>PANA NEGRO</t>
  </si>
  <si>
    <t>NONA DE 4MM ROJO</t>
  </si>
  <si>
    <t>NONA DE 4MM NEGRO</t>
  </si>
  <si>
    <t>NONA DE 4MM  LILA</t>
  </si>
  <si>
    <t>NONA DE 4MM  VERDE LORO</t>
  </si>
  <si>
    <t>NONA DE 4MM TURQUEZA</t>
  </si>
  <si>
    <t>NONA DE 4MM AZUL</t>
  </si>
  <si>
    <t>NONA DE 4MM AZULINO</t>
  </si>
  <si>
    <t>NONA DE 4MM MARRON</t>
  </si>
  <si>
    <t>NONA DE 4MM AMARILLO BRAZIL</t>
  </si>
  <si>
    <t>MARROQUIN ROJO</t>
  </si>
  <si>
    <t>MARROQUIN MARRON</t>
  </si>
  <si>
    <t>ORGANZA ESPEJO VERDE AGUA</t>
  </si>
  <si>
    <t>ORGANZA ESPEJONEGRO</t>
  </si>
  <si>
    <t>POLIESTRECH BLANCO</t>
  </si>
  <si>
    <t>POLIESTRECH ROJO</t>
  </si>
  <si>
    <t>POLIESTRECH AZULINO</t>
  </si>
  <si>
    <t>POLIESTRECH TURQUEZA GREMIO</t>
  </si>
  <si>
    <t>POLIESTRECH LILA</t>
  </si>
  <si>
    <t>POLIESTRECH ROSADO</t>
  </si>
  <si>
    <t>POLIESTRECH NEGRO</t>
  </si>
  <si>
    <t>POLIESTRECH AMARILLO BRAZIL</t>
  </si>
  <si>
    <t>POLIESTRECH MORADO</t>
  </si>
  <si>
    <t>POLIESTRECH VERDE LORO</t>
  </si>
  <si>
    <t>RIB PARA POLO  ROJO</t>
  </si>
  <si>
    <t>RIB PARA POLO  AZULINO</t>
  </si>
  <si>
    <t>RIB PARA POLO  MARRON</t>
  </si>
  <si>
    <t>RIB PARA POLO  NEGRO</t>
  </si>
  <si>
    <t>RIB PARA POLO  VERDE LORO</t>
  </si>
  <si>
    <t>CAMUFLADO</t>
  </si>
  <si>
    <t>CHAROLIN BLANCO</t>
  </si>
  <si>
    <t>CHAROLIN ROJO</t>
  </si>
  <si>
    <t>CHAROLIN NEGRO</t>
  </si>
  <si>
    <t>CHAROLIN AMARILLO</t>
  </si>
  <si>
    <t>CHAROLIN AZULINO</t>
  </si>
  <si>
    <t>BROCADO NARANJA FLOSENTE</t>
  </si>
  <si>
    <t>BROCADO AMARILLO BRAZIL</t>
  </si>
  <si>
    <t>BROCADO FUXIA</t>
  </si>
  <si>
    <t>BROCADO VERDE LECHUGA</t>
  </si>
  <si>
    <t>BROCADO BLANCO</t>
  </si>
  <si>
    <t>JEANS PROCESADO AZUL</t>
  </si>
  <si>
    <t>ESPUMA DE 1/2" BLANCA</t>
  </si>
  <si>
    <t>COROSPUM BLANCO</t>
  </si>
  <si>
    <t>COROSPUM AMARILLO ORO</t>
  </si>
  <si>
    <t>COROSPUM AZULINO</t>
  </si>
  <si>
    <t>COROSPUM ROJO</t>
  </si>
  <si>
    <t>AVIOS</t>
  </si>
  <si>
    <t>VICERAS PARA GORRA CHICO</t>
  </si>
  <si>
    <t>Ciento</t>
  </si>
  <si>
    <t>VICERAS PARA GORRA GRANDE</t>
  </si>
  <si>
    <t>PIEDRITAS BRILLANTES</t>
  </si>
  <si>
    <t>HILO PARA BORDAR BLANCO</t>
  </si>
  <si>
    <t>Cono(m)</t>
  </si>
  <si>
    <t>HILO PARA BORDAR AMARILLO BRAZIL</t>
  </si>
  <si>
    <t>HILO PARA BORDAR AZUL</t>
  </si>
  <si>
    <t>HILO PARA BORDAR AZULINO</t>
  </si>
  <si>
    <t xml:space="preserve">HILO PARA BORDAR VERDE JADE </t>
  </si>
  <si>
    <t>HILO PARA BORDAR VERDE MANZANA</t>
  </si>
  <si>
    <t>HILO PARA BORDAR VERDE AGUA</t>
  </si>
  <si>
    <t>HILO PARA BORDAR VERDE FLORESENTE</t>
  </si>
  <si>
    <t>HILO PARA BORDAR VERDE LORO</t>
  </si>
  <si>
    <t xml:space="preserve">HILO PARA BORDAR NARANJA </t>
  </si>
  <si>
    <t>HILO PARA BORDAR NARANJA FLORESENTE</t>
  </si>
  <si>
    <t>HILO PARA BORDAR MARRON</t>
  </si>
  <si>
    <t>HILO PARA BORDAR TURQUEZA</t>
  </si>
  <si>
    <t xml:space="preserve">HILO PARA BORDAR FUXIA </t>
  </si>
  <si>
    <t>HILO PARA BORDAR LILA</t>
  </si>
  <si>
    <t>HILO PARA BORDAR CLICLE</t>
  </si>
  <si>
    <t>HILO PARA BORDAR MORADO</t>
  </si>
  <si>
    <t>HILO PARA BORDAR BARNEY</t>
  </si>
  <si>
    <t xml:space="preserve">HILO PARA BOBINA </t>
  </si>
  <si>
    <t>HILO LUREX PARA REMALLE DORADO</t>
  </si>
  <si>
    <t>HILO LUREX PARA REMALLE PLATEADO</t>
  </si>
  <si>
    <t>HILO DE PESCAR 0.6</t>
  </si>
  <si>
    <t>Rollo (m)</t>
  </si>
  <si>
    <t>HILO LUREX BORDADO DORADO</t>
  </si>
  <si>
    <t>HILO LUREX BORDADO PLATEADO</t>
  </si>
  <si>
    <t>pieza</t>
  </si>
  <si>
    <t>GRECA 511 PLATEADO</t>
  </si>
  <si>
    <t>GRECA 511  VERDE LORO</t>
  </si>
  <si>
    <t>GRECA TRINCHI PLATEADO</t>
  </si>
  <si>
    <t>GRECA TRINCHI MULTICOLOR</t>
  </si>
  <si>
    <t>GRECA 512 DORADO</t>
  </si>
  <si>
    <t>GRECA 512 PLATEADO</t>
  </si>
  <si>
    <t>FLECO BANDERIN DORADO</t>
  </si>
  <si>
    <t>FLORES PECHO PRINC FUXIA</t>
  </si>
  <si>
    <t>FLORES PECHO PRINC DORADO</t>
  </si>
  <si>
    <t>FLORES PECHO PRINC ROSADO</t>
  </si>
  <si>
    <t>FLORES PECHO PRINC ROJO</t>
  </si>
  <si>
    <t>FAJA  DE 6CM</t>
  </si>
  <si>
    <t>FAJA  DE 8CM</t>
  </si>
  <si>
    <t>EVILLAS OBEROL</t>
  </si>
  <si>
    <t>BOTON PARA EVILLA</t>
  </si>
  <si>
    <t>EVILLAS TIK TOK  4CM</t>
  </si>
  <si>
    <t>EVILLA TIK TOK 2.5CM</t>
  </si>
  <si>
    <t>PELON PAR BORDAR</t>
  </si>
  <si>
    <t>PELON P PLANCHAR</t>
  </si>
  <si>
    <t>LONA ESCARCHADO PLATEADO</t>
  </si>
  <si>
    <t>LONA ESCARCHADO DORADO</t>
  </si>
  <si>
    <t>LONA ESCARCHADO ROJO</t>
  </si>
  <si>
    <t>LONA ESCARCHADO VERDE</t>
  </si>
  <si>
    <t>LONA ESCARCHADO AZULINO</t>
  </si>
  <si>
    <t>LONA ESCARCHADO FUXIA</t>
  </si>
  <si>
    <t>ELASTICO POLIESTER 4 LIGAS</t>
  </si>
  <si>
    <t>ELASTICO NEGRO 6CM</t>
  </si>
  <si>
    <t>Disco</t>
  </si>
  <si>
    <t>CORREA DE MOCHILA  DE 4CM</t>
  </si>
  <si>
    <t>CORREA DE MOCHILA DE  2,5CM</t>
  </si>
  <si>
    <t>CORDON #4 AZULINO</t>
  </si>
  <si>
    <t>Madeja</t>
  </si>
  <si>
    <t>CORDON #4 DORADO</t>
  </si>
  <si>
    <t>COLA RATA EN MADEJA AZUL</t>
  </si>
  <si>
    <t>COLA RATA EN MADEJA ROJO</t>
  </si>
  <si>
    <t>COLA RATA EN DISCO NEGRO</t>
  </si>
  <si>
    <t>COLA RATA EN DISCO BLANCO</t>
  </si>
  <si>
    <t>COLA RATA EN DISCO ROJO</t>
  </si>
  <si>
    <t>COLA RATA EN DISCO VERDE LORO</t>
  </si>
  <si>
    <t>COLA RATA EN DISCO AMARILLO ORO</t>
  </si>
  <si>
    <t>COLA RATA EN DISCO CHICLE</t>
  </si>
  <si>
    <t>COLA RATA EN DISCO FUXIA</t>
  </si>
  <si>
    <t>COLA RATA EN DISCO LILA</t>
  </si>
  <si>
    <t>COLA RATA EN DISCO VERDE LECHUGA</t>
  </si>
  <si>
    <t>CINTILLO SIXAC DORADO</t>
  </si>
  <si>
    <t>CINTILLO SIXAC PLATEADO</t>
  </si>
  <si>
    <t>CINTA REFLECT. 3.8CM</t>
  </si>
  <si>
    <t>CINTA REFLECT. 2.5CM</t>
  </si>
  <si>
    <t>CINTA PERUANA 2CM</t>
  </si>
  <si>
    <t>CINTA EMB. GAVIOTA</t>
  </si>
  <si>
    <t>CINTA SATINADA 4CM AMARILLO BRAZIL</t>
  </si>
  <si>
    <t>CINTA SATINADA 2.5CM BLANCO</t>
  </si>
  <si>
    <t>CINTA SATINADA 2.5CM ROJO</t>
  </si>
  <si>
    <t>CINTA SATINADA 2.5CM VERDE LORO</t>
  </si>
  <si>
    <t>CINTA SATINADA 2.5CM AMARILLO ORO</t>
  </si>
  <si>
    <t>CINTA SATINADA 1CM AMARILLO BR.</t>
  </si>
  <si>
    <t>CINTA SATINADA 1CM FUXIA</t>
  </si>
  <si>
    <t>CINTA SATINADA 1CM AZULINO</t>
  </si>
  <si>
    <t>CINTA SATINADA 1CM TURQUEZA</t>
  </si>
  <si>
    <t>CINTA SATINADA 1CM ROJO</t>
  </si>
  <si>
    <t>CINTA SATINADA 1CM MORADO</t>
  </si>
  <si>
    <t>CINTA SATINADA 1CM VERDE LORO</t>
  </si>
  <si>
    <t>CINTA SATINADA 1CM VERDE LECHUGA</t>
  </si>
  <si>
    <t>CINTA SATINADA 1CM NARANJA FL.</t>
  </si>
  <si>
    <t>CINTA SATINADA 1CM LILA</t>
  </si>
  <si>
    <t>CINTA SATINADA 1CM BLANCO</t>
  </si>
  <si>
    <t>CINTA SATINADA DE 7MM BLANCO</t>
  </si>
  <si>
    <t>CINTA SATINADA DE 7MM ROSADO</t>
  </si>
  <si>
    <t>CINTA SATINADA DE 7MM FUXIA</t>
  </si>
  <si>
    <t>CINTA SATINADA DE 7MM PERLA</t>
  </si>
  <si>
    <t>CINTA SATINADA DE 7MM CREMA</t>
  </si>
  <si>
    <t>CINTA SATINADA DE 7MM AM ORO</t>
  </si>
  <si>
    <t>CINTA SATINADA DE 7MM DORADO</t>
  </si>
  <si>
    <t>CINTA SATINADA DE 7MM ROJO</t>
  </si>
  <si>
    <t>CINTA SATINADA DE 7MM VERDE</t>
  </si>
  <si>
    <t>CINTA SATINADA DE 7MM BEIGE</t>
  </si>
  <si>
    <t>CINTA SATINADA DE 7MM VERDE JADE</t>
  </si>
  <si>
    <t>CIERRE NYLON 75CM ROJO</t>
  </si>
  <si>
    <t>paquete</t>
  </si>
  <si>
    <t>CIERRE NYLON 75CM AZULINO</t>
  </si>
  <si>
    <t>CIERRE NYLON 75CM AZUL</t>
  </si>
  <si>
    <t>CIERRE NYLON 75CM PLOMO</t>
  </si>
  <si>
    <t>CIERRE NYLON 75CM NEGRO</t>
  </si>
  <si>
    <t>CIERRE NYLON 75CM VERDE LECHUGA</t>
  </si>
  <si>
    <t>CIERRE TRACTOR 75CM ROJO</t>
  </si>
  <si>
    <t>CIERRE TRACTOR 75CM VERDE  LECHUGA</t>
  </si>
  <si>
    <t>CIERRE NYLON 35CM BLANCO</t>
  </si>
  <si>
    <t>CIERRE NYLON 35CM NEGRO</t>
  </si>
  <si>
    <t>CIERRE NYLON 45CM BLANCO</t>
  </si>
  <si>
    <t>CIERRE NYLON 45CM NEGRO</t>
  </si>
  <si>
    <t>BROCHES MET. BB</t>
  </si>
  <si>
    <t>Millar</t>
  </si>
  <si>
    <t>ELASTICO ROJO 3CM</t>
  </si>
  <si>
    <t>ELASTICO POLIESTER  DE 5CM</t>
  </si>
  <si>
    <t>BOTON LENTEJA #34 ROJO</t>
  </si>
  <si>
    <t>Mazo</t>
  </si>
  <si>
    <t>BOTON LENTEJA #34 AMARILLO BRAZIL</t>
  </si>
  <si>
    <t>BOTON LENTEJA #28 BLANCO</t>
  </si>
  <si>
    <t>BOTON LENTEJA #28 ROJO</t>
  </si>
  <si>
    <t>BOTON LENTEJA #28 AZUL</t>
  </si>
  <si>
    <t>BOTON LENTEJA #28 AZULINO</t>
  </si>
  <si>
    <t>BOTON LENTEJA #28 FUXIA</t>
  </si>
  <si>
    <t>BOTON LENTEJA #28 ROSADO</t>
  </si>
  <si>
    <t>BOTON LENTEJA #28 VERDE MANZANA</t>
  </si>
  <si>
    <t>BOTON LENTEJA #28 AMARILLO BRAZIL</t>
  </si>
  <si>
    <t>BOTON LENTEJA #28 AMARILLO ORO</t>
  </si>
  <si>
    <t>unidad</t>
  </si>
  <si>
    <t>BOTON LENTEJA #28 TURQUEZA</t>
  </si>
  <si>
    <t>BOTON DORADO #24</t>
  </si>
  <si>
    <t>BOTON DORADO #28</t>
  </si>
  <si>
    <t>BOTON DORADO HONGUITO #34</t>
  </si>
  <si>
    <t>BOTON ANCLA #32 DORADO</t>
  </si>
  <si>
    <t>BOTON DORADO #34 DORADO</t>
  </si>
  <si>
    <t>BLONDA SABROSA BLANCA</t>
  </si>
  <si>
    <t>EVILLAS LATA  DORADO</t>
  </si>
  <si>
    <t>CIERRE TRACTOR NEGRO BRILLANTE</t>
  </si>
  <si>
    <t>INSUMOS</t>
  </si>
  <si>
    <t>TINTA VINILICA NEGRA</t>
  </si>
  <si>
    <t>Kg</t>
  </si>
  <si>
    <t>TINTA VINILICA AZULINO</t>
  </si>
  <si>
    <t>g</t>
  </si>
  <si>
    <t>TINTA VINILICA ROJO</t>
  </si>
  <si>
    <t>TINTA VINILICA VERDE LORO</t>
  </si>
  <si>
    <t>RETARDADOR NARANJA</t>
  </si>
  <si>
    <t>litro</t>
  </si>
  <si>
    <t>l</t>
  </si>
  <si>
    <t>RETARDADOR BLANCO</t>
  </si>
  <si>
    <t>PURPURINA DORADO</t>
  </si>
  <si>
    <t>PURPURINA PLATEADO</t>
  </si>
  <si>
    <t>PIGMENTO NEGRO</t>
  </si>
  <si>
    <t>PIGMENTO AMARILLO</t>
  </si>
  <si>
    <t>PIGMENTO ROJO</t>
  </si>
  <si>
    <t>PEGAMENTO D MESA</t>
  </si>
  <si>
    <t>MULTIUSO</t>
  </si>
  <si>
    <t>EMULSION ULANO</t>
  </si>
  <si>
    <t>COPAJE SINTETICO</t>
  </si>
  <si>
    <t>kg</t>
  </si>
  <si>
    <t>BLONDA CHAVELA BLANCA</t>
  </si>
  <si>
    <t>BARNIS</t>
  </si>
  <si>
    <t>BASE BB BLANCO</t>
  </si>
  <si>
    <t>CINTILLO DORADO</t>
  </si>
  <si>
    <t>CINTILLO PLATEADO</t>
  </si>
  <si>
    <t>Unidad de compra</t>
  </si>
  <si>
    <t>Equivalencia</t>
  </si>
  <si>
    <t>Unidad de consumo</t>
  </si>
  <si>
    <t>Observacion</t>
  </si>
  <si>
    <t>Yds</t>
  </si>
  <si>
    <t>Gruesa</t>
  </si>
  <si>
    <t>Docena</t>
  </si>
  <si>
    <t>Und</t>
  </si>
  <si>
    <t>Caja</t>
  </si>
  <si>
    <t>depende de la cantidad de unidades por caja</t>
  </si>
  <si>
    <t>Cono(5000yds)</t>
  </si>
  <si>
    <t>depende de la cantidad de yardas por cono</t>
  </si>
  <si>
    <t>depende de la cantidad de metros por cono</t>
  </si>
  <si>
    <t>Depende de las especificaciones del proveedor</t>
  </si>
  <si>
    <t>Rollo (yds)</t>
  </si>
  <si>
    <t>depende de la cantidad de yardas  por rollo</t>
  </si>
  <si>
    <t>ml</t>
  </si>
  <si>
    <t>PRECIO POR TALLA DE CONFECCION</t>
  </si>
  <si>
    <t>CODIGO</t>
  </si>
  <si>
    <t>DESCRIPCION</t>
  </si>
  <si>
    <t>T0</t>
  </si>
  <si>
    <t>T2</t>
  </si>
  <si>
    <t>T4</t>
  </si>
  <si>
    <t>T6</t>
  </si>
  <si>
    <t>T8</t>
  </si>
  <si>
    <t>T10</t>
  </si>
  <si>
    <t>T12</t>
  </si>
  <si>
    <t>T14</t>
  </si>
  <si>
    <t>T16</t>
  </si>
  <si>
    <t>TS</t>
  </si>
  <si>
    <t>TAD</t>
  </si>
  <si>
    <t>OJAL Y BOTON</t>
  </si>
  <si>
    <t>DANZAS TIPICAS</t>
  </si>
  <si>
    <t xml:space="preserve">PREGONERA </t>
  </si>
  <si>
    <t>AREQUIPA MUJER</t>
  </si>
  <si>
    <t>SELVA MUJER (RAZO)</t>
  </si>
  <si>
    <t xml:space="preserve">AREQUIPA HOMBRE </t>
  </si>
  <si>
    <t>SELVA MUJER (SERMAT)</t>
  </si>
  <si>
    <t xml:space="preserve">FESTEJO MUJER </t>
  </si>
  <si>
    <t xml:space="preserve">LANDO HOMBRE </t>
  </si>
  <si>
    <t xml:space="preserve">LANDO MUJER </t>
  </si>
  <si>
    <t xml:space="preserve">SAYA HOMBRE </t>
  </si>
  <si>
    <t xml:space="preserve">BAILE MODERNO HOMBRE </t>
  </si>
  <si>
    <t xml:space="preserve">BAILE MODERNO MUJER </t>
  </si>
  <si>
    <t xml:space="preserve">TRAVOLTA </t>
  </si>
  <si>
    <t xml:space="preserve">HUAYLAS MUJER SANTIAGO </t>
  </si>
  <si>
    <t xml:space="preserve">HUAYLAS HOMBRE </t>
  </si>
  <si>
    <t xml:space="preserve">SAYA MUJER </t>
  </si>
  <si>
    <t>CUZQUEÑO</t>
  </si>
  <si>
    <t xml:space="preserve">ÑUSTA </t>
  </si>
  <si>
    <t xml:space="preserve">SANTIAGO HOMBRE </t>
  </si>
  <si>
    <t xml:space="preserve">SELVA HOMBRE </t>
  </si>
  <si>
    <t>FESTEJO HOMBRE</t>
  </si>
  <si>
    <t>CHALAN</t>
  </si>
  <si>
    <t>FESTEJO PANTALON LARGO</t>
  </si>
  <si>
    <t>MARINA DE GALA</t>
  </si>
  <si>
    <t>MARINA MUJER</t>
  </si>
  <si>
    <t>POLKA (TAPADA LIMEÑA)</t>
  </si>
  <si>
    <t xml:space="preserve">INCA </t>
  </si>
  <si>
    <t>HUSARES DE JUNIN</t>
  </si>
  <si>
    <t xml:space="preserve"> </t>
  </si>
  <si>
    <t>SAN MARTIN</t>
  </si>
  <si>
    <t>BOLOGNESI</t>
  </si>
  <si>
    <t>ALFONZO UGARTE</t>
  </si>
  <si>
    <t>CONQUISTADOR</t>
  </si>
  <si>
    <t>BOLIVAR</t>
  </si>
  <si>
    <t>HUSARINA</t>
  </si>
  <si>
    <t>GUARIPOLERA</t>
  </si>
  <si>
    <t>PARIGUANA</t>
  </si>
  <si>
    <t>MADRE PATRIA</t>
  </si>
  <si>
    <t>MICAELA BASTIDAS</t>
  </si>
  <si>
    <t>MARIA PARADO B.</t>
  </si>
  <si>
    <t>VIRREY</t>
  </si>
  <si>
    <t>TUPAC AMARU</t>
  </si>
  <si>
    <t>COLLA</t>
  </si>
  <si>
    <t>MIGUEL GRAU</t>
  </si>
  <si>
    <t>JOSE OLAYA</t>
  </si>
  <si>
    <t>VIRGENES DEL SOL</t>
  </si>
  <si>
    <t>HALLOWEN</t>
  </si>
  <si>
    <t xml:space="preserve"> CALAMAR </t>
  </si>
  <si>
    <t>NAVIDAD</t>
  </si>
  <si>
    <t>SN001</t>
  </si>
  <si>
    <t>DUENDE CON MEDIAS</t>
  </si>
  <si>
    <t>ROPA PAPANOEL LAMINADO</t>
  </si>
  <si>
    <t>SOLDADO ROMANO</t>
  </si>
  <si>
    <t xml:space="preserve">ANGELITOS </t>
  </si>
  <si>
    <t>JESUS</t>
  </si>
  <si>
    <t xml:space="preserve">VIRGEN MARIA </t>
  </si>
  <si>
    <t>PILATOS</t>
  </si>
  <si>
    <t>PERSONAJES VARIOS</t>
  </si>
  <si>
    <t>RIDER</t>
  </si>
  <si>
    <t>PLIN PLIN (POLO ,SHORT)</t>
  </si>
  <si>
    <t xml:space="preserve">LULI PAN PIN </t>
  </si>
  <si>
    <t>PILOTO</t>
  </si>
  <si>
    <t>KUROMI</t>
  </si>
  <si>
    <t>SIRENITA MITEX</t>
  </si>
  <si>
    <t>VAQUERA (JESSY VESTIDO)</t>
  </si>
  <si>
    <t>VAQUERO (BUDY)</t>
  </si>
  <si>
    <t>ZENON</t>
  </si>
  <si>
    <t>BLIPI</t>
  </si>
  <si>
    <t>PRINCIPE</t>
  </si>
  <si>
    <t xml:space="preserve">PAYASITO OVEROL </t>
  </si>
  <si>
    <t xml:space="preserve">PLIN PLINA </t>
  </si>
  <si>
    <t xml:space="preserve">CAZADOR </t>
  </si>
  <si>
    <t xml:space="preserve">MOANA </t>
  </si>
  <si>
    <t>GRANJERA</t>
  </si>
  <si>
    <t>MINI EN PLUSH</t>
  </si>
  <si>
    <t>CHAVO</t>
  </si>
  <si>
    <t xml:space="preserve">CARS </t>
  </si>
  <si>
    <t>CAPIBARA</t>
  </si>
  <si>
    <t xml:space="preserve">BURBUJO </t>
  </si>
  <si>
    <t xml:space="preserve">BELY BETO </t>
  </si>
  <si>
    <t>MAGO</t>
  </si>
  <si>
    <t>BURBUJA MUJER</t>
  </si>
  <si>
    <t xml:space="preserve">RANA RENE MUJER </t>
  </si>
  <si>
    <t xml:space="preserve">CAMPANITA </t>
  </si>
  <si>
    <t xml:space="preserve">SONIC </t>
  </si>
  <si>
    <t>MASHA</t>
  </si>
  <si>
    <t>PLIN PLIN (ENTERIZO)</t>
  </si>
  <si>
    <t>CHILINDRINA</t>
  </si>
  <si>
    <t>4..5</t>
  </si>
  <si>
    <t>PAYASITA VESTIDO</t>
  </si>
  <si>
    <t>CAPERUCITA</t>
  </si>
  <si>
    <t>PRIMAVERA</t>
  </si>
  <si>
    <t>ABEJITA</t>
  </si>
  <si>
    <t xml:space="preserve">ANIMALITOS </t>
  </si>
  <si>
    <t>PRINCESAS ESPECIALES</t>
  </si>
  <si>
    <t xml:space="preserve">BLANCA NIEVES </t>
  </si>
  <si>
    <t>CENICIENTA</t>
  </si>
  <si>
    <t>BARBIE</t>
  </si>
  <si>
    <t>MARINA HOMBRE</t>
  </si>
  <si>
    <t>MANDIL CHEF</t>
  </si>
  <si>
    <t>BOMBERO</t>
  </si>
  <si>
    <t>POLICIA DE TRANSITO</t>
  </si>
  <si>
    <t>CHEF</t>
  </si>
  <si>
    <t>ENFERMERA TURQUESSA</t>
  </si>
  <si>
    <t>GUARDAPOLVO</t>
  </si>
  <si>
    <t xml:space="preserve">DOCTOR </t>
  </si>
  <si>
    <t xml:space="preserve">POLICIA HOMBRE </t>
  </si>
  <si>
    <t>COMANDO CON CASACA</t>
  </si>
  <si>
    <t>POPEYE HOMBRE</t>
  </si>
  <si>
    <t>POPEYE MUJER</t>
  </si>
  <si>
    <t>COMANDO CON POLO</t>
  </si>
  <si>
    <t>MANDIL CHEF CHICO</t>
  </si>
  <si>
    <t>FAP HOMBRE</t>
  </si>
  <si>
    <t>CAMISAS DE POLICIA</t>
  </si>
  <si>
    <t>FAP MUJER</t>
  </si>
  <si>
    <t>POLICIA MUJER</t>
  </si>
  <si>
    <t>CIRUJANO</t>
  </si>
  <si>
    <t>DENTISTA HOMBRE</t>
  </si>
  <si>
    <t>VETERINARIO</t>
  </si>
  <si>
    <t>DENTISTA MUJER</t>
  </si>
  <si>
    <t>VETERINARIA</t>
  </si>
  <si>
    <t>SUPERHEROES ECONÓMICOS</t>
  </si>
  <si>
    <t>ARAÑA ECONOMICO</t>
  </si>
  <si>
    <t>SUPERHEROES ESPECIALES</t>
  </si>
  <si>
    <t>ARAÑA CLASICO ESPECIAL</t>
  </si>
  <si>
    <t xml:space="preserve">SUPERMAN ESPECIAL </t>
  </si>
  <si>
    <t xml:space="preserve">ARAÑA ESPECIAL </t>
  </si>
  <si>
    <t xml:space="preserve">IRON ESPAIDER </t>
  </si>
  <si>
    <t>CAPITÁN AMÉRICA</t>
  </si>
  <si>
    <t>SUPERHEROES NIÑAS</t>
  </si>
  <si>
    <t xml:space="preserve">MUJER MARAVILLA </t>
  </si>
  <si>
    <t xml:space="preserve">BATICHICA </t>
  </si>
  <si>
    <t xml:space="preserve">MUJER ARAÑA </t>
  </si>
  <si>
    <t xml:space="preserve">SUPERCHICA </t>
  </si>
  <si>
    <t xml:space="preserve">MUJER CAPITANA </t>
  </si>
  <si>
    <t xml:space="preserve">CAPITANA MARVEL </t>
  </si>
  <si>
    <t>TALLERES DE VERANO</t>
  </si>
  <si>
    <t>BALLET ROSADO</t>
  </si>
  <si>
    <t xml:space="preserve">FALDA DE MARINERA </t>
  </si>
  <si>
    <t xml:space="preserve">FALDA DE MARINERA ESPECIAL </t>
  </si>
  <si>
    <t xml:space="preserve">CAMISONES DE MARINERA </t>
  </si>
  <si>
    <t xml:space="preserve">PAÑUELO DE MARINERA </t>
  </si>
  <si>
    <t>MARIPOSA VESTIDO</t>
  </si>
  <si>
    <t>RAPUNZEL</t>
  </si>
  <si>
    <t>ABEJORRO</t>
  </si>
  <si>
    <t>PETER PAN</t>
  </si>
  <si>
    <t>SANTA ROSA</t>
  </si>
  <si>
    <t>LATEX LICRADO LAMINADO DORADO</t>
  </si>
  <si>
    <t>FLECO COLA DE RATA #5 AZULINO</t>
  </si>
  <si>
    <t>FLECO COLA DE RATA  #5 DORADO</t>
  </si>
  <si>
    <t>CINTA SATINADA 2.5CM AMARILLO BRAZIL</t>
  </si>
  <si>
    <t>TETRON BLANCO</t>
  </si>
  <si>
    <t>TETRON AMARILLO ORO</t>
  </si>
  <si>
    <t>TETRON ROJO</t>
  </si>
  <si>
    <t>TETRON COLOR ESPECIAL (BRILLANTE)</t>
  </si>
  <si>
    <t>CANTIDAD MATERIAL (M)</t>
  </si>
  <si>
    <t>BOMBERO #6</t>
  </si>
  <si>
    <t>PF02</t>
  </si>
  <si>
    <t>BOMBERO #8</t>
  </si>
  <si>
    <t>PF03</t>
  </si>
  <si>
    <t>BOMBERO #10</t>
  </si>
  <si>
    <t>PF04</t>
  </si>
  <si>
    <t>BOMBERO #12</t>
  </si>
  <si>
    <t>PF05</t>
  </si>
  <si>
    <t>BOMBERO #14</t>
  </si>
  <si>
    <t>PF06</t>
  </si>
  <si>
    <t>BOMBERO #16</t>
  </si>
  <si>
    <t>PF07</t>
  </si>
  <si>
    <t>CDG_PROD</t>
  </si>
  <si>
    <t>CDG_LINP</t>
  </si>
  <si>
    <t>DES_PROD</t>
  </si>
  <si>
    <t>AVI0000001</t>
  </si>
  <si>
    <t>003</t>
  </si>
  <si>
    <t>AVI0000002</t>
  </si>
  <si>
    <t>AVI0000003</t>
  </si>
  <si>
    <t>AVI0000004</t>
  </si>
  <si>
    <t>AVI0000005</t>
  </si>
  <si>
    <t>AVI0000006</t>
  </si>
  <si>
    <t>AVI0000007</t>
  </si>
  <si>
    <t>AVI0000008</t>
  </si>
  <si>
    <t>AVI0000011</t>
  </si>
  <si>
    <t>AVI0000013</t>
  </si>
  <si>
    <t>AVI0000014</t>
  </si>
  <si>
    <t>AVI0000015</t>
  </si>
  <si>
    <t>AVI0000016</t>
  </si>
  <si>
    <t>AVI0000017</t>
  </si>
  <si>
    <t>AVI0000018</t>
  </si>
  <si>
    <t>AVI0000019</t>
  </si>
  <si>
    <t>AVI0000020</t>
  </si>
  <si>
    <t>AVI0000021</t>
  </si>
  <si>
    <t>AVI0000022</t>
  </si>
  <si>
    <t>AVI0000023</t>
  </si>
  <si>
    <t>AVI0000024</t>
  </si>
  <si>
    <t>AVI0000025</t>
  </si>
  <si>
    <t>AVI0000026</t>
  </si>
  <si>
    <t>AVI0000027</t>
  </si>
  <si>
    <t>AVI0000028</t>
  </si>
  <si>
    <t>AVI0000029</t>
  </si>
  <si>
    <t>AVI0000030</t>
  </si>
  <si>
    <t>AVI0000031</t>
  </si>
  <si>
    <t>AVI0000032</t>
  </si>
  <si>
    <t>AVI0000033</t>
  </si>
  <si>
    <t>AVI0000034</t>
  </si>
  <si>
    <t>AVI0000035</t>
  </si>
  <si>
    <t>AVI0000036</t>
  </si>
  <si>
    <t>AVI0000037</t>
  </si>
  <si>
    <t>AVI0000038</t>
  </si>
  <si>
    <t>AVI0000039</t>
  </si>
  <si>
    <t>AVI0000040</t>
  </si>
  <si>
    <t>FLECO COLA DE RATA AZULINO</t>
  </si>
  <si>
    <t>AVI0000041</t>
  </si>
  <si>
    <t>FLECO COLA DE RATA DORADO</t>
  </si>
  <si>
    <t>AVI0000042</t>
  </si>
  <si>
    <t>AVI0000043</t>
  </si>
  <si>
    <t>AVI0000044</t>
  </si>
  <si>
    <t>AVI0000045</t>
  </si>
  <si>
    <t>AVI0000046</t>
  </si>
  <si>
    <t>AVI0000047</t>
  </si>
  <si>
    <t>AVI0000048</t>
  </si>
  <si>
    <t>AVI0000049</t>
  </si>
  <si>
    <t>AVI0000050</t>
  </si>
  <si>
    <t>AVI0000051</t>
  </si>
  <si>
    <t>AVI0000052</t>
  </si>
  <si>
    <t>AVI0000054</t>
  </si>
  <si>
    <t>AVI0000055</t>
  </si>
  <si>
    <t>AVI0000056</t>
  </si>
  <si>
    <t>AVI0000057</t>
  </si>
  <si>
    <t>AVI0000058</t>
  </si>
  <si>
    <t>AVI0000059</t>
  </si>
  <si>
    <t>AVI0000060</t>
  </si>
  <si>
    <t>AVI0000061</t>
  </si>
  <si>
    <t>AVI0000062</t>
  </si>
  <si>
    <t>AVI0000063</t>
  </si>
  <si>
    <t>AVI0000064</t>
  </si>
  <si>
    <t>AVI0000065</t>
  </si>
  <si>
    <t>AVI0000066</t>
  </si>
  <si>
    <t>AVI0000067</t>
  </si>
  <si>
    <t>AVI0000068</t>
  </si>
  <si>
    <t>AVI0000069</t>
  </si>
  <si>
    <t>AVI0000070</t>
  </si>
  <si>
    <t>AVI0000071</t>
  </si>
  <si>
    <t>AVI0000072</t>
  </si>
  <si>
    <t>AVI0000073</t>
  </si>
  <si>
    <t>AVI0000074</t>
  </si>
  <si>
    <t>AVI0000075</t>
  </si>
  <si>
    <t>AVI0000076</t>
  </si>
  <si>
    <t>AVI0000077</t>
  </si>
  <si>
    <t>AVI0000078</t>
  </si>
  <si>
    <t>AVI0000079</t>
  </si>
  <si>
    <t>AVI0000080</t>
  </si>
  <si>
    <t>AVI0000081</t>
  </si>
  <si>
    <t>AVI0000082</t>
  </si>
  <si>
    <t>AVI0000083</t>
  </si>
  <si>
    <t>AVI0000084</t>
  </si>
  <si>
    <t>AVI0000085</t>
  </si>
  <si>
    <t>AVI0000086</t>
  </si>
  <si>
    <t>AVI0000087</t>
  </si>
  <si>
    <t>AVI0000088</t>
  </si>
  <si>
    <t>AVI0000089</t>
  </si>
  <si>
    <t>AVI0000090</t>
  </si>
  <si>
    <t>AVI0000091</t>
  </si>
  <si>
    <t>AVI0000092</t>
  </si>
  <si>
    <t>AVI0000093</t>
  </si>
  <si>
    <t>AVI0000094</t>
  </si>
  <si>
    <t>AVI0000095</t>
  </si>
  <si>
    <t>AVI0000096</t>
  </si>
  <si>
    <t>AVI0000097</t>
  </si>
  <si>
    <t>AVI0000098</t>
  </si>
  <si>
    <t>AVI0000099</t>
  </si>
  <si>
    <t>AVI0000100</t>
  </si>
  <si>
    <t>AVI0000101</t>
  </si>
  <si>
    <t>AVI0000102</t>
  </si>
  <si>
    <t>AVI0000103</t>
  </si>
  <si>
    <t>AVI0000104</t>
  </si>
  <si>
    <t>AVI0000105</t>
  </si>
  <si>
    <t>AVI0000106</t>
  </si>
  <si>
    <t>AVI0000107</t>
  </si>
  <si>
    <t>AVI0000108</t>
  </si>
  <si>
    <t>AVI0000109</t>
  </si>
  <si>
    <t>AVI0000110</t>
  </si>
  <si>
    <t>AVI0000111</t>
  </si>
  <si>
    <t>AVI0000112</t>
  </si>
  <si>
    <t>AVI0000113</t>
  </si>
  <si>
    <t>AVI0000114</t>
  </si>
  <si>
    <t>AVI0000115</t>
  </si>
  <si>
    <t>AVI0000116</t>
  </si>
  <si>
    <t>AVI0000117</t>
  </si>
  <si>
    <t>AVI0000118</t>
  </si>
  <si>
    <t>AVI0000119</t>
  </si>
  <si>
    <t>AVI0000120</t>
  </si>
  <si>
    <t>AVI0000121</t>
  </si>
  <si>
    <t>AVI0000122</t>
  </si>
  <si>
    <t>AVI0000123</t>
  </si>
  <si>
    <t>AVI0000124</t>
  </si>
  <si>
    <t>AVI0000125</t>
  </si>
  <si>
    <t>AVI0000126</t>
  </si>
  <si>
    <t>AVI0000127</t>
  </si>
  <si>
    <t>AVI0000128</t>
  </si>
  <si>
    <t>AVI0000129</t>
  </si>
  <si>
    <t>AVI0000130</t>
  </si>
  <si>
    <t>AVI0000131</t>
  </si>
  <si>
    <t>AVI0000132</t>
  </si>
  <si>
    <t>AVI0000133</t>
  </si>
  <si>
    <t>AVI0000134</t>
  </si>
  <si>
    <t>AVI0000135</t>
  </si>
  <si>
    <t>AVI0000136</t>
  </si>
  <si>
    <t>AVI0000137</t>
  </si>
  <si>
    <t>AVI0000138</t>
  </si>
  <si>
    <t>AVI0000139</t>
  </si>
  <si>
    <t>AVI0000140</t>
  </si>
  <si>
    <t>AVI0000141</t>
  </si>
  <si>
    <t>AVI0000142</t>
  </si>
  <si>
    <t>AVI0000143</t>
  </si>
  <si>
    <t>INS0000001</t>
  </si>
  <si>
    <t>004</t>
  </si>
  <si>
    <t>INS0000002</t>
  </si>
  <si>
    <t>INS0000003</t>
  </si>
  <si>
    <t>INS0000004</t>
  </si>
  <si>
    <t>INS0000005</t>
  </si>
  <si>
    <t>INS0000006</t>
  </si>
  <si>
    <t>INS0000007</t>
  </si>
  <si>
    <t>INS0000008</t>
  </si>
  <si>
    <t>INS0000009</t>
  </si>
  <si>
    <t>INS0000010</t>
  </si>
  <si>
    <t>INS0000011</t>
  </si>
  <si>
    <t>INS0000012</t>
  </si>
  <si>
    <t>INS0000013</t>
  </si>
  <si>
    <t>INS0000014</t>
  </si>
  <si>
    <t>INS0000015</t>
  </si>
  <si>
    <t>INS0000016</t>
  </si>
  <si>
    <t>INS0000017</t>
  </si>
  <si>
    <t>TEL0000001</t>
  </si>
  <si>
    <t>005</t>
  </si>
  <si>
    <t>TEL0000002</t>
  </si>
  <si>
    <t>TEL0000003</t>
  </si>
  <si>
    <t>TEL0000004</t>
  </si>
  <si>
    <t>TEL0000005</t>
  </si>
  <si>
    <t>TEL0000006</t>
  </si>
  <si>
    <t>TEL0000007</t>
  </si>
  <si>
    <t>TEL0000008</t>
  </si>
  <si>
    <t>TEL0000009</t>
  </si>
  <si>
    <t>TEL0000010</t>
  </si>
  <si>
    <t>TEL0000011</t>
  </si>
  <si>
    <t>TEL0000012</t>
  </si>
  <si>
    <t>TEL0000013</t>
  </si>
  <si>
    <t>TEL0000014</t>
  </si>
  <si>
    <t>TEL0000015</t>
  </si>
  <si>
    <t>TEL0000016</t>
  </si>
  <si>
    <t>TEL0000017</t>
  </si>
  <si>
    <t>TEL0000018</t>
  </si>
  <si>
    <t>TEL0000019</t>
  </si>
  <si>
    <t>TEL0000020</t>
  </si>
  <si>
    <t>TEL0000021</t>
  </si>
  <si>
    <t>TEL0000022</t>
  </si>
  <si>
    <t>TEL0000023</t>
  </si>
  <si>
    <t>TEL0000024</t>
  </si>
  <si>
    <t>TEL0000025</t>
  </si>
  <si>
    <t>TEL0000026</t>
  </si>
  <si>
    <t>TEL0000027</t>
  </si>
  <si>
    <t>TEL0000028</t>
  </si>
  <si>
    <t>TEL0000029</t>
  </si>
  <si>
    <t>TEL0000030</t>
  </si>
  <si>
    <t>TEL0000031</t>
  </si>
  <si>
    <t>TEL0000032</t>
  </si>
  <si>
    <t>TEL0000033</t>
  </si>
  <si>
    <t>TEL0000034</t>
  </si>
  <si>
    <t>TEL0000036</t>
  </si>
  <si>
    <t>TEL0000037</t>
  </si>
  <si>
    <t>TEL0000038</t>
  </si>
  <si>
    <t>TEL0000039</t>
  </si>
  <si>
    <t>TEL0000040</t>
  </si>
  <si>
    <t>TEL0000041</t>
  </si>
  <si>
    <t>TEL0000042</t>
  </si>
  <si>
    <t>TEL0000043</t>
  </si>
  <si>
    <t>TEL0000044</t>
  </si>
  <si>
    <t>TEL0000045</t>
  </si>
  <si>
    <t>TEL0000046</t>
  </si>
  <si>
    <t>TEL0000047</t>
  </si>
  <si>
    <t>TEL0000048</t>
  </si>
  <si>
    <t>TEL0000049</t>
  </si>
  <si>
    <t>TEL0000050</t>
  </si>
  <si>
    <t>TEL0000051</t>
  </si>
  <si>
    <t>TEL0000052</t>
  </si>
  <si>
    <t>TEL0000053</t>
  </si>
  <si>
    <t>TEL0000054</t>
  </si>
  <si>
    <t>TEL0000055</t>
  </si>
  <si>
    <t>TEL0000056</t>
  </si>
  <si>
    <t>TEL0000057</t>
  </si>
  <si>
    <t>TEL0000058</t>
  </si>
  <si>
    <t>TEL0000059</t>
  </si>
  <si>
    <t>TEL0000060</t>
  </si>
  <si>
    <t>TEL0000061</t>
  </si>
  <si>
    <t>TEL0000062</t>
  </si>
  <si>
    <t>TEL0000063</t>
  </si>
  <si>
    <t>TEL0000064</t>
  </si>
  <si>
    <t>TEL0000065</t>
  </si>
  <si>
    <t>TEL0000066</t>
  </si>
  <si>
    <t>TEL0000067</t>
  </si>
  <si>
    <t>TEL0000068</t>
  </si>
  <si>
    <t>TEL0000069</t>
  </si>
  <si>
    <t>TEL0000070</t>
  </si>
  <si>
    <t>TEL0000071</t>
  </si>
  <si>
    <t>TEL0000072</t>
  </si>
  <si>
    <t>TEL0000073</t>
  </si>
  <si>
    <t>TEL0000074</t>
  </si>
  <si>
    <t>TEL0000075</t>
  </si>
  <si>
    <t>TEL0000076</t>
  </si>
  <si>
    <t>TEL0000077</t>
  </si>
  <si>
    <t>TEL0000078</t>
  </si>
  <si>
    <t>TEL0000079</t>
  </si>
  <si>
    <t>TEL0000080</t>
  </si>
  <si>
    <t>TEL0000081</t>
  </si>
  <si>
    <t>TEL0000082</t>
  </si>
  <si>
    <t>TEL0000083</t>
  </si>
  <si>
    <t>TEL0000084</t>
  </si>
  <si>
    <t>TEL0000085</t>
  </si>
  <si>
    <t>TEL0000086</t>
  </si>
  <si>
    <t>TEL0000087</t>
  </si>
  <si>
    <t>TEL0000088</t>
  </si>
  <si>
    <t>TEL0000089</t>
  </si>
  <si>
    <t>TEL0000090</t>
  </si>
  <si>
    <t>TEL0000091</t>
  </si>
  <si>
    <t>TEL0000092</t>
  </si>
  <si>
    <t>TEL0000093</t>
  </si>
  <si>
    <t>TEL0000094</t>
  </si>
  <si>
    <t>TEL0000095</t>
  </si>
  <si>
    <t>TEL0000096</t>
  </si>
  <si>
    <t>TEL0000097</t>
  </si>
  <si>
    <t>TEL0000098</t>
  </si>
  <si>
    <t>TEL0000099</t>
  </si>
  <si>
    <t>TEL0000100</t>
  </si>
  <si>
    <t>TEL0000101</t>
  </si>
  <si>
    <t>TEL0000102</t>
  </si>
  <si>
    <t>TEL0000103</t>
  </si>
  <si>
    <t>TEL0000104</t>
  </si>
  <si>
    <t>TEL0000105</t>
  </si>
  <si>
    <t>TEL0000106</t>
  </si>
  <si>
    <t>TEL0000107</t>
  </si>
  <si>
    <t>TEL0000108</t>
  </si>
  <si>
    <t>TEL0000109</t>
  </si>
  <si>
    <t>TEL0000110</t>
  </si>
  <si>
    <t>TEL0000111</t>
  </si>
  <si>
    <t>TEL0000112</t>
  </si>
  <si>
    <t>TEL0000113</t>
  </si>
  <si>
    <t>TEL0000114</t>
  </si>
  <si>
    <t>TEL0000115</t>
  </si>
  <si>
    <t>TEL0000116</t>
  </si>
  <si>
    <t>TEL0000117</t>
  </si>
  <si>
    <t>TEL0000118</t>
  </si>
  <si>
    <t>TEL0000119</t>
  </si>
  <si>
    <t>TEL0000120</t>
  </si>
  <si>
    <t>TEL0000121</t>
  </si>
  <si>
    <t>TEL0000122</t>
  </si>
  <si>
    <t>TEL0000123</t>
  </si>
  <si>
    <t>TEL0000124</t>
  </si>
  <si>
    <t>TEL0000125</t>
  </si>
  <si>
    <t>TEL0000126</t>
  </si>
  <si>
    <t>TEL0000127</t>
  </si>
  <si>
    <t>TEL0000128</t>
  </si>
  <si>
    <t>TEL0000129</t>
  </si>
  <si>
    <t>TEL0000130</t>
  </si>
  <si>
    <t>TEL0000131</t>
  </si>
  <si>
    <t>TEL0000132</t>
  </si>
  <si>
    <t>TEL0000133</t>
  </si>
  <si>
    <t>TEL0000134</t>
  </si>
  <si>
    <t>TEL0000135</t>
  </si>
  <si>
    <t>TEL0000136</t>
  </si>
  <si>
    <t>TEL0000137</t>
  </si>
  <si>
    <t>TEL0000138</t>
  </si>
  <si>
    <t>TEL0000139</t>
  </si>
  <si>
    <t>TEL0000140</t>
  </si>
  <si>
    <t>TEL0000141</t>
  </si>
  <si>
    <t>TEL0000142</t>
  </si>
  <si>
    <t>TEL0000143</t>
  </si>
  <si>
    <t>TEL0000144</t>
  </si>
  <si>
    <t>TEL0000145</t>
  </si>
  <si>
    <t>TEL0000146</t>
  </si>
  <si>
    <t>TEL0000147</t>
  </si>
  <si>
    <t>TEL0000148</t>
  </si>
  <si>
    <t>TEL0000149</t>
  </si>
  <si>
    <t>TEL0000150</t>
  </si>
  <si>
    <t>TEL0000151</t>
  </si>
  <si>
    <t>TEL0000152</t>
  </si>
  <si>
    <t>TEL0000153</t>
  </si>
  <si>
    <t>TEL0000154</t>
  </si>
  <si>
    <t>TEL0000155</t>
  </si>
  <si>
    <t>TEL0000156</t>
  </si>
  <si>
    <t>TEL0000157</t>
  </si>
  <si>
    <t>TEL0000158</t>
  </si>
  <si>
    <t>TEL0000159</t>
  </si>
  <si>
    <t>TEL0000160</t>
  </si>
  <si>
    <t>TEL0000161</t>
  </si>
  <si>
    <t>TEL0000162</t>
  </si>
  <si>
    <t>TEL0000163</t>
  </si>
  <si>
    <t>TEL0000164</t>
  </si>
  <si>
    <t>TEL0000165</t>
  </si>
  <si>
    <t>TEL0000166</t>
  </si>
  <si>
    <t>TEL0000167</t>
  </si>
  <si>
    <t>TEL0000168</t>
  </si>
  <si>
    <t>TEL0000169</t>
  </si>
  <si>
    <t>TEL0000170</t>
  </si>
  <si>
    <t>TEL0000171</t>
  </si>
  <si>
    <t>TEL0000172</t>
  </si>
  <si>
    <t>TEL0000173</t>
  </si>
  <si>
    <t>TEL0000174</t>
  </si>
  <si>
    <t>TEL0000175</t>
  </si>
  <si>
    <t>TEL0000176</t>
  </si>
  <si>
    <t>TEL0000177</t>
  </si>
  <si>
    <t>TEL0000178</t>
  </si>
  <si>
    <t>TEL0000179</t>
  </si>
  <si>
    <t>TEL0000180</t>
  </si>
  <si>
    <t>TEL0000181</t>
  </si>
  <si>
    <t>TEL0000182</t>
  </si>
  <si>
    <t>TEL0000183</t>
  </si>
  <si>
    <t>TEL0000184</t>
  </si>
  <si>
    <t>TEL0000185</t>
  </si>
  <si>
    <t>TEL0000186</t>
  </si>
  <si>
    <t>TEL0000187</t>
  </si>
  <si>
    <t>TEL0000188</t>
  </si>
  <si>
    <t>TEL0000189</t>
  </si>
  <si>
    <t>TEL0000190</t>
  </si>
  <si>
    <t>Columna2</t>
  </si>
  <si>
    <t>TEL0000192</t>
  </si>
  <si>
    <t>TEL0000191</t>
  </si>
  <si>
    <t>AVI0000144</t>
  </si>
  <si>
    <t>AVI0000145</t>
  </si>
  <si>
    <t>AVI0000146</t>
  </si>
  <si>
    <t>AVI0000147</t>
  </si>
  <si>
    <t>insert into P_DFORM(CDG_PROD,CDG_CONP,CAN_PROD) VALUES('</t>
  </si>
  <si>
    <t xml:space="preserve">UNIDAD DE MEDIDA </t>
  </si>
  <si>
    <t>PF 11</t>
  </si>
  <si>
    <t>PF 12</t>
  </si>
  <si>
    <t>ELASTICO POLIESTER DE 2CM</t>
  </si>
  <si>
    <t>POLICIA HOMBRE #4</t>
  </si>
  <si>
    <t>POLICIA HOMBRE #6</t>
  </si>
  <si>
    <t>POLICIA HOMBRE #8</t>
  </si>
  <si>
    <t>PF 13</t>
  </si>
  <si>
    <t>POLICIA HOMBRE #10</t>
  </si>
  <si>
    <t>PF 14</t>
  </si>
  <si>
    <t>POLICIA HOMBRE #12</t>
  </si>
  <si>
    <t>PF 15</t>
  </si>
  <si>
    <t>POLICIA HOMBRE #14</t>
  </si>
  <si>
    <t>PF 16</t>
  </si>
  <si>
    <t>POLICIA HOMBRE #16</t>
  </si>
  <si>
    <t>PF 17</t>
  </si>
  <si>
    <t>POLICIA HOMBRE #S</t>
  </si>
  <si>
    <t>PF 18</t>
  </si>
  <si>
    <t>POLICIA HOMBRE #AD</t>
  </si>
  <si>
    <t>PF 19</t>
  </si>
  <si>
    <t>POLICIA MUJER #AD</t>
  </si>
  <si>
    <t>POLICIA MUJER #4</t>
  </si>
  <si>
    <t>PF21</t>
  </si>
  <si>
    <t>FAP HOMBRE #4</t>
  </si>
  <si>
    <t>PF81</t>
  </si>
  <si>
    <t>FAP HOMBRE #6</t>
  </si>
  <si>
    <t>FAP HOMBRE #8</t>
  </si>
  <si>
    <t>FAP HOMBRE #10</t>
  </si>
  <si>
    <t>FAP HOMBRE #12</t>
  </si>
  <si>
    <t>FAP HOMBRE #14</t>
  </si>
  <si>
    <t>FAP HOMBRE #16</t>
  </si>
  <si>
    <t>FAP HOMBRE #S</t>
  </si>
  <si>
    <t>FAP HOMBRE #AD</t>
  </si>
  <si>
    <t>PF82</t>
  </si>
  <si>
    <t>PF83</t>
  </si>
  <si>
    <t>PF84</t>
  </si>
  <si>
    <t>PF85</t>
  </si>
  <si>
    <t>PF86</t>
  </si>
  <si>
    <t>PF87</t>
  </si>
  <si>
    <t>PF88</t>
  </si>
  <si>
    <t>PF89</t>
  </si>
  <si>
    <t>MARINA HOMBRE #4</t>
  </si>
  <si>
    <t>MARINA HOMBRE #6</t>
  </si>
  <si>
    <t>MARINA HOMBRE #8</t>
  </si>
  <si>
    <t>MARINA HOMBRE #10</t>
  </si>
  <si>
    <t>MARINA HOMBRE #12</t>
  </si>
  <si>
    <t>MARINA HOMBRE #14</t>
  </si>
  <si>
    <t>MARINA HOMBRE #16</t>
  </si>
  <si>
    <t>MARINA HOMBRE #S</t>
  </si>
  <si>
    <t>MARINA HOMBRE #AD</t>
  </si>
  <si>
    <t>PF121</t>
  </si>
  <si>
    <t>PF122</t>
  </si>
  <si>
    <t>PF123</t>
  </si>
  <si>
    <t>PF124</t>
  </si>
  <si>
    <t>PF125</t>
  </si>
  <si>
    <t>PF126</t>
  </si>
  <si>
    <t>PF127</t>
  </si>
  <si>
    <t>PF128</t>
  </si>
  <si>
    <t>PF129</t>
  </si>
  <si>
    <t>POLICIA MUJER #6</t>
  </si>
  <si>
    <t>POLICIA MUJER #8</t>
  </si>
  <si>
    <t>POLICIA MUJER #10</t>
  </si>
  <si>
    <t>POLICIA MUJER #12</t>
  </si>
  <si>
    <t>POLICIA MUJER #14</t>
  </si>
  <si>
    <t>POLICIA MUJER #16</t>
  </si>
  <si>
    <t>POLICIA MUJER #S</t>
  </si>
  <si>
    <t>PF22</t>
  </si>
  <si>
    <t>PF23</t>
  </si>
  <si>
    <t>PF24</t>
  </si>
  <si>
    <t>PF25</t>
  </si>
  <si>
    <t>PF26</t>
  </si>
  <si>
    <t>PF27</t>
  </si>
  <si>
    <t>PF28</t>
  </si>
  <si>
    <t>PF29</t>
  </si>
  <si>
    <t>FAP MUJER #4</t>
  </si>
  <si>
    <t>FAP MUJER #6</t>
  </si>
  <si>
    <t>FAP MUJER #8</t>
  </si>
  <si>
    <t>FAP MUJER #10</t>
  </si>
  <si>
    <t>FAP MUJER #12</t>
  </si>
  <si>
    <t>FAP MUJER #14</t>
  </si>
  <si>
    <t>FAP MUJER #16</t>
  </si>
  <si>
    <t>FAP MUJER #S</t>
  </si>
  <si>
    <t>FAP MUJER #AD</t>
  </si>
  <si>
    <t>MARINA MUJER #4</t>
  </si>
  <si>
    <t>MARINA MUJER #6</t>
  </si>
  <si>
    <t>MARINA MUJER #8</t>
  </si>
  <si>
    <t>MARINA MUJER #10</t>
  </si>
  <si>
    <t>MARINA MUJER #12</t>
  </si>
  <si>
    <t>MARINA MUJER #14</t>
  </si>
  <si>
    <t>MARINA MUJER #16</t>
  </si>
  <si>
    <t>MARINA MUJER #S</t>
  </si>
  <si>
    <t>MARINA MUJER #AD</t>
  </si>
  <si>
    <t>PF131</t>
  </si>
  <si>
    <t>PF132</t>
  </si>
  <si>
    <t>PF133</t>
  </si>
  <si>
    <t>PF134</t>
  </si>
  <si>
    <t>PF135</t>
  </si>
  <si>
    <t>PF136</t>
  </si>
  <si>
    <t>PF137</t>
  </si>
  <si>
    <t>PF138</t>
  </si>
  <si>
    <t>PF139</t>
  </si>
  <si>
    <t>PF31</t>
  </si>
  <si>
    <t>ENFERMERA TURQUEZA #4</t>
  </si>
  <si>
    <t>SERMAT VERDE MANZANA</t>
  </si>
  <si>
    <t>ELASTICO PILI</t>
  </si>
  <si>
    <t>ENFERMERA TURQUEZA #6</t>
  </si>
  <si>
    <t>ENFERMERA TURQUEZA #8</t>
  </si>
  <si>
    <t>ENFERMERA TURQUEZA #10</t>
  </si>
  <si>
    <t>ENFERMERA TURQUEZA #12</t>
  </si>
  <si>
    <t>ENFERMERA TURQUEZA #14</t>
  </si>
  <si>
    <t>ENFERMERA TURQUEZA #16</t>
  </si>
  <si>
    <t>ENFERMERA TURQUEZA #S</t>
  </si>
  <si>
    <t>ENFERMERA TURQUEZA #AD</t>
  </si>
  <si>
    <t>PF32</t>
  </si>
  <si>
    <t>PF33</t>
  </si>
  <si>
    <t>PF34</t>
  </si>
  <si>
    <t>PF35</t>
  </si>
  <si>
    <t>PF36</t>
  </si>
  <si>
    <t>PF37</t>
  </si>
  <si>
    <t>PF38</t>
  </si>
  <si>
    <t>PF39</t>
  </si>
  <si>
    <t>OBSTETRA #4</t>
  </si>
  <si>
    <t>OBSTETRA #6</t>
  </si>
  <si>
    <t>OBSTETRA #8</t>
  </si>
  <si>
    <t>OBSTETRA #10</t>
  </si>
  <si>
    <t>OBSTETRA #12</t>
  </si>
  <si>
    <t>OBSTETRA #14</t>
  </si>
  <si>
    <t>OBSTETRA #16</t>
  </si>
  <si>
    <t>OBSTETRA #S</t>
  </si>
  <si>
    <t>OBSTETRA #AD</t>
  </si>
  <si>
    <t>mazo</t>
  </si>
  <si>
    <t>BOTON LENTEJA #28 GUINDA</t>
  </si>
  <si>
    <t>CORROSPUM AMARILLO ORO</t>
  </si>
  <si>
    <t>CORROSPUM BLANCO</t>
  </si>
  <si>
    <t>CORROSPUM ROJO</t>
  </si>
  <si>
    <t>GIGANTOGRAFÍA INSIGNIA</t>
  </si>
  <si>
    <t>AVI0000148</t>
  </si>
  <si>
    <t>AVI0000149</t>
  </si>
  <si>
    <t>AVI0000150</t>
  </si>
  <si>
    <t>AVI0000151</t>
  </si>
  <si>
    <t>AVI0000152</t>
  </si>
  <si>
    <t>AVI0000153</t>
  </si>
  <si>
    <t>PF43</t>
  </si>
  <si>
    <t>COMANDO CON POLO #10</t>
  </si>
  <si>
    <t>PF54</t>
  </si>
  <si>
    <t>COMANDO CON CASACA #10</t>
  </si>
  <si>
    <t>PF64</t>
  </si>
  <si>
    <t>CHEF HOMBRE #10</t>
  </si>
  <si>
    <t>PF74</t>
  </si>
  <si>
    <t>CHEF  MUJER #10</t>
  </si>
  <si>
    <t>PF104</t>
  </si>
  <si>
    <t>CRUZ ROJA #10</t>
  </si>
  <si>
    <t>PF114</t>
  </si>
  <si>
    <t>DOCTORA #10</t>
  </si>
  <si>
    <t>PF154</t>
  </si>
  <si>
    <t>DOCTOR #10</t>
  </si>
  <si>
    <t>}DOCTOR #10</t>
  </si>
  <si>
    <t>CIERRE NYLON 75CM BLANCO</t>
  </si>
  <si>
    <t>CIRUJANO #10</t>
  </si>
  <si>
    <t>PF174</t>
  </si>
  <si>
    <t>GUARDAPOLVO #10</t>
  </si>
  <si>
    <t>PF185</t>
  </si>
  <si>
    <t>PILOTO #10</t>
  </si>
  <si>
    <t>PF194</t>
  </si>
  <si>
    <t>PEDIATRA  #10</t>
  </si>
  <si>
    <t>SERMAT AZUL ITALIA</t>
  </si>
  <si>
    <t>POPELINA ESTAMPADA PEDIATRA HOMBRE</t>
  </si>
  <si>
    <t>POPELINA ESTAMPADA PEDIATRA MUJER</t>
  </si>
  <si>
    <t>POPELINA ESTAMPADA VETERINARIO HOMBRE</t>
  </si>
  <si>
    <t>POPELINA ESTAMPADA VETERINARIO MUJER</t>
  </si>
  <si>
    <t>POPELINA ESTAMPADA DENTISTA HOMBRE</t>
  </si>
  <si>
    <t>POPELINA ESTAMPADA DENTISTA MUJER</t>
  </si>
  <si>
    <t>PF214</t>
  </si>
  <si>
    <t>DENTISTA #10</t>
  </si>
  <si>
    <t>PF225</t>
  </si>
  <si>
    <t>MARINA DE GALA #10</t>
  </si>
  <si>
    <t>PF234</t>
  </si>
  <si>
    <t>VETERINARIO MUJER #10</t>
  </si>
  <si>
    <t>PF244</t>
  </si>
  <si>
    <t>POPEYE HOMBRE #10</t>
  </si>
  <si>
    <t>PF254</t>
  </si>
  <si>
    <t>POPEYE MUJER #10</t>
  </si>
  <si>
    <t>PF274</t>
  </si>
  <si>
    <t>CAZADOR #10</t>
  </si>
  <si>
    <t>SERMAT BEIGE</t>
  </si>
  <si>
    <t>SERMAT LAMINADO  BEIGE</t>
  </si>
  <si>
    <t>BOTON LENTEJA #28 MARRON</t>
  </si>
  <si>
    <t>PF283</t>
  </si>
  <si>
    <t>POLICIA DE TRANSITO #10</t>
  </si>
  <si>
    <t>SERMAT VERDE BOTELLA</t>
  </si>
  <si>
    <t>SI SALE A SERVICIO</t>
  </si>
  <si>
    <t>CANTIDAD QUE SE QUEDA EN ALMACEN</t>
  </si>
  <si>
    <t>PF44</t>
  </si>
  <si>
    <t>PF55</t>
  </si>
  <si>
    <t>AVI0000154</t>
  </si>
  <si>
    <t>AVI0000155</t>
  </si>
  <si>
    <t>AVI0000156</t>
  </si>
  <si>
    <t>TEL0000193</t>
  </si>
  <si>
    <t>TEL0000194</t>
  </si>
  <si>
    <t>TEL0000195</t>
  </si>
  <si>
    <t>TEL0000196</t>
  </si>
  <si>
    <t>TEL0000197</t>
  </si>
  <si>
    <t>TEL0000198</t>
  </si>
  <si>
    <t>AVI0000157</t>
  </si>
  <si>
    <t>TEL0000199</t>
  </si>
  <si>
    <t>TEL0000200</t>
  </si>
  <si>
    <t>PF201</t>
  </si>
  <si>
    <t>MANDIL DE CHEF CHICO</t>
  </si>
  <si>
    <t>SN05</t>
  </si>
  <si>
    <t>SUPERHÉROE NIÑA</t>
  </si>
  <si>
    <t>TUL LLANO BLANCO</t>
  </si>
  <si>
    <t>TUL LLANO ROJO</t>
  </si>
  <si>
    <t>TUL LLANO VERDE LORO</t>
  </si>
  <si>
    <t>TUL LLANO AZULINO</t>
  </si>
  <si>
    <t>TUL LLANO AMARILLO BRAZIL</t>
  </si>
  <si>
    <t>TUL LLANO TURQUEZA</t>
  </si>
  <si>
    <t>TUL LLANO CHICLE</t>
  </si>
  <si>
    <t>TUL LLANO FUXIA</t>
  </si>
  <si>
    <t>TUL LLANO ROSADO</t>
  </si>
  <si>
    <t>TUL LLANO MORADO</t>
  </si>
  <si>
    <t>TUL LLANO LILA</t>
  </si>
  <si>
    <t>TUL LLANO AZUL</t>
  </si>
  <si>
    <t>TUL LLANO NARANJA</t>
  </si>
  <si>
    <t>TUL LLANO NEGRO</t>
  </si>
  <si>
    <t>TUL EMELY BLANCO</t>
  </si>
  <si>
    <t>TUL EMELY ROJO</t>
  </si>
  <si>
    <t>TUL EMELY VERDE LORO</t>
  </si>
  <si>
    <t>TUL EMELY AZULINO</t>
  </si>
  <si>
    <t>TUL EMELY AMARILLO BRAZIL</t>
  </si>
  <si>
    <t>TUL EMELY TURQUEZA</t>
  </si>
  <si>
    <t>TUL EMELY CLICLE</t>
  </si>
  <si>
    <t>TUL EMELY FUXIA</t>
  </si>
  <si>
    <t>TUL EMELY ROSADO</t>
  </si>
  <si>
    <t>TUL EMELY MORADO</t>
  </si>
  <si>
    <t>TUL EMELY LILA</t>
  </si>
  <si>
    <t>TUL EMELY AZUL</t>
  </si>
  <si>
    <t>TUL EMELY NARANJA</t>
  </si>
  <si>
    <t>TUL EMELY NEGRO</t>
  </si>
  <si>
    <t>RAZO COREANO BLANCO</t>
  </si>
  <si>
    <t>RAZO COREANO ROJO</t>
  </si>
  <si>
    <t>RAZO COREANO VERDE LORO</t>
  </si>
  <si>
    <t>RAZO COREANO VERDE LIMON</t>
  </si>
  <si>
    <t>RAZO COREANO VERDE LECHUGA</t>
  </si>
  <si>
    <t>RAZO COREANO AZULINO</t>
  </si>
  <si>
    <t>RAZO COREANO AMARILLO BRAZIL</t>
  </si>
  <si>
    <t>RAZO COREANO TURQUEZA</t>
  </si>
  <si>
    <t>RAZO COREANO CHICLE</t>
  </si>
  <si>
    <t>RAZO COREANO ROSADO</t>
  </si>
  <si>
    <t xml:space="preserve">RAZO COREANO MORADO </t>
  </si>
  <si>
    <t>RAZO COREANO LILA</t>
  </si>
  <si>
    <t>RAZO COREANO NARANJA</t>
  </si>
  <si>
    <t>RAZO COREANO NEGRO</t>
  </si>
  <si>
    <t>RAZO COREANO NARANJA FLORECENTE</t>
  </si>
  <si>
    <t>RAZO COREANO BARNEY</t>
  </si>
  <si>
    <t>RAZO SUBLIMADO AZULINO ESTRELLA BLANCA</t>
  </si>
  <si>
    <t>RAZO SUBLIMADO ROJO BOLAS BLANCAS</t>
  </si>
  <si>
    <t>RAZO SUBLIMADO FUXIA BOLAS BLANCAS</t>
  </si>
  <si>
    <t>RAZO SUBLIMADO BUDDY</t>
  </si>
  <si>
    <t>RAZO SUBLIMADO BLANCO BOLAS NEGRAS</t>
  </si>
  <si>
    <t>RAZO SUBLIMADO ROSADO BOLAS BLANCAS</t>
  </si>
  <si>
    <t>RAZO SUBLIMADO TURQUEZA BOLAS BLANCAS</t>
  </si>
  <si>
    <t>RAZO SUBLIMADO LILA BOLAS BLANCAS</t>
  </si>
  <si>
    <t>RAZO SUBLIMADO AMARILLO BOLAS BLANCAS</t>
  </si>
  <si>
    <t>NOTEX BLANCO</t>
  </si>
  <si>
    <t>NOTEX NEGRO</t>
  </si>
  <si>
    <t>NOVA DE 4MM  LILA</t>
  </si>
  <si>
    <t>NOVA DE 4MM  VERDE LORO</t>
  </si>
  <si>
    <t>NOVA DE 4MM AMARILLO BRAZIL</t>
  </si>
  <si>
    <t>NOVA DE 4MM AZUL</t>
  </si>
  <si>
    <t>NOVA DE 4MM AZULINO</t>
  </si>
  <si>
    <t>NOVA DE 4MM MARRON</t>
  </si>
  <si>
    <t>NOVA DE 4MM NEGRO</t>
  </si>
  <si>
    <t>NOVA DE 4MM ROJO</t>
  </si>
  <si>
    <t>NOVA DE 4MM TURQUEZA</t>
  </si>
  <si>
    <t>MUJER MARAVILLA #10</t>
  </si>
  <si>
    <t>SN35</t>
  </si>
  <si>
    <t>SUPERCHICA #10</t>
  </si>
  <si>
    <t>SN15</t>
  </si>
  <si>
    <t>BATICHICA #10</t>
  </si>
  <si>
    <t>CINTA SATINADA DE 7MM NEGRO</t>
  </si>
  <si>
    <t>SN45</t>
  </si>
  <si>
    <t>MUJER CAPITANA #10</t>
  </si>
  <si>
    <t>CARTON</t>
  </si>
  <si>
    <t>PLIEGO</t>
  </si>
  <si>
    <t>COLA RATA EN DISCO AZULINO</t>
  </si>
  <si>
    <t>CINTA SATINADA DE 2.5CM ROJO</t>
  </si>
  <si>
    <t>CINTA SATINADA DE 2.5CM AMARILLO ORO</t>
  </si>
  <si>
    <t>CINTA SATINADA DE 2.5CM AMARILLO BRAZIL</t>
  </si>
  <si>
    <t>CINTA SATINADA DE 2.5CM  BLANCO</t>
  </si>
  <si>
    <t>CINTA SATINADA DE 2.5CM NEGRO</t>
  </si>
  <si>
    <t>SS05</t>
  </si>
  <si>
    <t>SUPERHEROE ECONOM.</t>
  </si>
  <si>
    <t>ARAÑA ECONOMICO #10</t>
  </si>
  <si>
    <t>TUL ILUCION BLANCO</t>
  </si>
  <si>
    <t>TUL ILUCION LILA</t>
  </si>
  <si>
    <t>SS15</t>
  </si>
  <si>
    <t>SUPERMAN ECONOMICO #10</t>
  </si>
  <si>
    <t>SS25</t>
  </si>
  <si>
    <t>SS45</t>
  </si>
  <si>
    <t>BATMAN ECONOMICO #10</t>
  </si>
  <si>
    <t>IROMAN ECONOMICO #10</t>
  </si>
  <si>
    <t>SE05</t>
  </si>
  <si>
    <t>SUPERHEROE ESPECIAL</t>
  </si>
  <si>
    <t>ARAÑA CLASICO #10</t>
  </si>
  <si>
    <t>SE25</t>
  </si>
  <si>
    <t>SE15</t>
  </si>
  <si>
    <t>CAPITAN AMERICA #10</t>
  </si>
  <si>
    <t>GIGANTOGRAFIA ESCUDOS</t>
  </si>
  <si>
    <t>SE35</t>
  </si>
  <si>
    <t>IRONSPIDERMAN #10</t>
  </si>
  <si>
    <t>SUPERMAN #10</t>
  </si>
  <si>
    <t>SE45</t>
  </si>
  <si>
    <t>BATMAN #10</t>
  </si>
  <si>
    <t>RIB PARA POLO PLOMO</t>
  </si>
  <si>
    <t>SS55</t>
  </si>
  <si>
    <t>IROMAN #10</t>
  </si>
  <si>
    <t>SB04</t>
  </si>
  <si>
    <t>SUPERHEROES SUBLIM.</t>
  </si>
  <si>
    <t>ARAÑA SUBLIMADO #10</t>
  </si>
  <si>
    <t>DRY</t>
  </si>
  <si>
    <t>PE25</t>
  </si>
  <si>
    <t>POLIESTRECH FUXIA</t>
  </si>
  <si>
    <t>RAZO COREANO FUXIA</t>
  </si>
  <si>
    <t xml:space="preserve">AVIO </t>
  </si>
  <si>
    <t xml:space="preserve">CEZGO ACORDONADO </t>
  </si>
  <si>
    <t>CEZGO ACORDONADO  FUXIA</t>
  </si>
  <si>
    <t>CEZGO ACORDONADO  AMARILLO BRAZIL</t>
  </si>
  <si>
    <t>CEZGO ACORDONADO  ROJO</t>
  </si>
  <si>
    <t>PE35</t>
  </si>
  <si>
    <t>BLANCA NIEVES  #10</t>
  </si>
  <si>
    <t>AURORA #10</t>
  </si>
  <si>
    <t>GRECA TROMPITO DORADO</t>
  </si>
  <si>
    <t>CINTA BUZO ROJO</t>
  </si>
  <si>
    <t>CINTA BUZO BLANCO</t>
  </si>
  <si>
    <t>CINTA BUZO AMARILLO ORO</t>
  </si>
  <si>
    <t>CINTA BUZO ROSADO</t>
  </si>
  <si>
    <t>CINTA BUZO FUXIA</t>
  </si>
  <si>
    <t>CINTA BUZO AZUL</t>
  </si>
  <si>
    <t>CINTA BUZO AZULINO</t>
  </si>
  <si>
    <t>CINTA BUZO VERDE LORO</t>
  </si>
  <si>
    <t>CINTA BUZO MORADO</t>
  </si>
  <si>
    <t>PE45</t>
  </si>
  <si>
    <t>RAPUNZEL #10</t>
  </si>
  <si>
    <t>RAPUNZEL #11</t>
  </si>
  <si>
    <t>RAPUNZEL #12</t>
  </si>
  <si>
    <t>RAPUNZEL #13</t>
  </si>
  <si>
    <t>RAPUNZEL #14</t>
  </si>
  <si>
    <t>RAPUNZEL #15</t>
  </si>
  <si>
    <t>RAPUNZEL #16</t>
  </si>
  <si>
    <t>RAPUNZEL #17</t>
  </si>
  <si>
    <t>RAPUNZEL #18</t>
  </si>
  <si>
    <t>RAPUNZEL #19</t>
  </si>
  <si>
    <t>RAPUNZEL #20</t>
  </si>
  <si>
    <t>RAPUNZEL #21</t>
  </si>
  <si>
    <t>RAPUNZEL #22</t>
  </si>
  <si>
    <t>RAPUNZEL #23</t>
  </si>
  <si>
    <t>TERCIOPELO LILA</t>
  </si>
  <si>
    <t>TERCIOPELO ROSADO</t>
  </si>
  <si>
    <t>TERCIOPELO NEGRO</t>
  </si>
  <si>
    <t>TERCIOPELO VERDE LORO</t>
  </si>
  <si>
    <t>TERCIOPELO VERDE LIMON</t>
  </si>
  <si>
    <t>TERCIOPELO BLANCO</t>
  </si>
  <si>
    <t>TERCIOPELO NARANJA</t>
  </si>
  <si>
    <t>TERCIOPELO MORADO</t>
  </si>
  <si>
    <t>TERCIOPELO CHICLE</t>
  </si>
  <si>
    <t>TERCIOPELO FUXIA</t>
  </si>
  <si>
    <t>TUL CHICLE ESTRELLAS</t>
  </si>
  <si>
    <t>LATEX  LICRADO ORO VIEJO VIEJO</t>
  </si>
  <si>
    <t>CINTA SATINADA DE 7MM LILA</t>
  </si>
  <si>
    <t>PE55</t>
  </si>
  <si>
    <t>ELSA #10</t>
  </si>
  <si>
    <t>LENTEJUELA COSIDA TURQUEZA</t>
  </si>
  <si>
    <t>ORGANZA COPOS FROZEN</t>
  </si>
  <si>
    <t>DT05</t>
  </si>
  <si>
    <t>FESTEJO HOMBRE #10</t>
  </si>
  <si>
    <t>DT15</t>
  </si>
  <si>
    <t>FESTEJO MUJER #10</t>
  </si>
  <si>
    <t>DT35</t>
  </si>
  <si>
    <t>CHALAN #10</t>
  </si>
  <si>
    <t>CHALAN #11</t>
  </si>
  <si>
    <t>CHALAN #12</t>
  </si>
  <si>
    <t>CHALAN #13</t>
  </si>
  <si>
    <t>DT45</t>
  </si>
  <si>
    <t>LANDÓ HOMBRE #10</t>
  </si>
  <si>
    <t>LANDÓ HOMBRE #11</t>
  </si>
  <si>
    <t>LANDÓ HOMBRE #12</t>
  </si>
  <si>
    <t>LANDÓ HOMBRE #13</t>
  </si>
  <si>
    <t>DT55</t>
  </si>
  <si>
    <t>LANDÓ MUJER #10</t>
  </si>
  <si>
    <t>ELASTICO POLIESTER DE 5 LIGAS</t>
  </si>
  <si>
    <t>DT65</t>
  </si>
  <si>
    <t>ÑUSTA #10</t>
  </si>
  <si>
    <t>BAYETILLA ROJO</t>
  </si>
  <si>
    <t>BAYETILLA FUXIA</t>
  </si>
  <si>
    <t>BAYETILLA VERDE LORO</t>
  </si>
  <si>
    <t>BAYETILLA AZULINO</t>
  </si>
  <si>
    <t>BAYETILLA NEGRO</t>
  </si>
  <si>
    <t>BAYETILLA AMARILLO</t>
  </si>
  <si>
    <t>BAYETILLA TURQUEZA</t>
  </si>
  <si>
    <t>BAYETILLA BARNEY</t>
  </si>
  <si>
    <t>BAYETILLA VERDE LIMON</t>
  </si>
  <si>
    <t>GABARDINA NEGRA</t>
  </si>
  <si>
    <t>CINTA TEJIDA 4CM</t>
  </si>
  <si>
    <t>CINTA TEJIDA 2CM</t>
  </si>
  <si>
    <t xml:space="preserve">GRECA SIXAC AMARILLO BRAZIL </t>
  </si>
  <si>
    <t>GRECA SIXAC FUXIA</t>
  </si>
  <si>
    <t>GRECA SIXAC VERDE FLORESCENTE</t>
  </si>
  <si>
    <t>GRECA SIXAC TURQUEZA</t>
  </si>
  <si>
    <t>GRECA SIXAC BLANCO</t>
  </si>
  <si>
    <t>GRECA SIXAC AMARILLO FLORESCENTE</t>
  </si>
  <si>
    <t>GRECA SIXAC NARANJA FLORESCENTE</t>
  </si>
  <si>
    <t>GRECA SIXAC VERDE LORO</t>
  </si>
  <si>
    <t>GRECA SIXAC BARNEY</t>
  </si>
  <si>
    <t>CUSQUEÑITO #10</t>
  </si>
  <si>
    <t>AVIIO</t>
  </si>
  <si>
    <t>DT85</t>
  </si>
  <si>
    <t>SELVA MUJER FUXIA #10</t>
  </si>
  <si>
    <t>SHIPIVO 2025</t>
  </si>
  <si>
    <t>PLUMA MULTICOLOR</t>
  </si>
  <si>
    <t>PLUMA AZULINO</t>
  </si>
  <si>
    <t>PLUMA ROJO</t>
  </si>
  <si>
    <t>DT95</t>
  </si>
  <si>
    <t>SELVA HOMBRE #10</t>
  </si>
  <si>
    <t>DT105</t>
  </si>
  <si>
    <t>AREQUIPA HOMBRE #10</t>
  </si>
  <si>
    <t>DT125</t>
  </si>
  <si>
    <t>HUAYLAS HOMBRE #10</t>
  </si>
  <si>
    <t>RAZO COREANO AMARILLO ORO</t>
  </si>
  <si>
    <t>HILO PARA BORDAR CHICLE FLORESCENTE</t>
  </si>
  <si>
    <t>DT135</t>
  </si>
  <si>
    <t>HAYLAS MUJER ECONOM. #10</t>
  </si>
  <si>
    <t>LANILLA SINTETICA BLANCO</t>
  </si>
  <si>
    <t>HILO PARA BORDAR CELESTE</t>
  </si>
  <si>
    <t>DT145</t>
  </si>
  <si>
    <t>GRECE LILA #10</t>
  </si>
  <si>
    <t>DT185</t>
  </si>
  <si>
    <t>TRAVOLTA #10</t>
  </si>
  <si>
    <t>TRAVOLTA #11</t>
  </si>
  <si>
    <t>TRAVOLTA #12</t>
  </si>
  <si>
    <t>TRAVOLTA #13</t>
  </si>
  <si>
    <t>DT215</t>
  </si>
  <si>
    <t>CHARRO HOMBRE ECONOM. #10</t>
  </si>
  <si>
    <t>BLONDA PAPAYON</t>
  </si>
  <si>
    <t>PEGA PEGA BLANCO</t>
  </si>
  <si>
    <t>PEGA PEGA NEGRO</t>
  </si>
  <si>
    <t>DT225</t>
  </si>
  <si>
    <t>CHARRO MUJER ECONOM. #10</t>
  </si>
  <si>
    <t>FP245</t>
  </si>
  <si>
    <t>FESTEJO CON CAMISA #10</t>
  </si>
  <si>
    <t>PV12</t>
  </si>
  <si>
    <t>PLIN PLIN #4</t>
  </si>
  <si>
    <t>CINTA SATINADA DE 7MM AMARILLO BRAZIL</t>
  </si>
  <si>
    <t>PV22</t>
  </si>
  <si>
    <t>ZENON #4</t>
  </si>
  <si>
    <t>PV35</t>
  </si>
  <si>
    <t>MARIO BROZ #10</t>
  </si>
  <si>
    <t>POLINAM BRILLOSO LAMINADO -MARRON</t>
  </si>
  <si>
    <t>INSUMO</t>
  </si>
  <si>
    <t>PAPEL DE SUBLIMACION</t>
  </si>
  <si>
    <t>TINTA PARA SUBLIMAR CYAN</t>
  </si>
  <si>
    <t>TINTA PARA SUBLIMAR MAGENTA</t>
  </si>
  <si>
    <t>TINTA PARA SUBLIMAR AMARILLO</t>
  </si>
  <si>
    <t>TINTA PARA SUBLIMAR NEGRO</t>
  </si>
  <si>
    <t>PV45</t>
  </si>
  <si>
    <t>LUIGUI #10</t>
  </si>
  <si>
    <t>POLINAM BRILLOSO LAMINADO -VERDE LORO</t>
  </si>
  <si>
    <t>COROSPUM VERDE LORO</t>
  </si>
  <si>
    <t>PV52</t>
  </si>
  <si>
    <t>MASHA #4</t>
  </si>
  <si>
    <t>CINTA BORLON DE 1CM TURQUEZA</t>
  </si>
  <si>
    <t>CINTA BORLON DE 1CM AMARILLO</t>
  </si>
  <si>
    <t>PV65</t>
  </si>
  <si>
    <t>PRINCIPE #4</t>
  </si>
  <si>
    <t>CINTA SATINADA DE 7MM AZULINO</t>
  </si>
  <si>
    <t>PV85</t>
  </si>
  <si>
    <t>CARS #10</t>
  </si>
  <si>
    <t>PV95</t>
  </si>
  <si>
    <t>CAPERUCITA ROJA #10</t>
  </si>
  <si>
    <t>GRECA SIXAC DORADA</t>
  </si>
  <si>
    <t>PV115</t>
  </si>
  <si>
    <t>VAQUERO #10</t>
  </si>
  <si>
    <t>RAZO SUBLIMADO VAQUITA</t>
  </si>
  <si>
    <t>PV145</t>
  </si>
  <si>
    <t>SIRENITA MITEX #10</t>
  </si>
  <si>
    <t>MITEX ESCAMAS</t>
  </si>
  <si>
    <t>TIRANTE CON LUREX LILA</t>
  </si>
  <si>
    <t>PV54</t>
  </si>
  <si>
    <t>GRANJERA #4</t>
  </si>
  <si>
    <t>BICHI ROSADO</t>
  </si>
  <si>
    <t>COLA RATA EN DISCO ROSADO</t>
  </si>
  <si>
    <t>PV165</t>
  </si>
  <si>
    <t>CHAVO #10</t>
  </si>
  <si>
    <t>SUPLEX LISTADO CHAVITO</t>
  </si>
  <si>
    <t>SUPLEX LISTADO CHUCKY</t>
  </si>
  <si>
    <t>SUPLEX LISTADO ROJO CON BLANCO 1X1</t>
  </si>
  <si>
    <t>SUPLEX LISTADP VERDE CON BLANCO 1X1</t>
  </si>
  <si>
    <t>SUPLEX LISTADO TRICOLOR</t>
  </si>
  <si>
    <t>SUPLEX LISTASDO ROJO CON NEGRO 1X1</t>
  </si>
  <si>
    <t>PV175</t>
  </si>
  <si>
    <t>KIKO #10</t>
  </si>
  <si>
    <t>PV185</t>
  </si>
  <si>
    <t>CHILINDRINA #10</t>
  </si>
  <si>
    <t>CINTA SATINADA DE 7MM VERDE LORO</t>
  </si>
  <si>
    <t>PV195</t>
  </si>
  <si>
    <t>RIDER #10</t>
  </si>
  <si>
    <t>PV285</t>
  </si>
  <si>
    <t>HARLY QUIN #10</t>
  </si>
  <si>
    <t>PV295</t>
  </si>
  <si>
    <t>GOKU #10</t>
  </si>
  <si>
    <t>PV315</t>
  </si>
  <si>
    <t>CAMPANITA #10</t>
  </si>
  <si>
    <t>TUL LLANO VERDE LIMON</t>
  </si>
  <si>
    <t>TAFETA DE FORRO VERDE LIMON</t>
  </si>
  <si>
    <t>TIRANTE CON LUREX VERDE LIMON</t>
  </si>
  <si>
    <t>PV365</t>
  </si>
  <si>
    <t>BURBUJO HOMBRE #10</t>
  </si>
  <si>
    <t>PV375</t>
  </si>
  <si>
    <t>JESSIE ESPECIAL #10</t>
  </si>
  <si>
    <t>PV445</t>
  </si>
  <si>
    <t>KUROMI #10</t>
  </si>
  <si>
    <t>PV475</t>
  </si>
  <si>
    <t>LULI PAMPIN #10</t>
  </si>
  <si>
    <t>TUL ILUCION ROSADO</t>
  </si>
  <si>
    <t>GRECA 511 MORADO</t>
  </si>
  <si>
    <t>PV515</t>
  </si>
  <si>
    <t>MAGO #10</t>
  </si>
  <si>
    <t>RUMI GOLDEN #10</t>
  </si>
  <si>
    <t>HW55</t>
  </si>
  <si>
    <t>RIB PARA POLO BLANCO</t>
  </si>
  <si>
    <t>EVILLA CIRCULAR DORADO DE 3CM</t>
  </si>
  <si>
    <t>CADENA DORADO #</t>
  </si>
  <si>
    <t>PICO LORO DORADO</t>
  </si>
  <si>
    <t>ARGOLLA DORADO</t>
  </si>
  <si>
    <t>CADENA PLATEADO #</t>
  </si>
  <si>
    <t>PICO LORO PLATEADO</t>
  </si>
  <si>
    <t>ARGOLLA PLATEADO #GRANDE</t>
  </si>
  <si>
    <t>ARGOLLA PLATEADO #CHICO</t>
  </si>
  <si>
    <t>PV585</t>
  </si>
  <si>
    <t>RUMI SPORT #10</t>
  </si>
  <si>
    <t>PV625</t>
  </si>
  <si>
    <t>MIRA GOLDEN #10</t>
  </si>
  <si>
    <t>CINTA SATINADA DE 4CM DORADO</t>
  </si>
  <si>
    <t>CINTA SATINADA DE 4CM AMARILLO BRAZIL</t>
  </si>
  <si>
    <t>ZOEY SPORT #10</t>
  </si>
  <si>
    <t>PV635</t>
  </si>
  <si>
    <t>ZOEY GOLDEN #10</t>
  </si>
  <si>
    <t>CIERRE NYLON NEGRO DE 15CM</t>
  </si>
  <si>
    <t>PV605</t>
  </si>
  <si>
    <t>LAMINA TRANSFER MIRA SPORT</t>
  </si>
  <si>
    <t>MIRA SPORT #10</t>
  </si>
  <si>
    <t xml:space="preserve">TELA </t>
  </si>
  <si>
    <t xml:space="preserve">POLIESTRECH AZUL </t>
  </si>
  <si>
    <t>MARROQUIN NEGRO</t>
  </si>
  <si>
    <t>HW235</t>
  </si>
  <si>
    <t>SAJA BOYS #10</t>
  </si>
  <si>
    <t xml:space="preserve">INSUMO </t>
  </si>
  <si>
    <t>PIGMENTO MORADO</t>
  </si>
  <si>
    <t>BOLITAS DE MADERA</t>
  </si>
  <si>
    <t>PV535</t>
  </si>
  <si>
    <t>LARA CAMPOS #10</t>
  </si>
  <si>
    <t>LATEX LICRADO ROSADO</t>
  </si>
  <si>
    <t>CINTA BUZO LILA</t>
  </si>
  <si>
    <t>FLOR LILA</t>
  </si>
  <si>
    <t>PLIN PLINA #4</t>
  </si>
  <si>
    <t xml:space="preserve">LENTEJUELA COSIDO ROSADO </t>
  </si>
  <si>
    <t>CINTA SATINADA DE 1.5CM CELESTE</t>
  </si>
  <si>
    <t>CINTA SATINADA DE 1.5CM ROSADO</t>
  </si>
  <si>
    <t>CINTA SATINADA DE 1.5CM AMARILLO BRAZIL</t>
  </si>
  <si>
    <t>PV492</t>
  </si>
  <si>
    <t>OT12</t>
  </si>
  <si>
    <t>OTROS</t>
  </si>
  <si>
    <t>MINY EN PLUSH FUXIA #4</t>
  </si>
  <si>
    <t>FP25</t>
  </si>
  <si>
    <t>HUSARES DE JUNIN #10</t>
  </si>
  <si>
    <t>LATEX LICRADO LAMINADO AZULINO</t>
  </si>
  <si>
    <t>GRECA 511 AZULINO</t>
  </si>
  <si>
    <t>FP35</t>
  </si>
  <si>
    <t>HUSARINA #10</t>
  </si>
  <si>
    <t>FP45</t>
  </si>
  <si>
    <t>GUARIPOLERA #10</t>
  </si>
  <si>
    <t>NOVA DE 4MM BLANCO</t>
  </si>
  <si>
    <t>FP55</t>
  </si>
  <si>
    <t>PARIGUANA #10</t>
  </si>
  <si>
    <t>POLAR ROJO</t>
  </si>
  <si>
    <t>NAPA</t>
  </si>
  <si>
    <t>OJOS ANIMALITOS</t>
  </si>
  <si>
    <t>FP75</t>
  </si>
  <si>
    <t>TUPAC AMARU #10</t>
  </si>
  <si>
    <t>BLONDA BLANCA CON DORADO DE 6CM</t>
  </si>
  <si>
    <t>FP85</t>
  </si>
  <si>
    <t>VIRREY #10</t>
  </si>
  <si>
    <t>FP95</t>
  </si>
  <si>
    <t>MICAELA #10</t>
  </si>
  <si>
    <t>BLONDA BLANCO TORNASOL</t>
  </si>
  <si>
    <t>BLONDA MELON TORNASOL</t>
  </si>
  <si>
    <t>BLONDA BLANCO CON DORADO DE 3CM</t>
  </si>
  <si>
    <t>CORDONCILLO DELGADO</t>
  </si>
  <si>
    <t>CORDONCILLO GRUESO</t>
  </si>
  <si>
    <t>LENTEJUELA CONTINUA #5DORADO</t>
  </si>
  <si>
    <t>LENTEJUELA CONTINUA #5 PLATEADO</t>
  </si>
  <si>
    <t>LENTEJUELA CONTINUA #5 FUXIA</t>
  </si>
  <si>
    <t>LENTEJUELA CONTINUA #5  VERDE LIMON</t>
  </si>
  <si>
    <t>LENTEJUELA CONTINUA #5 VERDE LORO</t>
  </si>
  <si>
    <t>LENTEJUELA CONTINUA #5 TURQUEZA</t>
  </si>
  <si>
    <t>LENTEJUELA CONTINUA #5 ROJO</t>
  </si>
  <si>
    <t>LENTEJUELA CONTINUA  #5 MORADO</t>
  </si>
  <si>
    <t>LENTEJUELA CONTINUA  #5 NEGRO</t>
  </si>
  <si>
    <t>FP105</t>
  </si>
  <si>
    <t>MARIA PARADO #10</t>
  </si>
  <si>
    <t>SERMAT MELON</t>
  </si>
  <si>
    <t>ORGANZA ESTAMPADA MELON</t>
  </si>
  <si>
    <t>FP115</t>
  </si>
  <si>
    <t>INCA ROJO #10</t>
  </si>
  <si>
    <t>CINTA INCAICA- INCA</t>
  </si>
  <si>
    <t>GRECA ESPEJO DORADO</t>
  </si>
  <si>
    <t>CINTA SATINADA DE 7MM TURQUEZA</t>
  </si>
  <si>
    <t>COLLA #10</t>
  </si>
  <si>
    <t>FP135</t>
  </si>
  <si>
    <t>RAZO COREANO DORADO</t>
  </si>
  <si>
    <t>VIRGEN DEL SOL #10</t>
  </si>
  <si>
    <t>FP145</t>
  </si>
  <si>
    <t>SOLDADO CHILENO #10</t>
  </si>
  <si>
    <t>FP155</t>
  </si>
  <si>
    <t>SOLDADO PERUANO #10</t>
  </si>
  <si>
    <t>FP165</t>
  </si>
  <si>
    <t>BOLOGNESI #10</t>
  </si>
  <si>
    <t>FP175</t>
  </si>
  <si>
    <t>ROSAS ROJAS - SANTA ROSA</t>
  </si>
  <si>
    <t>ROSAS ROJAS - MADRE PATRIA</t>
  </si>
  <si>
    <t>MADRE PATRIA #10</t>
  </si>
  <si>
    <t>FP215</t>
  </si>
  <si>
    <t>FP225</t>
  </si>
  <si>
    <t>JOSE OLAYA #10</t>
  </si>
  <si>
    <t>FP235</t>
  </si>
  <si>
    <t>MIGUEL GRAU #10</t>
  </si>
  <si>
    <t>CEZGO ACORDONADO  AMARILLO ORO</t>
  </si>
  <si>
    <t>ALFONZO UGARTE #10</t>
  </si>
  <si>
    <t>FP255</t>
  </si>
  <si>
    <t>POLINAM BRILLOSO LAMINADO -PLOMO</t>
  </si>
  <si>
    <t>POLIESTRECH PLOMO</t>
  </si>
  <si>
    <t>CINTA SATINADA DE 4CM NEGRO</t>
  </si>
  <si>
    <t>ESPAÑOL / PIZARRO #10</t>
  </si>
  <si>
    <t>FP265</t>
  </si>
  <si>
    <t>MICROPOROSO ESCARCHADO DORADO</t>
  </si>
  <si>
    <t xml:space="preserve">AVIO   </t>
  </si>
  <si>
    <t xml:space="preserve"> BOTON LENTEJA #28 NEGRO</t>
  </si>
  <si>
    <t>CURA (LUQUE) #10</t>
  </si>
  <si>
    <t>FP275</t>
  </si>
  <si>
    <t>PREGONERA #10</t>
  </si>
  <si>
    <t>FP285</t>
  </si>
  <si>
    <t>MARIPOSA BODY #10</t>
  </si>
  <si>
    <t>PR05</t>
  </si>
  <si>
    <t>TUL EMELY VERDE AGUA</t>
  </si>
  <si>
    <t>MARIPOSA VESTIDO LILA #10</t>
  </si>
  <si>
    <t>PR65</t>
  </si>
  <si>
    <t>MARIPOSA VESTIDO FUXIA #10</t>
  </si>
  <si>
    <t>PR75</t>
  </si>
  <si>
    <t>VESTIDO DE FLOR #10</t>
  </si>
  <si>
    <t>PR84</t>
  </si>
  <si>
    <t>BRILLITOS PARA DECORAR -DORADOS</t>
  </si>
  <si>
    <t>CARA DE FLOR</t>
  </si>
  <si>
    <t>PR93</t>
  </si>
  <si>
    <t>RAZO SUBLIMADO ROJO BOLAS NEGRAS</t>
  </si>
  <si>
    <t>SUPLEX ROJO BOLAS NEGRAS</t>
  </si>
  <si>
    <t>MARIQUITA #10</t>
  </si>
  <si>
    <t>MARIQUITA #11</t>
  </si>
  <si>
    <t>MARIQUITA #12</t>
  </si>
  <si>
    <t>MARIQUITA #13</t>
  </si>
  <si>
    <t>MARIQUITA #14</t>
  </si>
  <si>
    <t>MARIQUITA #15</t>
  </si>
  <si>
    <t>MARIQUITA #16</t>
  </si>
  <si>
    <t>MARIQUITA #17</t>
  </si>
  <si>
    <t>PR105</t>
  </si>
  <si>
    <t>SUPLEX LISTADO ABEJITA</t>
  </si>
  <si>
    <t>ABEJITA #10</t>
  </si>
  <si>
    <t>PR115</t>
  </si>
  <si>
    <t>CHUCKY #10</t>
  </si>
  <si>
    <t>HW25</t>
  </si>
  <si>
    <t xml:space="preserve">CIERRE TRACTOR NEGRO  </t>
  </si>
  <si>
    <t>TIFFANY #10</t>
  </si>
  <si>
    <t>HW35</t>
  </si>
  <si>
    <t>SUPLEX NEGRO</t>
  </si>
  <si>
    <t>MAVIS #10</t>
  </si>
  <si>
    <t>HW45</t>
  </si>
  <si>
    <t>LATEX LICRADO VERDE LORO</t>
  </si>
  <si>
    <t>CALABAZA #4</t>
  </si>
  <si>
    <t>HW145</t>
  </si>
  <si>
    <t>TERCIOPELO ROJO</t>
  </si>
  <si>
    <t>PIRATA NIÑA #10</t>
  </si>
  <si>
    <t>HW165</t>
  </si>
  <si>
    <t>BRUJITA PUNTAS MOR/NEG #10</t>
  </si>
  <si>
    <t>HW175</t>
  </si>
  <si>
    <t>NARUTO #10</t>
  </si>
  <si>
    <t>HW215</t>
  </si>
  <si>
    <t>PELUCHE BLANCO</t>
  </si>
  <si>
    <t>PELUCHE VERDE LECHUGA</t>
  </si>
  <si>
    <t>MAMANOELA C/ CHALECO #10</t>
  </si>
  <si>
    <t>NV05</t>
  </si>
  <si>
    <t>PAPANOEL #10</t>
  </si>
  <si>
    <t>NV35</t>
  </si>
  <si>
    <t>PLUSH VERDE DUENDE</t>
  </si>
  <si>
    <t>DUENDE C/ MEDIAS #10</t>
  </si>
  <si>
    <t>NV55</t>
  </si>
  <si>
    <t>GRECA SIXAC DORADO DELGADO</t>
  </si>
  <si>
    <t>GRECA SIXAC DORADA ANCHO</t>
  </si>
  <si>
    <t>BOLA DE TECNOPOR # 1 1/2</t>
  </si>
  <si>
    <t>DUENDA C/ MEDIAS #10</t>
  </si>
  <si>
    <t>NV75</t>
  </si>
  <si>
    <t>ANGELITO #10</t>
  </si>
  <si>
    <t>ANGELITO #11</t>
  </si>
  <si>
    <t>ANGELITO #12</t>
  </si>
  <si>
    <t>NV115</t>
  </si>
  <si>
    <t>JESUS #10</t>
  </si>
  <si>
    <t>NV145</t>
  </si>
  <si>
    <t>SERMAT CELESTE</t>
  </si>
  <si>
    <t>VIRGEN MARIA #10</t>
  </si>
  <si>
    <t>NV155</t>
  </si>
  <si>
    <t>MELCHOR #10</t>
  </si>
  <si>
    <t>NV165</t>
  </si>
  <si>
    <t>SERMAT DORADO</t>
  </si>
  <si>
    <t>GASTAR #10</t>
  </si>
  <si>
    <t>GASTAR #11</t>
  </si>
  <si>
    <t>GASTAR #12</t>
  </si>
  <si>
    <t>GASTAR #13</t>
  </si>
  <si>
    <t>GASTAR #14</t>
  </si>
  <si>
    <t>GASTAR #15</t>
  </si>
  <si>
    <t>GASTAR #16</t>
  </si>
  <si>
    <t>GASTAR #17</t>
  </si>
  <si>
    <t>NV175</t>
  </si>
  <si>
    <t>CINTA SATINADA DE 7MM GUINDA</t>
  </si>
  <si>
    <t>BALTAZAR #10</t>
  </si>
  <si>
    <t>NV185</t>
  </si>
  <si>
    <t>PASTORA ROSADO C/ LILA #10</t>
  </si>
  <si>
    <t>NV195</t>
  </si>
  <si>
    <t>PASTOT ORO C/ GUINDA #10</t>
  </si>
  <si>
    <t>NV 215</t>
  </si>
  <si>
    <t>INSAUMO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</si>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</sst>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0.0"/>
    <numFmt numFmtId="165" formatCode="_-&quot;S/&quot;* #,##0.00_-;\-&quot;S/&quot;* #,##0.00_-;_-&quot;S/&quot;* &quot;-&quot;??_-;_-@_-"/>
    <numFmt numFmtId="166" formatCode="_-&quot;S/&quot;\ * #,##0.000_-;\-&quot;S/&quot;\ * #,##0.000_-;_-&quot;S/&quot;\ 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EFFBB3"/>
        <bgColor indexed="64"/>
      </patternFill>
    </fill>
    <fill>
      <patternFill patternType="solid">
        <fgColor rgb="FFDCFFD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0" fontId="0" fillId="0" borderId="0" xfId="1" applyFont="1"/>
    <xf numFmtId="0" fontId="0" fillId="4" borderId="0" xfId="0" applyFill="1"/>
    <xf numFmtId="0" fontId="4" fillId="0" borderId="2" xfId="1" applyFont="1" applyBorder="1"/>
    <xf numFmtId="0" fontId="0" fillId="0" borderId="2" xfId="1" applyFont="1" applyBorder="1"/>
    <xf numFmtId="0" fontId="4" fillId="3" borderId="0" xfId="1" applyFont="1" applyFill="1"/>
    <xf numFmtId="0" fontId="4" fillId="3" borderId="2" xfId="1" applyFont="1" applyFill="1" applyBorder="1"/>
    <xf numFmtId="0" fontId="4" fillId="0" borderId="0" xfId="1" applyFont="1"/>
    <xf numFmtId="0" fontId="6" fillId="0" borderId="0" xfId="0" applyFont="1"/>
    <xf numFmtId="0" fontId="4" fillId="0" borderId="0" xfId="0" applyFont="1"/>
    <xf numFmtId="0" fontId="4" fillId="5" borderId="0" xfId="0" applyFont="1" applyFill="1"/>
    <xf numFmtId="0" fontId="3" fillId="0" borderId="0" xfId="1"/>
    <xf numFmtId="164" fontId="0" fillId="0" borderId="0" xfId="2" applyNumberFormat="1" applyFont="1"/>
    <xf numFmtId="0" fontId="7" fillId="0" borderId="0" xfId="1" applyFont="1"/>
    <xf numFmtId="0" fontId="8" fillId="0" borderId="0" xfId="1" applyFont="1"/>
    <xf numFmtId="164" fontId="7" fillId="0" borderId="0" xfId="2" applyNumberFormat="1" applyFont="1"/>
    <xf numFmtId="0" fontId="3" fillId="0" borderId="0" xfId="3" applyAlignment="1">
      <alignment horizontal="center" vertical="center" wrapText="1"/>
    </xf>
    <xf numFmtId="0" fontId="3" fillId="0" borderId="0" xfId="3" applyAlignment="1">
      <alignment horizontal="center" vertical="center"/>
    </xf>
    <xf numFmtId="0" fontId="3" fillId="0" borderId="0" xfId="3" applyAlignment="1">
      <alignment vertical="center"/>
    </xf>
    <xf numFmtId="0" fontId="0" fillId="0" borderId="0" xfId="3" applyFont="1" applyAlignment="1">
      <alignment horizontal="center" vertical="center"/>
    </xf>
    <xf numFmtId="0" fontId="3" fillId="0" borderId="0" xfId="1" applyAlignment="1">
      <alignment horizontal="right"/>
    </xf>
    <xf numFmtId="1" fontId="3" fillId="0" borderId="0" xfId="1" applyNumberFormat="1"/>
    <xf numFmtId="0" fontId="1" fillId="0" borderId="3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2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right" vertical="center" wrapText="1"/>
    </xf>
    <xf numFmtId="0" fontId="5" fillId="0" borderId="0" xfId="1" applyFont="1" applyAlignment="1">
      <alignment horizontal="center" vertical="center" wrapText="1"/>
    </xf>
    <xf numFmtId="0" fontId="10" fillId="7" borderId="1" xfId="1" applyFont="1" applyFill="1" applyBorder="1" applyAlignment="1">
      <alignment horizontal="center" vertical="center" wrapText="1"/>
    </xf>
    <xf numFmtId="0" fontId="10" fillId="7" borderId="1" xfId="1" applyFont="1" applyFill="1" applyBorder="1" applyAlignment="1">
      <alignment horizontal="right" vertical="center"/>
    </xf>
    <xf numFmtId="0" fontId="0" fillId="0" borderId="6" xfId="0" applyBorder="1"/>
    <xf numFmtId="0" fontId="3" fillId="0" borderId="0" xfId="1" applyAlignment="1">
      <alignment horizontal="center"/>
    </xf>
    <xf numFmtId="0" fontId="3" fillId="0" borderId="0" xfId="2" applyNumberFormat="1" applyFont="1"/>
    <xf numFmtId="0" fontId="3" fillId="0" borderId="0" xfId="2" applyNumberFormat="1" applyFont="1" applyAlignment="1">
      <alignment horizontal="right"/>
    </xf>
    <xf numFmtId="0" fontId="7" fillId="0" borderId="0" xfId="2" applyNumberFormat="1" applyFont="1"/>
    <xf numFmtId="0" fontId="0" fillId="0" borderId="0" xfId="2" applyNumberFormat="1" applyFont="1"/>
    <xf numFmtId="0" fontId="0" fillId="0" borderId="0" xfId="2" applyNumberFormat="1" applyFont="1" applyAlignment="1">
      <alignment horizontal="right"/>
    </xf>
    <xf numFmtId="0" fontId="3" fillId="0" borderId="0" xfId="1" applyAlignment="1">
      <alignment horizontal="left"/>
    </xf>
    <xf numFmtId="0" fontId="3" fillId="0" borderId="0" xfId="4" applyNumberFormat="1" applyFont="1"/>
    <xf numFmtId="0" fontId="3" fillId="0" borderId="0" xfId="4" applyNumberFormat="1" applyFont="1" applyAlignment="1">
      <alignment horizontal="right"/>
    </xf>
    <xf numFmtId="0" fontId="0" fillId="0" borderId="0" xfId="4" applyNumberFormat="1" applyFont="1"/>
    <xf numFmtId="0" fontId="0" fillId="0" borderId="0" xfId="4" applyNumberFormat="1" applyFont="1" applyAlignment="1">
      <alignment horizontal="right"/>
    </xf>
    <xf numFmtId="166" fontId="0" fillId="0" borderId="0" xfId="2" applyNumberFormat="1" applyFont="1"/>
    <xf numFmtId="166" fontId="7" fillId="0" borderId="0" xfId="2" applyNumberFormat="1" applyFont="1"/>
    <xf numFmtId="0" fontId="0" fillId="0" borderId="0" xfId="0" quotePrefix="1"/>
    <xf numFmtId="0" fontId="4" fillId="4" borderId="0" xfId="1" applyFont="1" applyFill="1"/>
    <xf numFmtId="166" fontId="7" fillId="0" borderId="0" xfId="2" applyNumberFormat="1" applyFont="1" applyAlignment="1">
      <alignment vertical="center"/>
    </xf>
    <xf numFmtId="164" fontId="0" fillId="0" borderId="0" xfId="2" applyNumberFormat="1" applyFont="1" applyAlignment="1">
      <alignment vertical="center"/>
    </xf>
    <xf numFmtId="0" fontId="7" fillId="8" borderId="0" xfId="1" applyFont="1" applyFill="1"/>
    <xf numFmtId="166" fontId="7" fillId="8" borderId="0" xfId="2" applyNumberFormat="1" applyFont="1" applyFill="1" applyAlignment="1">
      <alignment vertical="center"/>
    </xf>
    <xf numFmtId="164" fontId="0" fillId="8" borderId="0" xfId="2" applyNumberFormat="1" applyFont="1" applyFill="1" applyAlignment="1">
      <alignment vertical="center"/>
    </xf>
    <xf numFmtId="0" fontId="3" fillId="8" borderId="0" xfId="1" applyFill="1"/>
    <xf numFmtId="0" fontId="3" fillId="8" borderId="0" xfId="1" applyFill="1" applyAlignment="1">
      <alignment horizontal="right"/>
    </xf>
    <xf numFmtId="0" fontId="0" fillId="8" borderId="0" xfId="0" applyFill="1"/>
    <xf numFmtId="1" fontId="3" fillId="8" borderId="0" xfId="1" applyNumberFormat="1" applyFill="1"/>
    <xf numFmtId="0" fontId="4" fillId="8" borderId="0" xfId="1" applyFont="1" applyFill="1"/>
    <xf numFmtId="0" fontId="11" fillId="0" borderId="0" xfId="1" applyFont="1"/>
    <xf numFmtId="166" fontId="11" fillId="0" borderId="0" xfId="2" applyNumberFormat="1" applyFont="1" applyAlignment="1">
      <alignment vertical="center"/>
    </xf>
    <xf numFmtId="166" fontId="11" fillId="0" borderId="0" xfId="2" applyNumberFormat="1" applyFont="1"/>
    <xf numFmtId="0" fontId="12" fillId="0" borderId="0" xfId="1" applyFont="1"/>
    <xf numFmtId="0" fontId="5" fillId="6" borderId="1" xfId="1" applyFont="1" applyFill="1" applyBorder="1" applyAlignment="1">
      <alignment horizontal="center"/>
    </xf>
    <xf numFmtId="0" fontId="0" fillId="9" borderId="0" xfId="0" applyFill="1"/>
    <xf numFmtId="0" fontId="4" fillId="0" borderId="0" xfId="1" applyFont="1" applyFill="1"/>
    <xf numFmtId="0" fontId="0" fillId="0" borderId="0" xfId="0" applyNumberFormat="1"/>
  </cellXfs>
  <cellStyles count="5">
    <cellStyle name="Moneda" xfId="2" builtinId="4"/>
    <cellStyle name="Moneda 2" xfId="4" xr:uid="{0CBA1FB1-9EB9-4BD9-9B95-40D8D66E6935}"/>
    <cellStyle name="Normal" xfId="0" builtinId="0"/>
    <cellStyle name="Normal 2" xfId="1" xr:uid="{8BE9B556-2619-4159-B87A-1258A67A8F1D}"/>
    <cellStyle name="Normal 4" xfId="3" xr:uid="{9E65CEAE-C566-4F49-9CED-230163B258A2}"/>
  </cellStyles>
  <dxfs count="37">
    <dxf>
      <fill>
        <patternFill patternType="solid">
          <fgColor indexed="64"/>
          <bgColor rgb="FFDCFF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border outline="0">
        <top style="thin">
          <color theme="8"/>
        </top>
      </border>
    </dxf>
    <dxf>
      <border outline="0"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&quot;S/&quot;\ * #,##0.000_-;\-&quot;S/&quot;\ * #,##0.000_-;_-&quot;S/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CFFD9"/>
      <color rgb="FF9BFF93"/>
      <color rgb="FFFFFF71"/>
      <color rgb="FFAAFCC5"/>
      <color rgb="FFEFF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MYPE\2024\LIMA\HAPPY\ESTRUCTURA%20DE%20COSTOS\HERRAMIENTA\HERRAMIENTA%20ESTRUCTURA%20DE%20COSTO%20HAPPYS%20v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I%20ALBUM\HAPPYS\HIDRA\FORMATOS%20-HIDRA\MATERIALES%20Y%20SERVICIOS.xlsm" TargetMode="External"/><Relationship Id="rId1" Type="http://schemas.openxmlformats.org/officeDocument/2006/relationships/externalLinkPath" Target="MATERIALES%20Y%20SERVICI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Ejemplo"/>
      <sheetName val="Data"/>
      <sheetName val="Producción"/>
      <sheetName val="Productos"/>
      <sheetName val="Consumo de Tela"/>
      <sheetName val="Consumo de Hilo"/>
      <sheetName val="Fórmulas"/>
      <sheetName val="Costo Servicios"/>
      <sheetName val="Costo MP"/>
      <sheetName val="Costo MO"/>
      <sheetName val="Gastos"/>
      <sheetName val="Hoja de Costos"/>
      <sheetName val="Valor Minuto"/>
      <sheetName val="Pto.Equilib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SN05</v>
          </cell>
        </row>
        <row r="85">
          <cell r="D85">
            <v>10720</v>
          </cell>
        </row>
      </sheetData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OS DE CONFECCION"/>
      <sheetName val="MATERIALES"/>
      <sheetName val="Resumen_venta"/>
      <sheetName val="MATERIALES Y SERVICIOS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BDF05-19BF-4B69-BD49-0A1195A6EBBA}" name="Tabla3" displayName="Tabla3" ref="A21:K2216" totalsRowShown="0" headerRowDxfId="36" headerRowBorderDxfId="35" tableBorderDxfId="34">
  <autoFilter ref="A21:K2216" xr:uid="{3F0BDF05-19BF-4B69-BD49-0A1195A6EBBA}"/>
  <tableColumns count="11">
    <tableColumn id="1" xr3:uid="{307607D5-2DE2-4B42-93D9-7BABBDD178F5}" name="CODIGO PRODUCTO TERMINADO"/>
    <tableColumn id="2" xr3:uid="{7A935996-5C95-4E56-8DD5-83C89E80CF50}" name="CATEGORIA"/>
    <tableColumn id="3" xr3:uid="{A52B5235-B01E-44A6-8E9E-8202D0B9E73D}" name=" PRODUCTO TERMINADO"/>
    <tableColumn id="5" xr3:uid="{FDA844B4-DABB-4508-86EE-8AA4B95D3D80}" name="CLASIFICACIÓN"/>
    <tableColumn id="6" xr3:uid="{45DF34F5-796E-49CE-854D-F670A349021D}" name="DESCRIPCION MATERIAL" dataDxfId="33" dataCellStyle="Normal 2"/>
    <tableColumn id="7" xr3:uid="{44A487DE-65EA-4DDC-B03B-70A2E393792E}" name="CANTIDAD MATERIAL (M)"/>
    <tableColumn id="9" xr3:uid="{4F48796A-6B0D-40A1-8F59-A070156A7CAB}" name="UNIDAD DE MEDIDA "/>
    <tableColumn id="8" xr3:uid="{2D4BD3F8-E2EB-48AB-B05C-6F06F8513B89}" name="Columna2" dataDxfId="32">
      <calculatedColumnFormula>VLOOKUP(Tabla3[[#This Row],[DESCRIPCION MATERIAL]],'CODIGO MAT'!$C$2:$D$390,2,FALSE)</calculatedColumnFormula>
    </tableColumn>
    <tableColumn id="12" xr3:uid="{695AF9D6-AD23-4D83-BA8A-A2CC653A665D}" name="Columna3" dataDxfId="0"/>
    <tableColumn id="4" xr3:uid="{0E54D3D1-393F-43D9-8DB1-41B98ADD821E}" name="SI SALE A SERVICIO"/>
    <tableColumn id="10" xr3:uid="{3B61F4DC-27A3-452B-B575-F633F3391FCC}" name="CANTIDAD QUE SE QUEDA EN ALMAC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07318-BBE0-4EF3-A687-248E5A1238C1}" name="T_Materiales" displayName="T_Materiales" ref="B2:G620" totalsRowShown="0" headerRowDxfId="31" dataDxfId="29" headerRowBorderDxfId="30" tableBorderDxfId="28" headerRowCellStyle="Normal 2" dataCellStyle="Normal 2">
  <autoFilter ref="B2:G620" xr:uid="{00000000-0009-0000-0100-000004000000}"/>
  <sortState xmlns:xlrd2="http://schemas.microsoft.com/office/spreadsheetml/2017/richdata2" ref="B3:G364">
    <sortCondition ref="C2:C364"/>
  </sortState>
  <tableColumns count="6">
    <tableColumn id="6" xr3:uid="{2A8338E0-C59A-4DDA-B4CC-8E3D81F84E61}" name="CATEGORIA" dataDxfId="27" dataCellStyle="Normal 2"/>
    <tableColumn id="1" xr3:uid="{D74D6400-5678-4004-9CEB-A8F488F9E13B}" name="MATERIALES" dataDxfId="26" dataCellStyle="Normal 2"/>
    <tableColumn id="2" xr3:uid="{19E22BC7-55B8-4C06-8A90-3A64CB040194}" name="UNIDAD DE COMPRA" dataDxfId="25" dataCellStyle="Normal 2"/>
    <tableColumn id="3" xr3:uid="{686DDE2D-5E7E-4158-9DB5-379B72D73FE6}" name="PRECIO" dataDxfId="24" dataCellStyle="Moneda"/>
    <tableColumn id="4" xr3:uid="{7959B587-7E8F-4B97-9AFC-2B3D86227952}" name="Columna1" dataDxfId="23" dataCellStyle="Moneda"/>
    <tableColumn id="5" xr3:uid="{D4165C6B-DA28-4723-AB4D-D7FA1C72393C}" name="UNIDAD" dataDxfId="22" dataCellStyle="Normal 2">
      <calculatedColumnFormula>IFERROR(VLOOKUP(T_Materiales[[#This Row],[UNIDAD DE COMPRA]],[2]!T_Equivalencias[#All],3,0),"")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5BD0E6-0E31-472B-9421-816AFA142A33}" name="T_Equivalencias6" displayName="T_Equivalencias6" ref="B642:E666" totalsRowShown="0" headerRowDxfId="21" dataDxfId="20" headerRowCellStyle="Normal 4" dataCellStyle="Normal 4">
  <autoFilter ref="B642:E666" xr:uid="{785BD0E6-0E31-472B-9421-816AFA142A33}"/>
  <tableColumns count="4">
    <tableColumn id="1" xr3:uid="{102FBFF9-54F2-4926-B909-1F859EBC6973}" name="Unidad de compra" dataDxfId="19" dataCellStyle="Normal 4"/>
    <tableColumn id="2" xr3:uid="{6693660C-27FF-4C29-9667-5217C02071CA}" name="Equivalencia" dataDxfId="18" dataCellStyle="Normal 4"/>
    <tableColumn id="3" xr3:uid="{DC724F6F-2C6A-4D24-BE2F-232D0D256345}" name="Unidad de consumo" dataDxfId="17" dataCellStyle="Normal 4"/>
    <tableColumn id="4" xr3:uid="{92C0AB1A-2CF5-4D09-9DAF-D548BCF53B85}" name="Observacion" dataDxfId="16" dataCellStyle="Normal 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0DB0C-48E5-4BBA-87EE-EA7D91FC7C68}" name="T_DESCRIPCION" displayName="T_DESCRIPCION" ref="B3:P137" totalsRowShown="0" headerRowBorderDxfId="15" tableBorderDxfId="14">
  <sortState xmlns:xlrd2="http://schemas.microsoft.com/office/spreadsheetml/2017/richdata2" ref="B4:O132">
    <sortCondition ref="B3:B132"/>
  </sortState>
  <tableColumns count="15">
    <tableColumn id="2" xr3:uid="{84ABB746-58DD-4918-8DC3-6204BDB1D801}" name="CATEGORIA"/>
    <tableColumn id="1" xr3:uid="{FE5CCE09-306F-4A76-8A10-4E991D95EEE3}" name="CODIGO" dataDxfId="13" dataCellStyle="Normal 2"/>
    <tableColumn id="3" xr3:uid="{8CCA0614-6119-4E9B-8EB3-FADB80FAC0A5}" name="DESCRIPCION"/>
    <tableColumn id="5" xr3:uid="{6319E2AC-E0CF-4EF1-AC29-102A77021CFA}" name="T0" dataDxfId="12" dataCellStyle="Moneda"/>
    <tableColumn id="14" xr3:uid="{CE46BDEC-5CA7-426B-982A-86910BB055F1}" name="T2" dataDxfId="11" dataCellStyle="Moneda"/>
    <tableColumn id="15" xr3:uid="{72F11F4C-B452-417A-8EF5-8EE396C88937}" name="T4" dataDxfId="10" dataCellStyle="Moneda"/>
    <tableColumn id="12" xr3:uid="{7BC8A91E-055C-47E0-9A1D-E576E858977F}" name="T6" dataDxfId="9" dataCellStyle="Moneda"/>
    <tableColumn id="13" xr3:uid="{D3859661-2B7D-4656-92F8-0BA917975348}" name="T8" dataDxfId="8" dataCellStyle="Moneda"/>
    <tableColumn id="18" xr3:uid="{CD466D7A-B6FC-4F84-AC3B-703A55FC700C}" name="T10" dataDxfId="7" dataCellStyle="Moneda"/>
    <tableColumn id="19" xr3:uid="{1F9C1FBE-BA3D-4F3A-847E-EB9CC40CC272}" name="T12" dataDxfId="6" dataCellStyle="Moneda"/>
    <tableColumn id="16" xr3:uid="{B6943938-CC57-4065-9124-C97AA5DE3B83}" name="T14" dataDxfId="5" dataCellStyle="Moneda"/>
    <tableColumn id="17" xr3:uid="{E91A36F3-E8B9-4851-ADB8-CC30944C242F}" name="T16" dataDxfId="4" dataCellStyle="Moneda"/>
    <tableColumn id="8" xr3:uid="{BB5F0FCA-4FEF-4CA5-AC31-4EA63929C2BE}" name="TS" dataDxfId="3" dataCellStyle="Moneda"/>
    <tableColumn id="6" xr3:uid="{CDCE13CD-58B6-47E2-9776-E02E2FD80AEC}" name="TAD" dataDxfId="2" dataCellStyle="Moneda"/>
    <tableColumn id="4" xr3:uid="{A3CA4D54-05A9-4D78-ABD7-67AD5C088F99}" name="OJAL Y BOTON" dataDxfId="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16"/>
  <sheetViews>
    <sheetView tabSelected="1" topLeftCell="D1" zoomScale="136" zoomScaleNormal="136" workbookViewId="0">
      <pane ySplit="1" topLeftCell="A1268" activePane="bottomLeft" state="frozen"/>
      <selection pane="bottomLeft" activeCell="K1" sqref="K1"/>
    </sheetView>
  </sheetViews>
  <sheetFormatPr baseColWidth="10" defaultColWidth="8.85546875" defaultRowHeight="15" x14ac:dyDescent="0.25"/>
  <cols>
    <col min="1" max="1" width="22.140625" customWidth="1"/>
    <col min="2" max="2" width="21.85546875" customWidth="1"/>
    <col min="3" max="3" width="28.5703125" customWidth="1"/>
    <col min="4" max="4" width="16.5703125" customWidth="1"/>
    <col min="5" max="5" width="41.28515625" bestFit="1" customWidth="1"/>
    <col min="6" max="6" width="21.85546875" customWidth="1"/>
    <col min="7" max="7" width="13.28515625" customWidth="1"/>
    <col min="8" max="8" width="15.42578125" customWidth="1"/>
    <col min="9" max="9" width="13.85546875" style="64" customWidth="1"/>
    <col min="10" max="11" width="15.42578125" customWidth="1"/>
    <col min="12" max="12" width="13.85546875" customWidth="1"/>
  </cols>
  <sheetData>
    <row r="1" spans="12:14" ht="51.2" customHeight="1" x14ac:dyDescent="0.25">
      <c r="L1" t="s">
        <v>985</v>
      </c>
    </row>
    <row r="2" spans="12:14" x14ac:dyDescent="0.25">
      <c r="L2" t="s">
        <v>943</v>
      </c>
      <c r="M2" t="s">
        <v>992</v>
      </c>
      <c r="N2" t="e">
        <f>M2&amp;Tabla3[[#This Row],[CODIGO PRODUCTO TERMINADO]]&amp;"','"&amp;L2&amp;"',"&amp;Tabla3[[#This Row],[CANTIDAD MATERIAL (M)]]&amp;");"</f>
        <v>#VALUE!</v>
      </c>
    </row>
    <row r="3" spans="12:14" x14ac:dyDescent="0.25">
      <c r="L3" t="s">
        <v>834</v>
      </c>
      <c r="M3" t="s">
        <v>992</v>
      </c>
      <c r="N3" t="e">
        <f>M3&amp;Tabla3[[#This Row],[CODIGO PRODUCTO TERMINADO]]&amp;"','"&amp;L3&amp;"',"&amp;Tabla3[[#This Row],[CANTIDAD MATERIAL (M)]]&amp;");"</f>
        <v>#VALUE!</v>
      </c>
    </row>
    <row r="4" spans="12:14" x14ac:dyDescent="0.25">
      <c r="L4" t="s">
        <v>836</v>
      </c>
      <c r="M4" t="s">
        <v>992</v>
      </c>
      <c r="N4" t="e">
        <f>M4&amp;Tabla3[[#This Row],[CODIGO PRODUCTO TERMINADO]]&amp;"','"&amp;L4&amp;"',"&amp;Tabla3[[#This Row],[CANTIDAD MATERIAL (M)]]&amp;");"</f>
        <v>#VALUE!</v>
      </c>
    </row>
    <row r="5" spans="12:14" x14ac:dyDescent="0.25">
      <c r="L5" t="s">
        <v>987</v>
      </c>
      <c r="M5" t="s">
        <v>992</v>
      </c>
      <c r="N5" t="e">
        <f>M5&amp;Tabla3[[#This Row],[CODIGO PRODUCTO TERMINADO]]&amp;"','"&amp;L5&amp;"',"&amp;Tabla3[[#This Row],[CANTIDAD MATERIAL (M)]]&amp;");"</f>
        <v>#VALUE!</v>
      </c>
    </row>
    <row r="6" spans="12:14" x14ac:dyDescent="0.25">
      <c r="L6" t="s">
        <v>666</v>
      </c>
      <c r="M6" t="s">
        <v>992</v>
      </c>
      <c r="N6" t="e">
        <f>M6&amp;Tabla3[[#This Row],[CODIGO PRODUCTO TERMINADO]]&amp;"','"&amp;L6&amp;"',"&amp;Tabla3[[#This Row],[CANTIDAD MATERIAL (M)]]&amp;");"</f>
        <v>#VALUE!</v>
      </c>
    </row>
    <row r="7" spans="12:14" x14ac:dyDescent="0.25">
      <c r="L7" t="s">
        <v>671</v>
      </c>
      <c r="M7" t="s">
        <v>992</v>
      </c>
      <c r="N7" t="e">
        <f>M7&amp;Tabla3[[#This Row],[CODIGO PRODUCTO TERMINADO]]&amp;"','"&amp;L7&amp;"',"&amp;Tabla3[[#This Row],[CANTIDAD MATERIAL (M)]]&amp;");"</f>
        <v>#VALUE!</v>
      </c>
    </row>
    <row r="8" spans="12:14" x14ac:dyDescent="0.25">
      <c r="L8" t="s">
        <v>768</v>
      </c>
      <c r="M8" t="s">
        <v>992</v>
      </c>
      <c r="N8" t="e">
        <f>M8&amp;Tabla3[[#This Row],[CODIGO PRODUCTO TERMINADO]]&amp;"','"&amp;L8&amp;"',"&amp;Tabla3[[#This Row],[CANTIDAD MATERIAL (M)]]&amp;");"</f>
        <v>#VALUE!</v>
      </c>
    </row>
    <row r="9" spans="12:14" x14ac:dyDescent="0.25">
      <c r="L9" t="s">
        <v>986</v>
      </c>
      <c r="M9" t="s">
        <v>992</v>
      </c>
      <c r="N9" t="e">
        <f>M9&amp;Tabla3[[#This Row],[CODIGO PRODUCTO TERMINADO]]&amp;"','"&amp;L9&amp;"',"&amp;Tabla3[[#This Row],[CANTIDAD MATERIAL (M)]]&amp;");"</f>
        <v>#VALUE!</v>
      </c>
    </row>
    <row r="10" spans="12:14" x14ac:dyDescent="0.25">
      <c r="L10" t="s">
        <v>663</v>
      </c>
      <c r="M10" t="s">
        <v>992</v>
      </c>
      <c r="N10" t="e">
        <f>M10&amp;Tabla3[[#This Row],[CODIGO PRODUCTO TERMINADO]]&amp;"','"&amp;L10&amp;"',"&amp;Tabla3[[#This Row],[CANTIDAD MATERIAL (M)]]&amp;");"</f>
        <v>#VALUE!</v>
      </c>
    </row>
    <row r="11" spans="12:14" x14ac:dyDescent="0.25">
      <c r="L11" t="s">
        <v>943</v>
      </c>
      <c r="M11" t="s">
        <v>992</v>
      </c>
      <c r="N11" t="e">
        <f>M11&amp;Tabla3[[#This Row],[CODIGO PRODUCTO TERMINADO]]&amp;"','"&amp;L11&amp;"',"&amp;Tabla3[[#This Row],[CANTIDAD MATERIAL (M)]]&amp;");"</f>
        <v>#VALUE!</v>
      </c>
    </row>
    <row r="12" spans="12:14" x14ac:dyDescent="0.25">
      <c r="L12" t="s">
        <v>834</v>
      </c>
      <c r="M12" t="s">
        <v>992</v>
      </c>
      <c r="N12" t="e">
        <f>M12&amp;Tabla3[[#This Row],[CODIGO PRODUCTO TERMINADO]]&amp;"','"&amp;L12&amp;"',"&amp;Tabla3[[#This Row],[CANTIDAD MATERIAL (M)]]&amp;");"</f>
        <v>#VALUE!</v>
      </c>
    </row>
    <row r="13" spans="12:14" x14ac:dyDescent="0.25">
      <c r="L13" t="s">
        <v>836</v>
      </c>
      <c r="M13" t="s">
        <v>992</v>
      </c>
      <c r="N13" t="e">
        <f>M13&amp;Tabla3[[#This Row],[CODIGO PRODUCTO TERMINADO]]&amp;"','"&amp;L13&amp;"',"&amp;Tabla3[[#This Row],[CANTIDAD MATERIAL (M)]]&amp;");"</f>
        <v>#VALUE!</v>
      </c>
    </row>
    <row r="14" spans="12:14" x14ac:dyDescent="0.25">
      <c r="L14" t="s">
        <v>987</v>
      </c>
      <c r="M14" t="s">
        <v>992</v>
      </c>
      <c r="N14" t="e">
        <f>M14&amp;Tabla3[[#This Row],[CODIGO PRODUCTO TERMINADO]]&amp;"','"&amp;L14&amp;"',"&amp;Tabla3[[#This Row],[CANTIDAD MATERIAL (M)]]&amp;");"</f>
        <v>#VALUE!</v>
      </c>
    </row>
    <row r="15" spans="12:14" x14ac:dyDescent="0.25">
      <c r="L15" t="s">
        <v>666</v>
      </c>
      <c r="M15" t="s">
        <v>992</v>
      </c>
      <c r="N15" t="e">
        <f>M15&amp;Tabla3[[#This Row],[CODIGO PRODUCTO TERMINADO]]&amp;"','"&amp;L15&amp;"',"&amp;Tabla3[[#This Row],[CANTIDAD MATERIAL (M)]]&amp;");"</f>
        <v>#VALUE!</v>
      </c>
    </row>
    <row r="16" spans="12:14" x14ac:dyDescent="0.25">
      <c r="L16" t="s">
        <v>671</v>
      </c>
      <c r="M16" t="s">
        <v>992</v>
      </c>
      <c r="N16" t="e">
        <f>M16&amp;Tabla3[[#This Row],[CODIGO PRODUCTO TERMINADO]]&amp;"','"&amp;L16&amp;"',"&amp;Tabla3[[#This Row],[CANTIDAD MATERIAL (M)]]&amp;");"</f>
        <v>#VALUE!</v>
      </c>
    </row>
    <row r="17" spans="1:14" x14ac:dyDescent="0.25">
      <c r="L17" t="s">
        <v>768</v>
      </c>
      <c r="M17" t="s">
        <v>992</v>
      </c>
      <c r="N17" t="e">
        <f>M17&amp;Tabla3[[#This Row],[CODIGO PRODUCTO TERMINADO]]&amp;"','"&amp;L17&amp;"',"&amp;Tabla3[[#This Row],[CANTIDAD MATERIAL (M)]]&amp;");"</f>
        <v>#VALUE!</v>
      </c>
    </row>
    <row r="18" spans="1:14" x14ac:dyDescent="0.25">
      <c r="L18" t="s">
        <v>986</v>
      </c>
      <c r="M18" t="s">
        <v>992</v>
      </c>
      <c r="N18" t="e">
        <f>M18&amp;Tabla3[[#This Row],[CODIGO PRODUCTO TERMINADO]]&amp;"','"&amp;L18&amp;"',"&amp;Tabla3[[#This Row],[CANTIDAD MATERIAL (M)]]&amp;");"</f>
        <v>#VALUE!</v>
      </c>
    </row>
    <row r="19" spans="1:14" x14ac:dyDescent="0.25">
      <c r="L19" t="s">
        <v>663</v>
      </c>
      <c r="M19" t="s">
        <v>992</v>
      </c>
      <c r="N19" t="e">
        <f>M19&amp;Tabla3[[#This Row],[CODIGO PRODUCTO TERMINADO]]&amp;"','"&amp;L19&amp;"',"&amp;Tabla3[[#This Row],[CANTIDAD MATERIAL (M)]]&amp;");"</f>
        <v>#VALUE!</v>
      </c>
    </row>
    <row r="20" spans="1:14" x14ac:dyDescent="0.25">
      <c r="L20" t="s">
        <v>943</v>
      </c>
      <c r="M20" t="s">
        <v>992</v>
      </c>
      <c r="N20" t="e">
        <f>M20&amp;Tabla3[[#This Row],[CODIGO PRODUCTO TERMINADO]]&amp;"','"&amp;L20&amp;"',"&amp;Tabla3[[#This Row],[CANTIDAD MATERIAL (M)]]&amp;");"</f>
        <v>#VALUE!</v>
      </c>
    </row>
    <row r="21" spans="1:14" ht="45" x14ac:dyDescent="0.25">
      <c r="A21" s="23" t="s">
        <v>0</v>
      </c>
      <c r="B21" s="23" t="s">
        <v>19</v>
      </c>
      <c r="C21" s="23" t="s">
        <v>20</v>
      </c>
      <c r="D21" s="23" t="s">
        <v>70</v>
      </c>
      <c r="E21" s="23" t="s">
        <v>1</v>
      </c>
      <c r="F21" s="23" t="s">
        <v>619</v>
      </c>
      <c r="G21" s="23" t="s">
        <v>993</v>
      </c>
      <c r="H21" s="23" t="s">
        <v>985</v>
      </c>
      <c r="I21" s="64" t="s">
        <v>1730</v>
      </c>
      <c r="J21" s="23" t="s">
        <v>1183</v>
      </c>
      <c r="K21" s="23" t="s">
        <v>1184</v>
      </c>
      <c r="L21" t="s">
        <v>834</v>
      </c>
      <c r="M21" t="s">
        <v>992</v>
      </c>
      <c r="N21" t="e">
        <f>M21&amp;Tabla3[[#This Row],[CODIGO PRODUCTO TERMINADO]]&amp;"','"&amp;L21&amp;"',"&amp;Tabla3[[#This Row],[CANTIDAD MATERIAL (M)]]&amp;");"</f>
        <v>#VALUE!</v>
      </c>
    </row>
    <row r="22" spans="1:14" x14ac:dyDescent="0.25">
      <c r="A22" t="s">
        <v>2</v>
      </c>
      <c r="B22" t="s">
        <v>21</v>
      </c>
      <c r="C22" t="s">
        <v>37</v>
      </c>
      <c r="D22" t="s">
        <v>50</v>
      </c>
      <c r="E22" s="4" t="s">
        <v>11</v>
      </c>
      <c r="F22">
        <v>6.5000000000000002E-2</v>
      </c>
      <c r="H22" t="str">
        <f>VLOOKUP(Tabla3[[#This Row],[DESCRIPCION MATERIAL]],'CODIGO MAT'!$C$2:$D$390,2,FALSE)</f>
        <v>TEL0000149</v>
      </c>
      <c r="J22">
        <v>1</v>
      </c>
      <c r="K22">
        <v>0</v>
      </c>
      <c r="L22" t="s">
        <v>836</v>
      </c>
      <c r="M22" t="s">
        <v>992</v>
      </c>
      <c r="N22" t="str">
        <f>M22&amp;Tabla3[[#This Row],[CODIGO PRODUCTO TERMINADO]]&amp;"','"&amp;L22&amp;"',"&amp;Tabla3[[#This Row],[CANTIDAD MATERIAL (M)]]&amp;");"</f>
        <v>insert into P_DFORM(CDG_PROD,CDG_CONP,CAN_PROD) VALUES('FP02  ','TEL0000042',0.065);</v>
      </c>
    </row>
    <row r="23" spans="1:14" x14ac:dyDescent="0.25">
      <c r="A23" t="s">
        <v>2</v>
      </c>
      <c r="B23" t="s">
        <v>21</v>
      </c>
      <c r="C23" t="s">
        <v>38</v>
      </c>
      <c r="D23" t="s">
        <v>50</v>
      </c>
      <c r="E23" s="5" t="s">
        <v>12</v>
      </c>
      <c r="F23">
        <v>0.41</v>
      </c>
      <c r="H23" t="str">
        <f>VLOOKUP(Tabla3[[#This Row],[DESCRIPCION MATERIAL]],'CODIGO MAT'!$C$2:$D$390,2,FALSE)</f>
        <v>TEL0000040</v>
      </c>
      <c r="J23">
        <v>1</v>
      </c>
      <c r="K23">
        <v>0</v>
      </c>
      <c r="L23" t="s">
        <v>987</v>
      </c>
      <c r="M23" t="s">
        <v>992</v>
      </c>
      <c r="N23" t="str">
        <f>M23&amp;Tabla3[[#This Row],[CODIGO PRODUCTO TERMINADO]]&amp;"','"&amp;L23&amp;"',"&amp;Tabla3[[#This Row],[CANTIDAD MATERIAL (M)]]&amp;");"</f>
        <v>insert into P_DFORM(CDG_PROD,CDG_CONP,CAN_PROD) VALUES('FP02  ','TEL0000191',0.41);</v>
      </c>
    </row>
    <row r="24" spans="1:14" x14ac:dyDescent="0.25">
      <c r="A24" t="s">
        <v>2</v>
      </c>
      <c r="B24" t="s">
        <v>21</v>
      </c>
      <c r="C24" t="s">
        <v>39</v>
      </c>
      <c r="D24" t="s">
        <v>50</v>
      </c>
      <c r="E24" s="5" t="s">
        <v>13</v>
      </c>
      <c r="F24" s="1">
        <v>0.53200000000000003</v>
      </c>
      <c r="G24" s="1"/>
      <c r="H24" t="str">
        <f>VLOOKUP(Tabla3[[#This Row],[DESCRIPCION MATERIAL]],'CODIGO MAT'!$C$2:$D$390,2,FALSE)</f>
        <v>TEL0000042</v>
      </c>
      <c r="J24">
        <v>1</v>
      </c>
      <c r="K24">
        <v>0</v>
      </c>
      <c r="L24" t="s">
        <v>666</v>
      </c>
      <c r="M24" t="s">
        <v>992</v>
      </c>
      <c r="N24" t="str">
        <f>M24&amp;Tabla3[[#This Row],[CODIGO PRODUCTO TERMINADO]]&amp;"','"&amp;L24&amp;"',"&amp;Tabla3[[#This Row],[CANTIDAD MATERIAL (M)]]&amp;");"</f>
        <v>insert into P_DFORM(CDG_PROD,CDG_CONP,CAN_PROD) VALUES('FP02  ','AVI0000034',0.532);</v>
      </c>
    </row>
    <row r="25" spans="1:14" x14ac:dyDescent="0.25">
      <c r="A25" t="s">
        <v>2</v>
      </c>
      <c r="B25" t="s">
        <v>21</v>
      </c>
      <c r="C25" t="s">
        <v>40</v>
      </c>
      <c r="D25" t="s">
        <v>50</v>
      </c>
      <c r="E25" s="2" t="s">
        <v>14</v>
      </c>
      <c r="F25">
        <v>0.11</v>
      </c>
      <c r="H25" t="str">
        <f>VLOOKUP(Tabla3[[#This Row],[DESCRIPCION MATERIAL]],'CODIGO MAT'!$C$2:$D$390,2,FALSE)</f>
        <v>TEL0000191</v>
      </c>
      <c r="J25">
        <v>1</v>
      </c>
      <c r="K25">
        <v>0</v>
      </c>
      <c r="L25" t="s">
        <v>671</v>
      </c>
      <c r="M25" t="s">
        <v>992</v>
      </c>
      <c r="N25" t="str">
        <f>M25&amp;Tabla3[[#This Row],[CODIGO PRODUCTO TERMINADO]]&amp;"','"&amp;L25&amp;"',"&amp;Tabla3[[#This Row],[CANTIDAD MATERIAL (M)]]&amp;");"</f>
        <v>insert into P_DFORM(CDG_PROD,CDG_CONP,CAN_PROD) VALUES('FP02  ','AVI0000039',0.11);</v>
      </c>
    </row>
    <row r="26" spans="1:14" x14ac:dyDescent="0.25">
      <c r="A26" t="s">
        <v>2</v>
      </c>
      <c r="B26" t="s">
        <v>21</v>
      </c>
      <c r="C26" t="s">
        <v>40</v>
      </c>
      <c r="D26" t="s">
        <v>51</v>
      </c>
      <c r="E26" s="7" t="s">
        <v>34</v>
      </c>
      <c r="F26">
        <v>2.88</v>
      </c>
      <c r="H26" t="str">
        <f>VLOOKUP(Tabla3[[#This Row],[DESCRIPCION MATERIAL]],'CODIGO MAT'!$C$2:$D$390,2,FALSE)</f>
        <v>AVI0000034</v>
      </c>
      <c r="J26">
        <v>1</v>
      </c>
      <c r="K26">
        <v>0</v>
      </c>
      <c r="L26" t="s">
        <v>768</v>
      </c>
      <c r="M26" t="s">
        <v>992</v>
      </c>
      <c r="N26" t="str">
        <f>M26&amp;Tabla3[[#This Row],[CODIGO PRODUCTO TERMINADO]]&amp;"','"&amp;L26&amp;"',"&amp;Tabla3[[#This Row],[CANTIDAD MATERIAL (M)]]&amp;");"</f>
        <v>insert into P_DFORM(CDG_PROD,CDG_CONP,CAN_PROD) VALUES('FP02  ','AVI0000135',2.88);</v>
      </c>
    </row>
    <row r="27" spans="1:14" x14ac:dyDescent="0.25">
      <c r="A27" t="s">
        <v>2</v>
      </c>
      <c r="B27" t="s">
        <v>21</v>
      </c>
      <c r="C27" t="s">
        <v>40</v>
      </c>
      <c r="D27" t="s">
        <v>51</v>
      </c>
      <c r="E27" s="7" t="s">
        <v>296</v>
      </c>
      <c r="F27">
        <v>0.51</v>
      </c>
      <c r="H27" t="str">
        <f>VLOOKUP(Tabla3[[#This Row],[DESCRIPCION MATERIAL]],'CODIGO MAT'!$C$2:$D$390,2,FALSE)</f>
        <v>AVI0000039</v>
      </c>
      <c r="J27">
        <v>1</v>
      </c>
      <c r="K27">
        <v>0</v>
      </c>
      <c r="L27" t="s">
        <v>986</v>
      </c>
      <c r="M27" t="s">
        <v>992</v>
      </c>
      <c r="N27" t="str">
        <f>M27&amp;Tabla3[[#This Row],[CODIGO PRODUCTO TERMINADO]]&amp;"','"&amp;L27&amp;"',"&amp;Tabla3[[#This Row],[CANTIDAD MATERIAL (M)]]&amp;");"</f>
        <v>insert into P_DFORM(CDG_PROD,CDG_CONP,CAN_PROD) VALUES('FP02  ','TEL0000192',0.51);</v>
      </c>
    </row>
    <row r="28" spans="1:14" x14ac:dyDescent="0.25">
      <c r="A28" t="s">
        <v>2</v>
      </c>
      <c r="B28" t="s">
        <v>21</v>
      </c>
      <c r="C28" t="s">
        <v>40</v>
      </c>
      <c r="D28" t="s">
        <v>51</v>
      </c>
      <c r="E28" s="7" t="s">
        <v>36</v>
      </c>
      <c r="F28">
        <v>6</v>
      </c>
      <c r="H28" t="str">
        <f>VLOOKUP(Tabla3[[#This Row],[DESCRIPCION MATERIAL]],'CODIGO MAT'!$C$2:$D$390,2,FALSE)</f>
        <v>AVI0000135</v>
      </c>
      <c r="L28" t="s">
        <v>663</v>
      </c>
      <c r="M28" t="s">
        <v>992</v>
      </c>
      <c r="N28" t="str">
        <f>M28&amp;Tabla3[[#This Row],[CODIGO PRODUCTO TERMINADO]]&amp;"','"&amp;L28&amp;"',"&amp;Tabla3[[#This Row],[CANTIDAD MATERIAL (M)]]&amp;");"</f>
        <v>insert into P_DFORM(CDG_PROD,CDG_CONP,CAN_PROD) VALUES('FP02  ','AVI0000031',6);</v>
      </c>
    </row>
    <row r="29" spans="1:14" x14ac:dyDescent="0.25">
      <c r="A29" t="s">
        <v>2</v>
      </c>
      <c r="B29" t="s">
        <v>21</v>
      </c>
      <c r="C29" t="s">
        <v>40</v>
      </c>
      <c r="D29" t="s">
        <v>50</v>
      </c>
      <c r="E29" s="6" t="s">
        <v>611</v>
      </c>
      <c r="F29">
        <v>1.2E-2</v>
      </c>
      <c r="H29" t="str">
        <f>VLOOKUP(Tabla3[[#This Row],[DESCRIPCION MATERIAL]],'CODIGO MAT'!$C$2:$D$390,2,FALSE)</f>
        <v>TEL0000192</v>
      </c>
      <c r="L29" t="s">
        <v>943</v>
      </c>
      <c r="M29" t="s">
        <v>992</v>
      </c>
      <c r="N29" t="str">
        <f>M29&amp;Tabla3[[#This Row],[CODIGO PRODUCTO TERMINADO]]&amp;"','"&amp;L29&amp;"',"&amp;Tabla3[[#This Row],[CANTIDAD MATERIAL (M)]]&amp;");"</f>
        <v>insert into P_DFORM(CDG_PROD,CDG_CONP,CAN_PROD) VALUES('FP02  ','TEL0000149',0.012);</v>
      </c>
    </row>
    <row r="30" spans="1:14" x14ac:dyDescent="0.25">
      <c r="A30" t="s">
        <v>2</v>
      </c>
      <c r="B30" t="s">
        <v>21</v>
      </c>
      <c r="C30" t="s">
        <v>40</v>
      </c>
      <c r="D30" t="s">
        <v>51</v>
      </c>
      <c r="E30" s="4" t="s">
        <v>35</v>
      </c>
      <c r="F30">
        <v>0.31</v>
      </c>
      <c r="H30" t="str">
        <f>VLOOKUP(Tabla3[[#This Row],[DESCRIPCION MATERIAL]],'CODIGO MAT'!$C$2:$D$390,2,FALSE)</f>
        <v>AVI0000031</v>
      </c>
      <c r="L30" t="s">
        <v>834</v>
      </c>
      <c r="M30" t="s">
        <v>992</v>
      </c>
      <c r="N30" t="str">
        <f>M30&amp;Tabla3[[#This Row],[CODIGO PRODUCTO TERMINADO]]&amp;"','"&amp;L30&amp;"',"&amp;Tabla3[[#This Row],[CANTIDAD MATERIAL (M)]]&amp;");"</f>
        <v>insert into P_DFORM(CDG_PROD,CDG_CONP,CAN_PROD) VALUES('FP02  ','TEL0000040',0.31);</v>
      </c>
    </row>
    <row r="31" spans="1:14" x14ac:dyDescent="0.25">
      <c r="A31" t="s">
        <v>3</v>
      </c>
      <c r="B31" t="s">
        <v>21</v>
      </c>
      <c r="C31" t="s">
        <v>41</v>
      </c>
      <c r="D31" t="s">
        <v>50</v>
      </c>
      <c r="E31" s="4" t="s">
        <v>11</v>
      </c>
      <c r="F31">
        <v>6.5000000000000002E-2</v>
      </c>
      <c r="H31" t="str">
        <f>VLOOKUP(Tabla3[[#This Row],[DESCRIPCION MATERIAL]],'CODIGO MAT'!$C$2:$D$390,2,FALSE)</f>
        <v>TEL0000149</v>
      </c>
      <c r="J31">
        <v>1</v>
      </c>
      <c r="K31">
        <v>0</v>
      </c>
      <c r="L31" t="s">
        <v>836</v>
      </c>
      <c r="M31" t="s">
        <v>992</v>
      </c>
      <c r="N31" t="str">
        <f>M31&amp;Tabla3[[#This Row],[CODIGO PRODUCTO TERMINADO]]&amp;"','"&amp;L31&amp;"',"&amp;Tabla3[[#This Row],[CANTIDAD MATERIAL (M)]]&amp;");"</f>
        <v>insert into P_DFORM(CDG_PROD,CDG_CONP,CAN_PROD) VALUES('FP03','TEL0000042',0.065);</v>
      </c>
    </row>
    <row r="32" spans="1:14" x14ac:dyDescent="0.25">
      <c r="A32" t="s">
        <v>3</v>
      </c>
      <c r="B32" t="s">
        <v>21</v>
      </c>
      <c r="C32" t="s">
        <v>41</v>
      </c>
      <c r="D32" t="s">
        <v>50</v>
      </c>
      <c r="E32" s="5" t="s">
        <v>12</v>
      </c>
      <c r="F32">
        <v>0.45200000000000001</v>
      </c>
      <c r="H32" t="str">
        <f>VLOOKUP(Tabla3[[#This Row],[DESCRIPCION MATERIAL]],'CODIGO MAT'!$C$2:$D$390,2,FALSE)</f>
        <v>TEL0000040</v>
      </c>
      <c r="J32">
        <v>1</v>
      </c>
      <c r="K32">
        <v>0</v>
      </c>
      <c r="L32" t="s">
        <v>987</v>
      </c>
      <c r="M32" t="s">
        <v>992</v>
      </c>
      <c r="N32" t="str">
        <f>M32&amp;Tabla3[[#This Row],[CODIGO PRODUCTO TERMINADO]]&amp;"','"&amp;L32&amp;"',"&amp;Tabla3[[#This Row],[CANTIDAD MATERIAL (M)]]&amp;");"</f>
        <v>insert into P_DFORM(CDG_PROD,CDG_CONP,CAN_PROD) VALUES('FP03','TEL0000191',0.452);</v>
      </c>
    </row>
    <row r="33" spans="1:14" x14ac:dyDescent="0.25">
      <c r="A33" t="s">
        <v>3</v>
      </c>
      <c r="B33" t="s">
        <v>21</v>
      </c>
      <c r="C33" t="s">
        <v>41</v>
      </c>
      <c r="D33" t="s">
        <v>50</v>
      </c>
      <c r="E33" s="5" t="s">
        <v>13</v>
      </c>
      <c r="F33">
        <v>0.61799999999999999</v>
      </c>
      <c r="H33" t="str">
        <f>VLOOKUP(Tabla3[[#This Row],[DESCRIPCION MATERIAL]],'CODIGO MAT'!$C$2:$D$390,2,FALSE)</f>
        <v>TEL0000042</v>
      </c>
      <c r="J33">
        <v>1</v>
      </c>
      <c r="K33">
        <v>0</v>
      </c>
      <c r="L33" t="s">
        <v>666</v>
      </c>
      <c r="M33" t="s">
        <v>992</v>
      </c>
      <c r="N33" t="str">
        <f>M33&amp;Tabla3[[#This Row],[CODIGO PRODUCTO TERMINADO]]&amp;"','"&amp;L33&amp;"',"&amp;Tabla3[[#This Row],[CANTIDAD MATERIAL (M)]]&amp;");"</f>
        <v>insert into P_DFORM(CDG_PROD,CDG_CONP,CAN_PROD) VALUES('FP03','AVI0000034',0.618);</v>
      </c>
    </row>
    <row r="34" spans="1:14" x14ac:dyDescent="0.25">
      <c r="A34" t="s">
        <v>3</v>
      </c>
      <c r="B34" t="s">
        <v>21</v>
      </c>
      <c r="C34" t="s">
        <v>41</v>
      </c>
      <c r="D34" t="s">
        <v>50</v>
      </c>
      <c r="E34" s="2" t="s">
        <v>14</v>
      </c>
      <c r="F34">
        <v>0.11</v>
      </c>
      <c r="H34" t="str">
        <f>VLOOKUP(Tabla3[[#This Row],[DESCRIPCION MATERIAL]],'CODIGO MAT'!$C$2:$D$390,2,FALSE)</f>
        <v>TEL0000191</v>
      </c>
      <c r="J34">
        <v>1</v>
      </c>
      <c r="K34">
        <v>0</v>
      </c>
      <c r="L34" t="s">
        <v>671</v>
      </c>
      <c r="M34" t="s">
        <v>992</v>
      </c>
      <c r="N34" t="str">
        <f>M34&amp;Tabla3[[#This Row],[CODIGO PRODUCTO TERMINADO]]&amp;"','"&amp;L34&amp;"',"&amp;Tabla3[[#This Row],[CANTIDAD MATERIAL (M)]]&amp;");"</f>
        <v>insert into P_DFORM(CDG_PROD,CDG_CONP,CAN_PROD) VALUES('FP03','AVI0000039',0.11);</v>
      </c>
    </row>
    <row r="35" spans="1:14" x14ac:dyDescent="0.25">
      <c r="A35" t="s">
        <v>3</v>
      </c>
      <c r="B35" t="s">
        <v>21</v>
      </c>
      <c r="C35" t="s">
        <v>41</v>
      </c>
      <c r="D35" t="s">
        <v>51</v>
      </c>
      <c r="E35" s="7" t="s">
        <v>34</v>
      </c>
      <c r="F35">
        <v>2.93</v>
      </c>
      <c r="H35" t="str">
        <f>VLOOKUP(Tabla3[[#This Row],[DESCRIPCION MATERIAL]],'CODIGO MAT'!$C$2:$D$390,2,FALSE)</f>
        <v>AVI0000034</v>
      </c>
      <c r="J35">
        <v>1</v>
      </c>
      <c r="K35">
        <v>0</v>
      </c>
      <c r="L35" t="s">
        <v>768</v>
      </c>
      <c r="M35" t="s">
        <v>992</v>
      </c>
      <c r="N35" t="str">
        <f>M35&amp;Tabla3[[#This Row],[CODIGO PRODUCTO TERMINADO]]&amp;"','"&amp;L35&amp;"',"&amp;Tabla3[[#This Row],[CANTIDAD MATERIAL (M)]]&amp;");"</f>
        <v>insert into P_DFORM(CDG_PROD,CDG_CONP,CAN_PROD) VALUES('FP03','AVI0000135',2.93);</v>
      </c>
    </row>
    <row r="36" spans="1:14" x14ac:dyDescent="0.25">
      <c r="A36" t="s">
        <v>3</v>
      </c>
      <c r="B36" t="s">
        <v>21</v>
      </c>
      <c r="C36" t="s">
        <v>41</v>
      </c>
      <c r="D36" t="s">
        <v>51</v>
      </c>
      <c r="E36" s="7" t="s">
        <v>296</v>
      </c>
      <c r="F36">
        <v>0.51</v>
      </c>
      <c r="H36" t="str">
        <f>VLOOKUP(Tabla3[[#This Row],[DESCRIPCION MATERIAL]],'CODIGO MAT'!$C$2:$D$390,2,FALSE)</f>
        <v>AVI0000039</v>
      </c>
      <c r="J36">
        <v>1</v>
      </c>
      <c r="K36">
        <v>0</v>
      </c>
      <c r="L36" t="s">
        <v>986</v>
      </c>
      <c r="M36" t="s">
        <v>992</v>
      </c>
      <c r="N36" t="str">
        <f>M36&amp;Tabla3[[#This Row],[CODIGO PRODUCTO TERMINADO]]&amp;"','"&amp;L36&amp;"',"&amp;Tabla3[[#This Row],[CANTIDAD MATERIAL (M)]]&amp;");"</f>
        <v>insert into P_DFORM(CDG_PROD,CDG_CONP,CAN_PROD) VALUES('FP03','TEL0000192',0.51);</v>
      </c>
    </row>
    <row r="37" spans="1:14" x14ac:dyDescent="0.25">
      <c r="A37" t="s">
        <v>3</v>
      </c>
      <c r="B37" t="s">
        <v>21</v>
      </c>
      <c r="C37" t="s">
        <v>41</v>
      </c>
      <c r="D37" t="s">
        <v>51</v>
      </c>
      <c r="E37" s="7" t="s">
        <v>36</v>
      </c>
      <c r="F37">
        <v>6</v>
      </c>
      <c r="H37" t="str">
        <f>VLOOKUP(Tabla3[[#This Row],[DESCRIPCION MATERIAL]],'CODIGO MAT'!$C$2:$D$390,2,FALSE)</f>
        <v>AVI0000135</v>
      </c>
      <c r="L37" t="s">
        <v>663</v>
      </c>
      <c r="M37" t="s">
        <v>992</v>
      </c>
      <c r="N37" t="str">
        <f>M37&amp;Tabla3[[#This Row],[CODIGO PRODUCTO TERMINADO]]&amp;"','"&amp;L37&amp;"',"&amp;Tabla3[[#This Row],[CANTIDAD MATERIAL (M)]]&amp;");"</f>
        <v>insert into P_DFORM(CDG_PROD,CDG_CONP,CAN_PROD) VALUES('FP03','AVI0000031',6);</v>
      </c>
    </row>
    <row r="38" spans="1:14" x14ac:dyDescent="0.25">
      <c r="A38" t="s">
        <v>3</v>
      </c>
      <c r="B38" t="s">
        <v>21</v>
      </c>
      <c r="C38" t="s">
        <v>41</v>
      </c>
      <c r="D38" t="s">
        <v>50</v>
      </c>
      <c r="E38" s="6" t="s">
        <v>611</v>
      </c>
      <c r="F38">
        <v>1.2E-2</v>
      </c>
      <c r="H38" t="str">
        <f>VLOOKUP(Tabla3[[#This Row],[DESCRIPCION MATERIAL]],'CODIGO MAT'!$C$2:$D$390,2,FALSE)</f>
        <v>TEL0000192</v>
      </c>
      <c r="L38" t="s">
        <v>943</v>
      </c>
      <c r="M38" t="s">
        <v>992</v>
      </c>
      <c r="N38" t="str">
        <f>M38&amp;Tabla3[[#This Row],[CODIGO PRODUCTO TERMINADO]]&amp;"','"&amp;L38&amp;"',"&amp;Tabla3[[#This Row],[CANTIDAD MATERIAL (M)]]&amp;");"</f>
        <v>insert into P_DFORM(CDG_PROD,CDG_CONP,CAN_PROD) VALUES('FP03','TEL0000149',0.012);</v>
      </c>
    </row>
    <row r="39" spans="1:14" x14ac:dyDescent="0.25">
      <c r="A39" t="s">
        <v>3</v>
      </c>
      <c r="B39" t="s">
        <v>21</v>
      </c>
      <c r="C39" t="s">
        <v>41</v>
      </c>
      <c r="D39" t="s">
        <v>51</v>
      </c>
      <c r="E39" s="4" t="s">
        <v>35</v>
      </c>
      <c r="F39">
        <v>0.31</v>
      </c>
      <c r="H39" t="str">
        <f>VLOOKUP(Tabla3[[#This Row],[DESCRIPCION MATERIAL]],'CODIGO MAT'!$C$2:$D$390,2,FALSE)</f>
        <v>AVI0000031</v>
      </c>
      <c r="L39" t="s">
        <v>834</v>
      </c>
      <c r="M39" t="s">
        <v>992</v>
      </c>
      <c r="N39" t="str">
        <f>M39&amp;Tabla3[[#This Row],[CODIGO PRODUCTO TERMINADO]]&amp;"','"&amp;L39&amp;"',"&amp;Tabla3[[#This Row],[CANTIDAD MATERIAL (M)]]&amp;");"</f>
        <v>insert into P_DFORM(CDG_PROD,CDG_CONP,CAN_PROD) VALUES('FP03','TEL0000040',0.31);</v>
      </c>
    </row>
    <row r="40" spans="1:14" x14ac:dyDescent="0.25">
      <c r="A40" t="s">
        <v>4</v>
      </c>
      <c r="B40" t="s">
        <v>21</v>
      </c>
      <c r="C40" t="s">
        <v>42</v>
      </c>
      <c r="D40" t="s">
        <v>50</v>
      </c>
      <c r="E40" s="4" t="s">
        <v>11</v>
      </c>
      <c r="F40">
        <v>0.11</v>
      </c>
      <c r="H40" t="str">
        <f>VLOOKUP(Tabla3[[#This Row],[DESCRIPCION MATERIAL]],'CODIGO MAT'!$C$2:$D$390,2,FALSE)</f>
        <v>TEL0000149</v>
      </c>
      <c r="J40">
        <v>1</v>
      </c>
      <c r="K40">
        <v>0</v>
      </c>
      <c r="L40" t="s">
        <v>836</v>
      </c>
      <c r="M40" t="s">
        <v>992</v>
      </c>
      <c r="N40" t="str">
        <f>M40&amp;Tabla3[[#This Row],[CODIGO PRODUCTO TERMINADO]]&amp;"','"&amp;L40&amp;"',"&amp;Tabla3[[#This Row],[CANTIDAD MATERIAL (M)]]&amp;");"</f>
        <v>insert into P_DFORM(CDG_PROD,CDG_CONP,CAN_PROD) VALUES('FP04','TEL0000042',0.11);</v>
      </c>
    </row>
    <row r="41" spans="1:14" x14ac:dyDescent="0.25">
      <c r="A41" t="s">
        <v>4</v>
      </c>
      <c r="B41" t="s">
        <v>21</v>
      </c>
      <c r="C41" t="s">
        <v>42</v>
      </c>
      <c r="D41" t="s">
        <v>50</v>
      </c>
      <c r="E41" s="5" t="s">
        <v>12</v>
      </c>
      <c r="F41">
        <v>0.52</v>
      </c>
      <c r="H41" t="str">
        <f>VLOOKUP(Tabla3[[#This Row],[DESCRIPCION MATERIAL]],'CODIGO MAT'!$C$2:$D$390,2,FALSE)</f>
        <v>TEL0000040</v>
      </c>
      <c r="J41">
        <v>1</v>
      </c>
      <c r="K41">
        <v>0</v>
      </c>
      <c r="L41" t="s">
        <v>987</v>
      </c>
      <c r="M41" t="s">
        <v>992</v>
      </c>
      <c r="N41" t="str">
        <f>M41&amp;Tabla3[[#This Row],[CODIGO PRODUCTO TERMINADO]]&amp;"','"&amp;L41&amp;"',"&amp;Tabla3[[#This Row],[CANTIDAD MATERIAL (M)]]&amp;");"</f>
        <v>insert into P_DFORM(CDG_PROD,CDG_CONP,CAN_PROD) VALUES('FP04','TEL0000191',0.52);</v>
      </c>
    </row>
    <row r="42" spans="1:14" x14ac:dyDescent="0.25">
      <c r="A42" t="s">
        <v>4</v>
      </c>
      <c r="B42" t="s">
        <v>21</v>
      </c>
      <c r="C42" t="s">
        <v>42</v>
      </c>
      <c r="D42" t="s">
        <v>50</v>
      </c>
      <c r="E42" s="5" t="s">
        <v>13</v>
      </c>
      <c r="F42">
        <v>0.71</v>
      </c>
      <c r="H42" t="str">
        <f>VLOOKUP(Tabla3[[#This Row],[DESCRIPCION MATERIAL]],'CODIGO MAT'!$C$2:$D$390,2,FALSE)</f>
        <v>TEL0000042</v>
      </c>
      <c r="J42">
        <v>1</v>
      </c>
      <c r="K42">
        <v>0</v>
      </c>
      <c r="L42" t="s">
        <v>666</v>
      </c>
      <c r="M42" t="s">
        <v>992</v>
      </c>
      <c r="N42" t="str">
        <f>M42&amp;Tabla3[[#This Row],[CODIGO PRODUCTO TERMINADO]]&amp;"','"&amp;L42&amp;"',"&amp;Tabla3[[#This Row],[CANTIDAD MATERIAL (M)]]&amp;");"</f>
        <v>insert into P_DFORM(CDG_PROD,CDG_CONP,CAN_PROD) VALUES('FP04','AVI0000034',0.71);</v>
      </c>
    </row>
    <row r="43" spans="1:14" x14ac:dyDescent="0.25">
      <c r="A43" t="s">
        <v>4</v>
      </c>
      <c r="B43" t="s">
        <v>21</v>
      </c>
      <c r="C43" t="s">
        <v>42</v>
      </c>
      <c r="D43" t="s">
        <v>50</v>
      </c>
      <c r="E43" s="2" t="s">
        <v>14</v>
      </c>
      <c r="F43">
        <v>0.11</v>
      </c>
      <c r="H43" t="str">
        <f>VLOOKUP(Tabla3[[#This Row],[DESCRIPCION MATERIAL]],'CODIGO MAT'!$C$2:$D$390,2,FALSE)</f>
        <v>TEL0000191</v>
      </c>
      <c r="J43">
        <v>1</v>
      </c>
      <c r="K43">
        <v>0</v>
      </c>
      <c r="L43" t="s">
        <v>671</v>
      </c>
      <c r="M43" t="s">
        <v>992</v>
      </c>
      <c r="N43" t="str">
        <f>M43&amp;Tabla3[[#This Row],[CODIGO PRODUCTO TERMINADO]]&amp;"','"&amp;L43&amp;"',"&amp;Tabla3[[#This Row],[CANTIDAD MATERIAL (M)]]&amp;");"</f>
        <v>insert into P_DFORM(CDG_PROD,CDG_CONP,CAN_PROD) VALUES('FP04','AVI0000039',0.11);</v>
      </c>
    </row>
    <row r="44" spans="1:14" x14ac:dyDescent="0.25">
      <c r="A44" t="s">
        <v>4</v>
      </c>
      <c r="B44" t="s">
        <v>21</v>
      </c>
      <c r="C44" t="s">
        <v>42</v>
      </c>
      <c r="D44" t="s">
        <v>51</v>
      </c>
      <c r="E44" s="7" t="s">
        <v>34</v>
      </c>
      <c r="F44">
        <v>3.06</v>
      </c>
      <c r="H44" t="str">
        <f>VLOOKUP(Tabla3[[#This Row],[DESCRIPCION MATERIAL]],'CODIGO MAT'!$C$2:$D$390,2,FALSE)</f>
        <v>AVI0000034</v>
      </c>
      <c r="J44">
        <v>1</v>
      </c>
      <c r="K44">
        <v>0</v>
      </c>
      <c r="L44" t="s">
        <v>768</v>
      </c>
      <c r="M44" t="s">
        <v>992</v>
      </c>
      <c r="N44" t="str">
        <f>M44&amp;Tabla3[[#This Row],[CODIGO PRODUCTO TERMINADO]]&amp;"','"&amp;L44&amp;"',"&amp;Tabla3[[#This Row],[CANTIDAD MATERIAL (M)]]&amp;");"</f>
        <v>insert into P_DFORM(CDG_PROD,CDG_CONP,CAN_PROD) VALUES('FP04','AVI0000135',3.06);</v>
      </c>
    </row>
    <row r="45" spans="1:14" x14ac:dyDescent="0.25">
      <c r="A45" t="s">
        <v>4</v>
      </c>
      <c r="B45" t="s">
        <v>21</v>
      </c>
      <c r="C45" t="s">
        <v>42</v>
      </c>
      <c r="D45" t="s">
        <v>51</v>
      </c>
      <c r="E45" s="7" t="s">
        <v>296</v>
      </c>
      <c r="F45">
        <v>0.51</v>
      </c>
      <c r="H45" t="str">
        <f>VLOOKUP(Tabla3[[#This Row],[DESCRIPCION MATERIAL]],'CODIGO MAT'!$C$2:$D$390,2,FALSE)</f>
        <v>AVI0000039</v>
      </c>
      <c r="J45">
        <v>1</v>
      </c>
      <c r="K45">
        <v>0</v>
      </c>
      <c r="L45" t="s">
        <v>986</v>
      </c>
      <c r="M45" t="s">
        <v>992</v>
      </c>
      <c r="N45" t="str">
        <f>M45&amp;Tabla3[[#This Row],[CODIGO PRODUCTO TERMINADO]]&amp;"','"&amp;L45&amp;"',"&amp;Tabla3[[#This Row],[CANTIDAD MATERIAL (M)]]&amp;");"</f>
        <v>insert into P_DFORM(CDG_PROD,CDG_CONP,CAN_PROD) VALUES('FP04','TEL0000192',0.51);</v>
      </c>
    </row>
    <row r="46" spans="1:14" x14ac:dyDescent="0.25">
      <c r="A46" t="s">
        <v>4</v>
      </c>
      <c r="B46" t="s">
        <v>21</v>
      </c>
      <c r="C46" t="s">
        <v>42</v>
      </c>
      <c r="D46" t="s">
        <v>51</v>
      </c>
      <c r="E46" s="7" t="s">
        <v>36</v>
      </c>
      <c r="F46">
        <v>6</v>
      </c>
      <c r="H46" t="str">
        <f>VLOOKUP(Tabla3[[#This Row],[DESCRIPCION MATERIAL]],'CODIGO MAT'!$C$2:$D$390,2,FALSE)</f>
        <v>AVI0000135</v>
      </c>
      <c r="L46" t="s">
        <v>663</v>
      </c>
      <c r="M46" t="s">
        <v>992</v>
      </c>
      <c r="N46" t="str">
        <f>M46&amp;Tabla3[[#This Row],[CODIGO PRODUCTO TERMINADO]]&amp;"','"&amp;L46&amp;"',"&amp;Tabla3[[#This Row],[CANTIDAD MATERIAL (M)]]&amp;");"</f>
        <v>insert into P_DFORM(CDG_PROD,CDG_CONP,CAN_PROD) VALUES('FP04','AVI0000031',6);</v>
      </c>
    </row>
    <row r="47" spans="1:14" x14ac:dyDescent="0.25">
      <c r="A47" t="s">
        <v>4</v>
      </c>
      <c r="B47" t="s">
        <v>21</v>
      </c>
      <c r="C47" t="s">
        <v>42</v>
      </c>
      <c r="D47" t="s">
        <v>50</v>
      </c>
      <c r="E47" s="6" t="s">
        <v>611</v>
      </c>
      <c r="F47">
        <v>1.2E-2</v>
      </c>
      <c r="H47" t="str">
        <f>VLOOKUP(Tabla3[[#This Row],[DESCRIPCION MATERIAL]],'CODIGO MAT'!$C$2:$D$390,2,FALSE)</f>
        <v>TEL0000192</v>
      </c>
      <c r="L47" t="s">
        <v>943</v>
      </c>
      <c r="M47" t="s">
        <v>992</v>
      </c>
      <c r="N47" t="str">
        <f>M47&amp;Tabla3[[#This Row],[CODIGO PRODUCTO TERMINADO]]&amp;"','"&amp;L47&amp;"',"&amp;Tabla3[[#This Row],[CANTIDAD MATERIAL (M)]]&amp;");"</f>
        <v>insert into P_DFORM(CDG_PROD,CDG_CONP,CAN_PROD) VALUES('FP04','TEL0000149',0.012);</v>
      </c>
    </row>
    <row r="48" spans="1:14" x14ac:dyDescent="0.25">
      <c r="A48" t="s">
        <v>4</v>
      </c>
      <c r="B48" t="s">
        <v>21</v>
      </c>
      <c r="C48" t="s">
        <v>42</v>
      </c>
      <c r="D48" t="s">
        <v>51</v>
      </c>
      <c r="E48" s="4" t="s">
        <v>35</v>
      </c>
      <c r="F48">
        <v>0.31</v>
      </c>
      <c r="H48" t="str">
        <f>VLOOKUP(Tabla3[[#This Row],[DESCRIPCION MATERIAL]],'CODIGO MAT'!$C$2:$D$390,2,FALSE)</f>
        <v>AVI0000031</v>
      </c>
      <c r="L48" t="s">
        <v>834</v>
      </c>
      <c r="M48" t="s">
        <v>992</v>
      </c>
      <c r="N48" t="str">
        <f>M48&amp;Tabla3[[#This Row],[CODIGO PRODUCTO TERMINADO]]&amp;"','"&amp;L48&amp;"',"&amp;Tabla3[[#This Row],[CANTIDAD MATERIAL (M)]]&amp;");"</f>
        <v>insert into P_DFORM(CDG_PROD,CDG_CONP,CAN_PROD) VALUES('FP04','TEL0000040',0.31);</v>
      </c>
    </row>
    <row r="49" spans="1:14" x14ac:dyDescent="0.25">
      <c r="A49" t="s">
        <v>5</v>
      </c>
      <c r="B49" t="s">
        <v>21</v>
      </c>
      <c r="C49" t="s">
        <v>43</v>
      </c>
      <c r="D49" t="s">
        <v>50</v>
      </c>
      <c r="E49" s="4" t="s">
        <v>11</v>
      </c>
      <c r="F49">
        <v>0.11700000000000001</v>
      </c>
      <c r="H49" t="str">
        <f>VLOOKUP(Tabla3[[#This Row],[DESCRIPCION MATERIAL]],'CODIGO MAT'!$C$2:$D$390,2,FALSE)</f>
        <v>TEL0000149</v>
      </c>
      <c r="J49">
        <v>1</v>
      </c>
      <c r="K49">
        <v>0</v>
      </c>
      <c r="L49" t="s">
        <v>836</v>
      </c>
      <c r="M49" t="s">
        <v>992</v>
      </c>
      <c r="N49" t="str">
        <f>M49&amp;Tabla3[[#This Row],[CODIGO PRODUCTO TERMINADO]]&amp;"','"&amp;L49&amp;"',"&amp;Tabla3[[#This Row],[CANTIDAD MATERIAL (M)]]&amp;");"</f>
        <v>insert into P_DFORM(CDG_PROD,CDG_CONP,CAN_PROD) VALUES('FP05','TEL0000042',0.117);</v>
      </c>
    </row>
    <row r="50" spans="1:14" x14ac:dyDescent="0.25">
      <c r="A50" t="s">
        <v>5</v>
      </c>
      <c r="B50" t="s">
        <v>21</v>
      </c>
      <c r="C50" t="s">
        <v>43</v>
      </c>
      <c r="D50" t="s">
        <v>50</v>
      </c>
      <c r="E50" s="5" t="s">
        <v>12</v>
      </c>
      <c r="F50">
        <v>0.60799999999999998</v>
      </c>
      <c r="H50" t="str">
        <f>VLOOKUP(Tabla3[[#This Row],[DESCRIPCION MATERIAL]],'CODIGO MAT'!$C$2:$D$390,2,FALSE)</f>
        <v>TEL0000040</v>
      </c>
      <c r="J50">
        <v>1</v>
      </c>
      <c r="K50">
        <v>0</v>
      </c>
      <c r="L50" t="s">
        <v>987</v>
      </c>
      <c r="M50" t="s">
        <v>992</v>
      </c>
      <c r="N50" t="str">
        <f>M50&amp;Tabla3[[#This Row],[CODIGO PRODUCTO TERMINADO]]&amp;"','"&amp;L50&amp;"',"&amp;Tabla3[[#This Row],[CANTIDAD MATERIAL (M)]]&amp;");"</f>
        <v>insert into P_DFORM(CDG_PROD,CDG_CONP,CAN_PROD) VALUES('FP05','TEL0000191',0.608);</v>
      </c>
    </row>
    <row r="51" spans="1:14" x14ac:dyDescent="0.25">
      <c r="A51" t="s">
        <v>5</v>
      </c>
      <c r="B51" t="s">
        <v>21</v>
      </c>
      <c r="C51" t="s">
        <v>43</v>
      </c>
      <c r="D51" t="s">
        <v>50</v>
      </c>
      <c r="E51" s="5" t="s">
        <v>13</v>
      </c>
      <c r="F51">
        <v>0.78</v>
      </c>
      <c r="H51" t="str">
        <f>VLOOKUP(Tabla3[[#This Row],[DESCRIPCION MATERIAL]],'CODIGO MAT'!$C$2:$D$390,2,FALSE)</f>
        <v>TEL0000042</v>
      </c>
      <c r="J51">
        <v>1</v>
      </c>
      <c r="K51">
        <v>0</v>
      </c>
      <c r="L51" t="s">
        <v>666</v>
      </c>
      <c r="M51" t="s">
        <v>992</v>
      </c>
      <c r="N51" t="str">
        <f>M51&amp;Tabla3[[#This Row],[CODIGO PRODUCTO TERMINADO]]&amp;"','"&amp;L51&amp;"',"&amp;Tabla3[[#This Row],[CANTIDAD MATERIAL (M)]]&amp;");"</f>
        <v>insert into P_DFORM(CDG_PROD,CDG_CONP,CAN_PROD) VALUES('FP05','AVI0000034',0.78);</v>
      </c>
    </row>
    <row r="52" spans="1:14" x14ac:dyDescent="0.25">
      <c r="A52" t="s">
        <v>5</v>
      </c>
      <c r="B52" t="s">
        <v>21</v>
      </c>
      <c r="C52" t="s">
        <v>43</v>
      </c>
      <c r="D52" t="s">
        <v>50</v>
      </c>
      <c r="E52" s="2" t="s">
        <v>14</v>
      </c>
      <c r="F52">
        <v>0.11</v>
      </c>
      <c r="H52" t="str">
        <f>VLOOKUP(Tabla3[[#This Row],[DESCRIPCION MATERIAL]],'CODIGO MAT'!$C$2:$D$390,2,FALSE)</f>
        <v>TEL0000191</v>
      </c>
      <c r="J52">
        <v>1</v>
      </c>
      <c r="K52">
        <v>0</v>
      </c>
      <c r="L52" t="s">
        <v>671</v>
      </c>
      <c r="M52" t="s">
        <v>992</v>
      </c>
      <c r="N52" t="str">
        <f>M52&amp;Tabla3[[#This Row],[CODIGO PRODUCTO TERMINADO]]&amp;"','"&amp;L52&amp;"',"&amp;Tabla3[[#This Row],[CANTIDAD MATERIAL (M)]]&amp;");"</f>
        <v>insert into P_DFORM(CDG_PROD,CDG_CONP,CAN_PROD) VALUES('FP05','AVI0000039',0.11);</v>
      </c>
    </row>
    <row r="53" spans="1:14" x14ac:dyDescent="0.25">
      <c r="A53" t="s">
        <v>5</v>
      </c>
      <c r="B53" t="s">
        <v>21</v>
      </c>
      <c r="C53" t="s">
        <v>43</v>
      </c>
      <c r="D53" t="s">
        <v>51</v>
      </c>
      <c r="E53" s="7" t="s">
        <v>34</v>
      </c>
      <c r="F53">
        <v>3.1</v>
      </c>
      <c r="H53" t="str">
        <f>VLOOKUP(Tabla3[[#This Row],[DESCRIPCION MATERIAL]],'CODIGO MAT'!$C$2:$D$390,2,FALSE)</f>
        <v>AVI0000034</v>
      </c>
      <c r="J53">
        <v>1</v>
      </c>
      <c r="K53">
        <v>0</v>
      </c>
      <c r="L53" t="s">
        <v>768</v>
      </c>
      <c r="M53" t="s">
        <v>992</v>
      </c>
      <c r="N53" t="str">
        <f>M53&amp;Tabla3[[#This Row],[CODIGO PRODUCTO TERMINADO]]&amp;"','"&amp;L53&amp;"',"&amp;Tabla3[[#This Row],[CANTIDAD MATERIAL (M)]]&amp;");"</f>
        <v>insert into P_DFORM(CDG_PROD,CDG_CONP,CAN_PROD) VALUES('FP05','AVI0000135',3.1);</v>
      </c>
    </row>
    <row r="54" spans="1:14" x14ac:dyDescent="0.25">
      <c r="A54" t="s">
        <v>5</v>
      </c>
      <c r="B54" t="s">
        <v>21</v>
      </c>
      <c r="C54" t="s">
        <v>43</v>
      </c>
      <c r="D54" t="s">
        <v>51</v>
      </c>
      <c r="E54" s="7" t="s">
        <v>296</v>
      </c>
      <c r="F54">
        <v>0.51</v>
      </c>
      <c r="H54" t="str">
        <f>VLOOKUP(Tabla3[[#This Row],[DESCRIPCION MATERIAL]],'CODIGO MAT'!$C$2:$D$390,2,FALSE)</f>
        <v>AVI0000039</v>
      </c>
      <c r="J54">
        <v>1</v>
      </c>
      <c r="K54">
        <v>0</v>
      </c>
      <c r="L54" t="s">
        <v>986</v>
      </c>
      <c r="M54" t="s">
        <v>992</v>
      </c>
      <c r="N54" t="str">
        <f>M54&amp;Tabla3[[#This Row],[CODIGO PRODUCTO TERMINADO]]&amp;"','"&amp;L54&amp;"',"&amp;Tabla3[[#This Row],[CANTIDAD MATERIAL (M)]]&amp;");"</f>
        <v>insert into P_DFORM(CDG_PROD,CDG_CONP,CAN_PROD) VALUES('FP05','TEL0000192',0.51);</v>
      </c>
    </row>
    <row r="55" spans="1:14" x14ac:dyDescent="0.25">
      <c r="A55" t="s">
        <v>5</v>
      </c>
      <c r="B55" t="s">
        <v>21</v>
      </c>
      <c r="C55" t="s">
        <v>43</v>
      </c>
      <c r="D55" t="s">
        <v>51</v>
      </c>
      <c r="E55" s="7" t="s">
        <v>36</v>
      </c>
      <c r="F55">
        <v>6</v>
      </c>
      <c r="H55" t="str">
        <f>VLOOKUP(Tabla3[[#This Row],[DESCRIPCION MATERIAL]],'CODIGO MAT'!$C$2:$D$390,2,FALSE)</f>
        <v>AVI0000135</v>
      </c>
      <c r="L55" t="s">
        <v>663</v>
      </c>
      <c r="M55" t="s">
        <v>992</v>
      </c>
      <c r="N55" t="str">
        <f>M55&amp;Tabla3[[#This Row],[CODIGO PRODUCTO TERMINADO]]&amp;"','"&amp;L55&amp;"',"&amp;Tabla3[[#This Row],[CANTIDAD MATERIAL (M)]]&amp;");"</f>
        <v>insert into P_DFORM(CDG_PROD,CDG_CONP,CAN_PROD) VALUES('FP05','AVI0000031',6);</v>
      </c>
    </row>
    <row r="56" spans="1:14" x14ac:dyDescent="0.25">
      <c r="A56" t="s">
        <v>5</v>
      </c>
      <c r="B56" t="s">
        <v>21</v>
      </c>
      <c r="C56" t="s">
        <v>43</v>
      </c>
      <c r="D56" t="s">
        <v>50</v>
      </c>
      <c r="E56" s="6" t="s">
        <v>611</v>
      </c>
      <c r="F56">
        <v>1.2E-2</v>
      </c>
      <c r="H56" t="str">
        <f>VLOOKUP(Tabla3[[#This Row],[DESCRIPCION MATERIAL]],'CODIGO MAT'!$C$2:$D$390,2,FALSE)</f>
        <v>TEL0000192</v>
      </c>
      <c r="L56" t="s">
        <v>943</v>
      </c>
      <c r="M56" t="s">
        <v>992</v>
      </c>
      <c r="N56" t="str">
        <f>M56&amp;Tabla3[[#This Row],[CODIGO PRODUCTO TERMINADO]]&amp;"','"&amp;L56&amp;"',"&amp;Tabla3[[#This Row],[CANTIDAD MATERIAL (M)]]&amp;");"</f>
        <v>insert into P_DFORM(CDG_PROD,CDG_CONP,CAN_PROD) VALUES('FP05','TEL0000149',0.012);</v>
      </c>
    </row>
    <row r="57" spans="1:14" x14ac:dyDescent="0.25">
      <c r="A57" t="s">
        <v>5</v>
      </c>
      <c r="B57" t="s">
        <v>21</v>
      </c>
      <c r="C57" t="s">
        <v>43</v>
      </c>
      <c r="D57" t="s">
        <v>51</v>
      </c>
      <c r="E57" s="4" t="s">
        <v>35</v>
      </c>
      <c r="F57">
        <v>0.31</v>
      </c>
      <c r="H57" t="str">
        <f>VLOOKUP(Tabla3[[#This Row],[DESCRIPCION MATERIAL]],'CODIGO MAT'!$C$2:$D$390,2,FALSE)</f>
        <v>AVI0000031</v>
      </c>
      <c r="L57" t="s">
        <v>834</v>
      </c>
      <c r="M57" t="s">
        <v>992</v>
      </c>
      <c r="N57" t="str">
        <f>M57&amp;Tabla3[[#This Row],[CODIGO PRODUCTO TERMINADO]]&amp;"','"&amp;L57&amp;"',"&amp;Tabla3[[#This Row],[CANTIDAD MATERIAL (M)]]&amp;");"</f>
        <v>insert into P_DFORM(CDG_PROD,CDG_CONP,CAN_PROD) VALUES('FP05','TEL0000040',0.31);</v>
      </c>
    </row>
    <row r="58" spans="1:14" x14ac:dyDescent="0.25">
      <c r="A58" t="s">
        <v>6</v>
      </c>
      <c r="B58" t="s">
        <v>21</v>
      </c>
      <c r="C58" t="s">
        <v>44</v>
      </c>
      <c r="D58" t="s">
        <v>50</v>
      </c>
      <c r="E58" s="4" t="s">
        <v>11</v>
      </c>
      <c r="F58">
        <v>0.11700000000000001</v>
      </c>
      <c r="H58" t="str">
        <f>VLOOKUP(Tabla3[[#This Row],[DESCRIPCION MATERIAL]],'CODIGO MAT'!$C$2:$D$390,2,FALSE)</f>
        <v>TEL0000149</v>
      </c>
      <c r="J58">
        <v>1</v>
      </c>
      <c r="K58">
        <v>0</v>
      </c>
      <c r="L58" t="s">
        <v>836</v>
      </c>
      <c r="M58" t="s">
        <v>992</v>
      </c>
      <c r="N58" t="str">
        <f>M58&amp;Tabla3[[#This Row],[CODIGO PRODUCTO TERMINADO]]&amp;"','"&amp;L58&amp;"',"&amp;Tabla3[[#This Row],[CANTIDAD MATERIAL (M)]]&amp;");"</f>
        <v>insert into P_DFORM(CDG_PROD,CDG_CONP,CAN_PROD) VALUES('FP06','TEL0000042',0.117);</v>
      </c>
    </row>
    <row r="59" spans="1:14" x14ac:dyDescent="0.25">
      <c r="A59" t="s">
        <v>6</v>
      </c>
      <c r="B59" t="s">
        <v>21</v>
      </c>
      <c r="C59" t="s">
        <v>44</v>
      </c>
      <c r="D59" t="s">
        <v>50</v>
      </c>
      <c r="E59" s="5" t="s">
        <v>12</v>
      </c>
      <c r="F59">
        <v>0.68300000000000005</v>
      </c>
      <c r="H59" t="str">
        <f>VLOOKUP(Tabla3[[#This Row],[DESCRIPCION MATERIAL]],'CODIGO MAT'!$C$2:$D$390,2,FALSE)</f>
        <v>TEL0000040</v>
      </c>
      <c r="J59">
        <v>1</v>
      </c>
      <c r="K59">
        <v>0</v>
      </c>
      <c r="L59" t="s">
        <v>987</v>
      </c>
      <c r="M59" t="s">
        <v>992</v>
      </c>
      <c r="N59" t="str">
        <f>M59&amp;Tabla3[[#This Row],[CODIGO PRODUCTO TERMINADO]]&amp;"','"&amp;L59&amp;"',"&amp;Tabla3[[#This Row],[CANTIDAD MATERIAL (M)]]&amp;");"</f>
        <v>insert into P_DFORM(CDG_PROD,CDG_CONP,CAN_PROD) VALUES('FP06','TEL0000191',0.683);</v>
      </c>
    </row>
    <row r="60" spans="1:14" x14ac:dyDescent="0.25">
      <c r="A60" t="s">
        <v>6</v>
      </c>
      <c r="B60" t="s">
        <v>21</v>
      </c>
      <c r="C60" t="s">
        <v>44</v>
      </c>
      <c r="D60" t="s">
        <v>50</v>
      </c>
      <c r="E60" s="5" t="s">
        <v>13</v>
      </c>
      <c r="F60">
        <v>0.9</v>
      </c>
      <c r="H60" t="str">
        <f>VLOOKUP(Tabla3[[#This Row],[DESCRIPCION MATERIAL]],'CODIGO MAT'!$C$2:$D$390,2,FALSE)</f>
        <v>TEL0000042</v>
      </c>
      <c r="J60">
        <v>1</v>
      </c>
      <c r="K60">
        <v>0</v>
      </c>
      <c r="L60" t="s">
        <v>666</v>
      </c>
      <c r="M60" t="s">
        <v>992</v>
      </c>
      <c r="N60" t="str">
        <f>M60&amp;Tabla3[[#This Row],[CODIGO PRODUCTO TERMINADO]]&amp;"','"&amp;L60&amp;"',"&amp;Tabla3[[#This Row],[CANTIDAD MATERIAL (M)]]&amp;");"</f>
        <v>insert into P_DFORM(CDG_PROD,CDG_CONP,CAN_PROD) VALUES('FP06','AVI0000034',0.9);</v>
      </c>
    </row>
    <row r="61" spans="1:14" x14ac:dyDescent="0.25">
      <c r="A61" t="s">
        <v>6</v>
      </c>
      <c r="B61" t="s">
        <v>21</v>
      </c>
      <c r="C61" t="s">
        <v>44</v>
      </c>
      <c r="D61" t="s">
        <v>50</v>
      </c>
      <c r="E61" s="2" t="s">
        <v>14</v>
      </c>
      <c r="F61">
        <v>0.11</v>
      </c>
      <c r="H61" t="str">
        <f>VLOOKUP(Tabla3[[#This Row],[DESCRIPCION MATERIAL]],'CODIGO MAT'!$C$2:$D$390,2,FALSE)</f>
        <v>TEL0000191</v>
      </c>
      <c r="J61">
        <v>1</v>
      </c>
      <c r="K61">
        <v>0</v>
      </c>
      <c r="L61" t="s">
        <v>671</v>
      </c>
      <c r="M61" t="s">
        <v>992</v>
      </c>
      <c r="N61" t="str">
        <f>M61&amp;Tabla3[[#This Row],[CODIGO PRODUCTO TERMINADO]]&amp;"','"&amp;L61&amp;"',"&amp;Tabla3[[#This Row],[CANTIDAD MATERIAL (M)]]&amp;");"</f>
        <v>insert into P_DFORM(CDG_PROD,CDG_CONP,CAN_PROD) VALUES('FP06','AVI0000039',0.11);</v>
      </c>
    </row>
    <row r="62" spans="1:14" x14ac:dyDescent="0.25">
      <c r="A62" t="s">
        <v>6</v>
      </c>
      <c r="B62" t="s">
        <v>21</v>
      </c>
      <c r="C62" t="s">
        <v>44</v>
      </c>
      <c r="D62" t="s">
        <v>51</v>
      </c>
      <c r="E62" s="7" t="s">
        <v>34</v>
      </c>
      <c r="F62">
        <v>3.38</v>
      </c>
      <c r="H62" t="str">
        <f>VLOOKUP(Tabla3[[#This Row],[DESCRIPCION MATERIAL]],'CODIGO MAT'!$C$2:$D$390,2,FALSE)</f>
        <v>AVI0000034</v>
      </c>
      <c r="J62">
        <v>1</v>
      </c>
      <c r="K62">
        <v>0</v>
      </c>
      <c r="L62" t="s">
        <v>768</v>
      </c>
      <c r="M62" t="s">
        <v>992</v>
      </c>
      <c r="N62" t="str">
        <f>M62&amp;Tabla3[[#This Row],[CODIGO PRODUCTO TERMINADO]]&amp;"','"&amp;L62&amp;"',"&amp;Tabla3[[#This Row],[CANTIDAD MATERIAL (M)]]&amp;");"</f>
        <v>insert into P_DFORM(CDG_PROD,CDG_CONP,CAN_PROD) VALUES('FP06','AVI0000135',3.38);</v>
      </c>
    </row>
    <row r="63" spans="1:14" x14ac:dyDescent="0.25">
      <c r="A63" t="s">
        <v>6</v>
      </c>
      <c r="B63" t="s">
        <v>21</v>
      </c>
      <c r="C63" t="s">
        <v>44</v>
      </c>
      <c r="D63" t="s">
        <v>51</v>
      </c>
      <c r="E63" s="7" t="s">
        <v>296</v>
      </c>
      <c r="F63">
        <v>0.51</v>
      </c>
      <c r="H63" t="str">
        <f>VLOOKUP(Tabla3[[#This Row],[DESCRIPCION MATERIAL]],'CODIGO MAT'!$C$2:$D$390,2,FALSE)</f>
        <v>AVI0000039</v>
      </c>
      <c r="J63">
        <v>1</v>
      </c>
      <c r="K63">
        <v>0</v>
      </c>
      <c r="L63" t="s">
        <v>896</v>
      </c>
      <c r="M63" t="s">
        <v>992</v>
      </c>
      <c r="N63" t="str">
        <f>M63&amp;Tabla3[[#This Row],[CODIGO PRODUCTO TERMINADO]]&amp;"','"&amp;L63&amp;"',"&amp;Tabla3[[#This Row],[CANTIDAD MATERIAL (M)]]&amp;");"</f>
        <v>insert into P_DFORM(CDG_PROD,CDG_CONP,CAN_PROD) VALUES('FP06','TEL0000102',0.51);</v>
      </c>
    </row>
    <row r="64" spans="1:14" x14ac:dyDescent="0.25">
      <c r="A64" t="s">
        <v>6</v>
      </c>
      <c r="B64" t="s">
        <v>21</v>
      </c>
      <c r="C64" t="s">
        <v>44</v>
      </c>
      <c r="D64" t="s">
        <v>51</v>
      </c>
      <c r="E64" s="7" t="s">
        <v>36</v>
      </c>
      <c r="F64">
        <v>6</v>
      </c>
      <c r="H64" t="str">
        <f>VLOOKUP(Tabla3[[#This Row],[DESCRIPCION MATERIAL]],'CODIGO MAT'!$C$2:$D$390,2,FALSE)</f>
        <v>AVI0000135</v>
      </c>
      <c r="L64" t="s">
        <v>663</v>
      </c>
      <c r="M64" t="s">
        <v>992</v>
      </c>
      <c r="N64" t="str">
        <f>M64&amp;Tabla3[[#This Row],[CODIGO PRODUCTO TERMINADO]]&amp;"','"&amp;L64&amp;"',"&amp;Tabla3[[#This Row],[CANTIDAD MATERIAL (M)]]&amp;");"</f>
        <v>insert into P_DFORM(CDG_PROD,CDG_CONP,CAN_PROD) VALUES('FP06','AVI0000031',6);</v>
      </c>
    </row>
    <row r="65" spans="1:14" x14ac:dyDescent="0.25">
      <c r="A65" t="s">
        <v>6</v>
      </c>
      <c r="B65" t="s">
        <v>21</v>
      </c>
      <c r="C65" t="s">
        <v>44</v>
      </c>
      <c r="D65" t="s">
        <v>50</v>
      </c>
      <c r="E65" s="6" t="s">
        <v>611</v>
      </c>
      <c r="F65">
        <v>1.2E-2</v>
      </c>
      <c r="H65" t="str">
        <f>VLOOKUP(Tabla3[[#This Row],[DESCRIPCION MATERIAL]],'CODIGO MAT'!$C$2:$D$390,2,FALSE)</f>
        <v>TEL0000192</v>
      </c>
      <c r="L65" t="s">
        <v>943</v>
      </c>
      <c r="M65" t="s">
        <v>992</v>
      </c>
      <c r="N65" t="str">
        <f>M65&amp;Tabla3[[#This Row],[CODIGO PRODUCTO TERMINADO]]&amp;"','"&amp;L65&amp;"',"&amp;Tabla3[[#This Row],[CANTIDAD MATERIAL (M)]]&amp;");"</f>
        <v>insert into P_DFORM(CDG_PROD,CDG_CONP,CAN_PROD) VALUES('FP06','TEL0000149',0.012);</v>
      </c>
    </row>
    <row r="66" spans="1:14" x14ac:dyDescent="0.25">
      <c r="A66" t="s">
        <v>6</v>
      </c>
      <c r="B66" t="s">
        <v>21</v>
      </c>
      <c r="C66" t="s">
        <v>44</v>
      </c>
      <c r="D66" t="s">
        <v>51</v>
      </c>
      <c r="E66" s="4" t="s">
        <v>35</v>
      </c>
      <c r="F66">
        <v>0.31</v>
      </c>
      <c r="H66" t="str">
        <f>VLOOKUP(Tabla3[[#This Row],[DESCRIPCION MATERIAL]],'CODIGO MAT'!$C$2:$D$390,2,FALSE)</f>
        <v>AVI0000031</v>
      </c>
      <c r="L66" t="s">
        <v>834</v>
      </c>
      <c r="M66" t="s">
        <v>992</v>
      </c>
      <c r="N66" t="str">
        <f>M66&amp;Tabla3[[#This Row],[CODIGO PRODUCTO TERMINADO]]&amp;"','"&amp;L66&amp;"',"&amp;Tabla3[[#This Row],[CANTIDAD MATERIAL (M)]]&amp;");"</f>
        <v>insert into P_DFORM(CDG_PROD,CDG_CONP,CAN_PROD) VALUES('FP06','TEL0000040',0.31);</v>
      </c>
    </row>
    <row r="67" spans="1:14" x14ac:dyDescent="0.25">
      <c r="A67" t="s">
        <v>7</v>
      </c>
      <c r="B67" t="s">
        <v>21</v>
      </c>
      <c r="C67" t="s">
        <v>45</v>
      </c>
      <c r="D67" t="s">
        <v>50</v>
      </c>
      <c r="E67" s="4" t="s">
        <v>11</v>
      </c>
      <c r="F67">
        <v>0.11700000000000001</v>
      </c>
      <c r="H67" t="str">
        <f>VLOOKUP(Tabla3[[#This Row],[DESCRIPCION MATERIAL]],'CODIGO MAT'!$C$2:$D$390,2,FALSE)</f>
        <v>TEL0000149</v>
      </c>
      <c r="J67">
        <v>1</v>
      </c>
      <c r="K67">
        <v>0</v>
      </c>
      <c r="L67" t="s">
        <v>836</v>
      </c>
      <c r="M67" t="s">
        <v>992</v>
      </c>
      <c r="N67" t="str">
        <f>M67&amp;Tabla3[[#This Row],[CODIGO PRODUCTO TERMINADO]]&amp;"','"&amp;L67&amp;"',"&amp;Tabla3[[#This Row],[CANTIDAD MATERIAL (M)]]&amp;");"</f>
        <v>insert into P_DFORM(CDG_PROD,CDG_CONP,CAN_PROD) VALUES('FP07','TEL0000042',0.117);</v>
      </c>
    </row>
    <row r="68" spans="1:14" x14ac:dyDescent="0.25">
      <c r="A68" t="s">
        <v>7</v>
      </c>
      <c r="B68" t="s">
        <v>21</v>
      </c>
      <c r="C68" t="s">
        <v>46</v>
      </c>
      <c r="D68" t="s">
        <v>50</v>
      </c>
      <c r="E68" s="5" t="s">
        <v>12</v>
      </c>
      <c r="F68">
        <v>0.86699999999999999</v>
      </c>
      <c r="H68" t="str">
        <f>VLOOKUP(Tabla3[[#This Row],[DESCRIPCION MATERIAL]],'CODIGO MAT'!$C$2:$D$390,2,FALSE)</f>
        <v>TEL0000040</v>
      </c>
      <c r="J68">
        <v>1</v>
      </c>
      <c r="K68">
        <v>0</v>
      </c>
      <c r="L68" t="s">
        <v>987</v>
      </c>
      <c r="M68" t="s">
        <v>992</v>
      </c>
      <c r="N68" t="str">
        <f>M68&amp;Tabla3[[#This Row],[CODIGO PRODUCTO TERMINADO]]&amp;"','"&amp;L68&amp;"',"&amp;Tabla3[[#This Row],[CANTIDAD MATERIAL (M)]]&amp;");"</f>
        <v>insert into P_DFORM(CDG_PROD,CDG_CONP,CAN_PROD) VALUES('FP07','TEL0000191',0.867);</v>
      </c>
    </row>
    <row r="69" spans="1:14" x14ac:dyDescent="0.25">
      <c r="A69" t="s">
        <v>7</v>
      </c>
      <c r="B69" t="s">
        <v>21</v>
      </c>
      <c r="C69" t="s">
        <v>45</v>
      </c>
      <c r="D69" t="s">
        <v>50</v>
      </c>
      <c r="E69" s="5" t="s">
        <v>13</v>
      </c>
      <c r="F69">
        <v>0.96</v>
      </c>
      <c r="H69" t="str">
        <f>VLOOKUP(Tabla3[[#This Row],[DESCRIPCION MATERIAL]],'CODIGO MAT'!$C$2:$D$390,2,FALSE)</f>
        <v>TEL0000042</v>
      </c>
      <c r="J69">
        <v>1</v>
      </c>
      <c r="K69">
        <v>0</v>
      </c>
      <c r="L69" t="s">
        <v>666</v>
      </c>
      <c r="M69" t="s">
        <v>992</v>
      </c>
      <c r="N69" t="str">
        <f>M69&amp;Tabla3[[#This Row],[CODIGO PRODUCTO TERMINADO]]&amp;"','"&amp;L69&amp;"',"&amp;Tabla3[[#This Row],[CANTIDAD MATERIAL (M)]]&amp;");"</f>
        <v>insert into P_DFORM(CDG_PROD,CDG_CONP,CAN_PROD) VALUES('FP07','AVI0000034',0.96);</v>
      </c>
    </row>
    <row r="70" spans="1:14" x14ac:dyDescent="0.25">
      <c r="A70" t="s">
        <v>7</v>
      </c>
      <c r="B70" t="s">
        <v>21</v>
      </c>
      <c r="C70" t="s">
        <v>45</v>
      </c>
      <c r="D70" t="s">
        <v>50</v>
      </c>
      <c r="E70" s="2" t="s">
        <v>14</v>
      </c>
      <c r="F70">
        <v>0.11</v>
      </c>
      <c r="H70" t="str">
        <f>VLOOKUP(Tabla3[[#This Row],[DESCRIPCION MATERIAL]],'CODIGO MAT'!$C$2:$D$390,2,FALSE)</f>
        <v>TEL0000191</v>
      </c>
      <c r="J70">
        <v>1</v>
      </c>
      <c r="K70">
        <v>0</v>
      </c>
      <c r="L70" t="s">
        <v>671</v>
      </c>
      <c r="M70" t="s">
        <v>992</v>
      </c>
      <c r="N70" t="str">
        <f>M70&amp;Tabla3[[#This Row],[CODIGO PRODUCTO TERMINADO]]&amp;"','"&amp;L70&amp;"',"&amp;Tabla3[[#This Row],[CANTIDAD MATERIAL (M)]]&amp;");"</f>
        <v>insert into P_DFORM(CDG_PROD,CDG_CONP,CAN_PROD) VALUES('FP07','AVI0000039',0.11);</v>
      </c>
    </row>
    <row r="71" spans="1:14" x14ac:dyDescent="0.25">
      <c r="A71" t="s">
        <v>7</v>
      </c>
      <c r="B71" t="s">
        <v>21</v>
      </c>
      <c r="C71" t="s">
        <v>45</v>
      </c>
      <c r="D71" t="s">
        <v>51</v>
      </c>
      <c r="E71" s="7" t="s">
        <v>34</v>
      </c>
      <c r="F71">
        <v>3.44</v>
      </c>
      <c r="H71" t="str">
        <f>VLOOKUP(Tabla3[[#This Row],[DESCRIPCION MATERIAL]],'CODIGO MAT'!$C$2:$D$390,2,FALSE)</f>
        <v>AVI0000034</v>
      </c>
      <c r="J71">
        <v>1</v>
      </c>
      <c r="K71">
        <v>0</v>
      </c>
      <c r="L71" t="s">
        <v>768</v>
      </c>
      <c r="M71" t="s">
        <v>992</v>
      </c>
      <c r="N71" t="str">
        <f>M71&amp;Tabla3[[#This Row],[CODIGO PRODUCTO TERMINADO]]&amp;"','"&amp;L71&amp;"',"&amp;Tabla3[[#This Row],[CANTIDAD MATERIAL (M)]]&amp;");"</f>
        <v>insert into P_DFORM(CDG_PROD,CDG_CONP,CAN_PROD) VALUES('FP07','AVI0000135',3.44);</v>
      </c>
    </row>
    <row r="72" spans="1:14" x14ac:dyDescent="0.25">
      <c r="A72" t="s">
        <v>7</v>
      </c>
      <c r="B72" t="s">
        <v>21</v>
      </c>
      <c r="C72" t="s">
        <v>45</v>
      </c>
      <c r="D72" t="s">
        <v>51</v>
      </c>
      <c r="E72" s="7" t="s">
        <v>296</v>
      </c>
      <c r="F72">
        <v>0.51</v>
      </c>
      <c r="H72" t="str">
        <f>VLOOKUP(Tabla3[[#This Row],[DESCRIPCION MATERIAL]],'CODIGO MAT'!$C$2:$D$390,2,FALSE)</f>
        <v>AVI0000039</v>
      </c>
      <c r="J72">
        <v>1</v>
      </c>
      <c r="K72">
        <v>0</v>
      </c>
      <c r="L72" t="s">
        <v>986</v>
      </c>
      <c r="M72" t="s">
        <v>992</v>
      </c>
      <c r="N72" t="str">
        <f>M72&amp;Tabla3[[#This Row],[CODIGO PRODUCTO TERMINADO]]&amp;"','"&amp;L72&amp;"',"&amp;Tabla3[[#This Row],[CANTIDAD MATERIAL (M)]]&amp;");"</f>
        <v>insert into P_DFORM(CDG_PROD,CDG_CONP,CAN_PROD) VALUES('FP07','TEL0000192',0.51);</v>
      </c>
    </row>
    <row r="73" spans="1:14" x14ac:dyDescent="0.25">
      <c r="A73" t="s">
        <v>7</v>
      </c>
      <c r="B73" t="s">
        <v>21</v>
      </c>
      <c r="C73" t="s">
        <v>45</v>
      </c>
      <c r="D73" t="s">
        <v>51</v>
      </c>
      <c r="E73" s="7" t="s">
        <v>36</v>
      </c>
      <c r="F73">
        <v>6</v>
      </c>
      <c r="H73" t="str">
        <f>VLOOKUP(Tabla3[[#This Row],[DESCRIPCION MATERIAL]],'CODIGO MAT'!$C$2:$D$390,2,FALSE)</f>
        <v>AVI0000135</v>
      </c>
      <c r="L73" t="s">
        <v>663</v>
      </c>
      <c r="M73" t="s">
        <v>992</v>
      </c>
      <c r="N73" t="str">
        <f>M73&amp;Tabla3[[#This Row],[CODIGO PRODUCTO TERMINADO]]&amp;"','"&amp;L73&amp;"',"&amp;Tabla3[[#This Row],[CANTIDAD MATERIAL (M)]]&amp;");"</f>
        <v>insert into P_DFORM(CDG_PROD,CDG_CONP,CAN_PROD) VALUES('FP07','AVI0000031',6);</v>
      </c>
    </row>
    <row r="74" spans="1:14" x14ac:dyDescent="0.25">
      <c r="A74" t="s">
        <v>7</v>
      </c>
      <c r="B74" t="s">
        <v>21</v>
      </c>
      <c r="C74" t="s">
        <v>45</v>
      </c>
      <c r="D74" t="s">
        <v>50</v>
      </c>
      <c r="E74" s="6" t="s">
        <v>611</v>
      </c>
      <c r="F74">
        <v>1.2E-2</v>
      </c>
      <c r="H74" t="str">
        <f>VLOOKUP(Tabla3[[#This Row],[DESCRIPCION MATERIAL]],'CODIGO MAT'!$C$2:$D$390,2,FALSE)</f>
        <v>TEL0000192</v>
      </c>
      <c r="L74" t="s">
        <v>943</v>
      </c>
      <c r="M74" t="s">
        <v>992</v>
      </c>
      <c r="N74" t="str">
        <f>M74&amp;Tabla3[[#This Row],[CODIGO PRODUCTO TERMINADO]]&amp;"','"&amp;L74&amp;"',"&amp;Tabla3[[#This Row],[CANTIDAD MATERIAL (M)]]&amp;");"</f>
        <v>insert into P_DFORM(CDG_PROD,CDG_CONP,CAN_PROD) VALUES('FP07','TEL0000149',0.012);</v>
      </c>
    </row>
    <row r="75" spans="1:14" x14ac:dyDescent="0.25">
      <c r="A75" t="s">
        <v>7</v>
      </c>
      <c r="B75" t="s">
        <v>21</v>
      </c>
      <c r="C75" t="s">
        <v>45</v>
      </c>
      <c r="D75" t="s">
        <v>51</v>
      </c>
      <c r="E75" s="4" t="s">
        <v>35</v>
      </c>
      <c r="F75">
        <v>0.31</v>
      </c>
      <c r="H75" t="str">
        <f>VLOOKUP(Tabla3[[#This Row],[DESCRIPCION MATERIAL]],'CODIGO MAT'!$C$2:$D$390,2,FALSE)</f>
        <v>AVI0000031</v>
      </c>
      <c r="L75" t="s">
        <v>834</v>
      </c>
      <c r="M75" t="s">
        <v>992</v>
      </c>
      <c r="N75" t="str">
        <f>M75&amp;Tabla3[[#This Row],[CODIGO PRODUCTO TERMINADO]]&amp;"','"&amp;L75&amp;"',"&amp;Tabla3[[#This Row],[CANTIDAD MATERIAL (M)]]&amp;");"</f>
        <v>insert into P_DFORM(CDG_PROD,CDG_CONP,CAN_PROD) VALUES('FP07','TEL0000040',0.31);</v>
      </c>
    </row>
    <row r="76" spans="1:14" x14ac:dyDescent="0.25">
      <c r="A76" t="s">
        <v>8</v>
      </c>
      <c r="B76" t="s">
        <v>21</v>
      </c>
      <c r="C76" t="s">
        <v>47</v>
      </c>
      <c r="D76" t="s">
        <v>50</v>
      </c>
      <c r="E76" s="4" t="s">
        <v>11</v>
      </c>
      <c r="F76">
        <v>0.11700000000000001</v>
      </c>
      <c r="H76" t="str">
        <f>VLOOKUP(Tabla3[[#This Row],[DESCRIPCION MATERIAL]],'CODIGO MAT'!$C$2:$D$390,2,FALSE)</f>
        <v>TEL0000149</v>
      </c>
      <c r="J76">
        <v>1</v>
      </c>
      <c r="K76">
        <v>0</v>
      </c>
      <c r="L76" t="s">
        <v>835</v>
      </c>
      <c r="M76" t="s">
        <v>992</v>
      </c>
      <c r="N76" t="str">
        <f>M76&amp;Tabla3[[#This Row],[CODIGO PRODUCTO TERMINADO]]&amp;"','"&amp;L76&amp;"',"&amp;Tabla3[[#This Row],[CANTIDAD MATERIAL (M)]]&amp;");"</f>
        <v>insert into P_DFORM(CDG_PROD,CDG_CONP,CAN_PROD) VALUES('FP08','TEL0000041',0.117);</v>
      </c>
    </row>
    <row r="77" spans="1:14" x14ac:dyDescent="0.25">
      <c r="A77" t="s">
        <v>8</v>
      </c>
      <c r="B77" t="s">
        <v>21</v>
      </c>
      <c r="C77" t="s">
        <v>47</v>
      </c>
      <c r="D77" t="s">
        <v>50</v>
      </c>
      <c r="E77" s="5" t="s">
        <v>12</v>
      </c>
      <c r="F77">
        <v>0.93300000000000005</v>
      </c>
      <c r="H77" t="str">
        <f>VLOOKUP(Tabla3[[#This Row],[DESCRIPCION MATERIAL]],'CODIGO MAT'!$C$2:$D$390,2,FALSE)</f>
        <v>TEL0000040</v>
      </c>
      <c r="J77">
        <v>1</v>
      </c>
      <c r="K77">
        <v>0</v>
      </c>
      <c r="L77" t="s">
        <v>837</v>
      </c>
      <c r="M77" t="s">
        <v>992</v>
      </c>
      <c r="N77" t="str">
        <f>M77&amp;Tabla3[[#This Row],[CODIGO PRODUCTO TERMINADO]]&amp;"','"&amp;L77&amp;"',"&amp;Tabla3[[#This Row],[CANTIDAD MATERIAL (M)]]&amp;");"</f>
        <v>insert into P_DFORM(CDG_PROD,CDG_CONP,CAN_PROD) VALUES('FP08','TEL0000043',0.933);</v>
      </c>
    </row>
    <row r="78" spans="1:14" x14ac:dyDescent="0.25">
      <c r="A78" t="s">
        <v>8</v>
      </c>
      <c r="B78" t="s">
        <v>21</v>
      </c>
      <c r="C78" t="s">
        <v>47</v>
      </c>
      <c r="D78" t="s">
        <v>50</v>
      </c>
      <c r="E78" s="5" t="s">
        <v>13</v>
      </c>
      <c r="F78">
        <v>1.04</v>
      </c>
      <c r="H78" t="str">
        <f>VLOOKUP(Tabla3[[#This Row],[DESCRIPCION MATERIAL]],'CODIGO MAT'!$C$2:$D$390,2,FALSE)</f>
        <v>TEL0000042</v>
      </c>
      <c r="J78">
        <v>1</v>
      </c>
      <c r="K78">
        <v>0</v>
      </c>
      <c r="L78" t="s">
        <v>862</v>
      </c>
      <c r="M78" t="s">
        <v>992</v>
      </c>
      <c r="N78" t="str">
        <f>M78&amp;Tabla3[[#This Row],[CODIGO PRODUCTO TERMINADO]]&amp;"','"&amp;L78&amp;"',"&amp;Tabla3[[#This Row],[CANTIDAD MATERIAL (M)]]&amp;");"</f>
        <v>insert into P_DFORM(CDG_PROD,CDG_CONP,CAN_PROD) VALUES('FP08','TEL0000068',1.04);</v>
      </c>
    </row>
    <row r="79" spans="1:14" x14ac:dyDescent="0.25">
      <c r="A79" t="s">
        <v>8</v>
      </c>
      <c r="B79" t="s">
        <v>21</v>
      </c>
      <c r="C79" t="s">
        <v>47</v>
      </c>
      <c r="D79" t="s">
        <v>50</v>
      </c>
      <c r="E79" s="2" t="s">
        <v>14</v>
      </c>
      <c r="F79">
        <v>0.11</v>
      </c>
      <c r="H79" t="str">
        <f>VLOOKUP(Tabla3[[#This Row],[DESCRIPCION MATERIAL]],'CODIGO MAT'!$C$2:$D$390,2,FALSE)</f>
        <v>TEL0000191</v>
      </c>
      <c r="J79">
        <v>1</v>
      </c>
      <c r="K79">
        <v>0</v>
      </c>
      <c r="L79" t="s">
        <v>671</v>
      </c>
      <c r="M79" t="s">
        <v>992</v>
      </c>
      <c r="N79" t="str">
        <f>M79&amp;Tabla3[[#This Row],[CODIGO PRODUCTO TERMINADO]]&amp;"','"&amp;L79&amp;"',"&amp;Tabla3[[#This Row],[CANTIDAD MATERIAL (M)]]&amp;");"</f>
        <v>insert into P_DFORM(CDG_PROD,CDG_CONP,CAN_PROD) VALUES('FP08','AVI0000039',0.11);</v>
      </c>
    </row>
    <row r="80" spans="1:14" x14ac:dyDescent="0.25">
      <c r="A80" t="s">
        <v>8</v>
      </c>
      <c r="B80" t="s">
        <v>21</v>
      </c>
      <c r="C80" t="s">
        <v>47</v>
      </c>
      <c r="D80" t="s">
        <v>51</v>
      </c>
      <c r="E80" s="7" t="s">
        <v>34</v>
      </c>
      <c r="F80">
        <v>3.52</v>
      </c>
      <c r="H80" t="str">
        <f>VLOOKUP(Tabla3[[#This Row],[DESCRIPCION MATERIAL]],'CODIGO MAT'!$C$2:$D$390,2,FALSE)</f>
        <v>AVI0000034</v>
      </c>
      <c r="J80">
        <v>1</v>
      </c>
      <c r="K80">
        <v>0</v>
      </c>
      <c r="L80" t="s">
        <v>666</v>
      </c>
      <c r="M80" t="s">
        <v>992</v>
      </c>
      <c r="N80" t="str">
        <f>M80&amp;Tabla3[[#This Row],[CODIGO PRODUCTO TERMINADO]]&amp;"','"&amp;L80&amp;"',"&amp;Tabla3[[#This Row],[CANTIDAD MATERIAL (M)]]&amp;");"</f>
        <v>insert into P_DFORM(CDG_PROD,CDG_CONP,CAN_PROD) VALUES('FP08','AVI0000034',3.52);</v>
      </c>
    </row>
    <row r="81" spans="1:14" x14ac:dyDescent="0.25">
      <c r="A81" t="s">
        <v>8</v>
      </c>
      <c r="B81" t="s">
        <v>21</v>
      </c>
      <c r="C81" t="s">
        <v>47</v>
      </c>
      <c r="D81" t="s">
        <v>51</v>
      </c>
      <c r="E81" s="7" t="s">
        <v>296</v>
      </c>
      <c r="F81">
        <v>0.51</v>
      </c>
      <c r="H81" t="str">
        <f>VLOOKUP(Tabla3[[#This Row],[DESCRIPCION MATERIAL]],'CODIGO MAT'!$C$2:$D$390,2,FALSE)</f>
        <v>AVI0000039</v>
      </c>
      <c r="J81">
        <v>1</v>
      </c>
      <c r="K81">
        <v>0</v>
      </c>
      <c r="L81" t="s">
        <v>663</v>
      </c>
      <c r="M81" t="s">
        <v>992</v>
      </c>
      <c r="N81" t="str">
        <f>M81&amp;Tabla3[[#This Row],[CODIGO PRODUCTO TERMINADO]]&amp;"','"&amp;L81&amp;"',"&amp;Tabla3[[#This Row],[CANTIDAD MATERIAL (M)]]&amp;");"</f>
        <v>insert into P_DFORM(CDG_PROD,CDG_CONP,CAN_PROD) VALUES('FP08','AVI0000031',0.51);</v>
      </c>
    </row>
    <row r="82" spans="1:14" x14ac:dyDescent="0.25">
      <c r="A82" t="s">
        <v>8</v>
      </c>
      <c r="B82" t="s">
        <v>21</v>
      </c>
      <c r="C82" t="s">
        <v>47</v>
      </c>
      <c r="D82" t="s">
        <v>51</v>
      </c>
      <c r="E82" s="7" t="s">
        <v>36</v>
      </c>
      <c r="F82">
        <v>6</v>
      </c>
      <c r="H82" t="str">
        <f>VLOOKUP(Tabla3[[#This Row],[DESCRIPCION MATERIAL]],'CODIGO MAT'!$C$2:$D$390,2,FALSE)</f>
        <v>AVI0000135</v>
      </c>
      <c r="L82" t="s">
        <v>768</v>
      </c>
      <c r="M82" t="s">
        <v>992</v>
      </c>
      <c r="N82" t="str">
        <f>M82&amp;Tabla3[[#This Row],[CODIGO PRODUCTO TERMINADO]]&amp;"','"&amp;L82&amp;"',"&amp;Tabla3[[#This Row],[CANTIDAD MATERIAL (M)]]&amp;");"</f>
        <v>insert into P_DFORM(CDG_PROD,CDG_CONP,CAN_PROD) VALUES('FP08','AVI0000135',6);</v>
      </c>
    </row>
    <row r="83" spans="1:14" x14ac:dyDescent="0.25">
      <c r="A83" t="s">
        <v>8</v>
      </c>
      <c r="B83" t="s">
        <v>21</v>
      </c>
      <c r="C83" t="s">
        <v>48</v>
      </c>
      <c r="D83" t="s">
        <v>50</v>
      </c>
      <c r="E83" s="6" t="s">
        <v>175</v>
      </c>
      <c r="F83">
        <v>0.12</v>
      </c>
      <c r="H83" t="str">
        <f>VLOOKUP(Tabla3[[#This Row],[DESCRIPCION MATERIAL]],'CODIGO MAT'!$C$2:$D$390,2,FALSE)</f>
        <v>TEL0000102</v>
      </c>
      <c r="L83" t="s">
        <v>986</v>
      </c>
      <c r="M83" t="s">
        <v>992</v>
      </c>
      <c r="N83" t="str">
        <f>M83&amp;Tabla3[[#This Row],[CODIGO PRODUCTO TERMINADO]]&amp;"','"&amp;L83&amp;"',"&amp;Tabla3[[#This Row],[CANTIDAD MATERIAL (M)]]&amp;");"</f>
        <v>insert into P_DFORM(CDG_PROD,CDG_CONP,CAN_PROD) VALUES('FP08','TEL0000192',0.12);</v>
      </c>
    </row>
    <row r="84" spans="1:14" x14ac:dyDescent="0.25">
      <c r="A84" t="s">
        <v>8</v>
      </c>
      <c r="B84" t="s">
        <v>21</v>
      </c>
      <c r="C84" t="s">
        <v>47</v>
      </c>
      <c r="D84" t="s">
        <v>51</v>
      </c>
      <c r="E84" s="4" t="s">
        <v>35</v>
      </c>
      <c r="F84">
        <v>0.31</v>
      </c>
      <c r="H84" t="str">
        <f>VLOOKUP(Tabla3[[#This Row],[DESCRIPCION MATERIAL]],'CODIGO MAT'!$C$2:$D$390,2,FALSE)</f>
        <v>AVI0000031</v>
      </c>
      <c r="L84" t="s">
        <v>988</v>
      </c>
      <c r="M84" t="s">
        <v>992</v>
      </c>
      <c r="N84" t="str">
        <f>M84&amp;Tabla3[[#This Row],[CODIGO PRODUCTO TERMINADO]]&amp;"','"&amp;L84&amp;"',"&amp;Tabla3[[#This Row],[CANTIDAD MATERIAL (M)]]&amp;");"</f>
        <v>insert into P_DFORM(CDG_PROD,CDG_CONP,CAN_PROD) VALUES('FP08','AVI0000144',0.31);</v>
      </c>
    </row>
    <row r="85" spans="1:14" x14ac:dyDescent="0.25">
      <c r="A85" t="s">
        <v>9</v>
      </c>
      <c r="B85" t="s">
        <v>21</v>
      </c>
      <c r="C85" t="s">
        <v>49</v>
      </c>
      <c r="D85" t="s">
        <v>50</v>
      </c>
      <c r="E85" s="4" t="s">
        <v>11</v>
      </c>
      <c r="F85">
        <v>0.13500000000000001</v>
      </c>
      <c r="H85" t="str">
        <f>VLOOKUP(Tabla3[[#This Row],[DESCRIPCION MATERIAL]],'CODIGO MAT'!$C$2:$D$390,2,FALSE)</f>
        <v>TEL0000149</v>
      </c>
      <c r="J85">
        <v>1</v>
      </c>
      <c r="K85">
        <v>0</v>
      </c>
      <c r="L85" t="s">
        <v>943</v>
      </c>
      <c r="M85" t="s">
        <v>992</v>
      </c>
      <c r="N85" t="str">
        <f>M85&amp;Tabla3[[#This Row],[CODIGO PRODUCTO TERMINADO]]&amp;"','"&amp;L85&amp;"',"&amp;Tabla3[[#This Row],[CANTIDAD MATERIAL (M)]]&amp;");"</f>
        <v>insert into P_DFORM(CDG_PROD,CDG_CONP,CAN_PROD) VALUES('FP10','TEL0000149',0.135);</v>
      </c>
    </row>
    <row r="86" spans="1:14" x14ac:dyDescent="0.25">
      <c r="A86" t="s">
        <v>9</v>
      </c>
      <c r="B86" t="s">
        <v>21</v>
      </c>
      <c r="C86" t="s">
        <v>49</v>
      </c>
      <c r="D86" t="s">
        <v>50</v>
      </c>
      <c r="E86" s="5" t="s">
        <v>12</v>
      </c>
      <c r="F86">
        <v>0.93</v>
      </c>
      <c r="H86" t="str">
        <f>VLOOKUP(Tabla3[[#This Row],[DESCRIPCION MATERIAL]],'CODIGO MAT'!$C$2:$D$390,2,FALSE)</f>
        <v>TEL0000040</v>
      </c>
      <c r="J86">
        <v>1</v>
      </c>
      <c r="K86">
        <v>0</v>
      </c>
      <c r="L86" t="s">
        <v>834</v>
      </c>
      <c r="M86" t="s">
        <v>992</v>
      </c>
      <c r="N86" t="str">
        <f>M86&amp;Tabla3[[#This Row],[CODIGO PRODUCTO TERMINADO]]&amp;"','"&amp;L86&amp;"',"&amp;Tabla3[[#This Row],[CANTIDAD MATERIAL (M)]]&amp;");"</f>
        <v>insert into P_DFORM(CDG_PROD,CDG_CONP,CAN_PROD) VALUES('FP10','TEL0000040',0.93);</v>
      </c>
    </row>
    <row r="87" spans="1:14" x14ac:dyDescent="0.25">
      <c r="A87" t="s">
        <v>9</v>
      </c>
      <c r="B87" t="s">
        <v>21</v>
      </c>
      <c r="C87" t="s">
        <v>49</v>
      </c>
      <c r="D87" t="s">
        <v>50</v>
      </c>
      <c r="E87" s="5" t="s">
        <v>13</v>
      </c>
      <c r="F87">
        <v>1.21</v>
      </c>
      <c r="H87" t="str">
        <f>VLOOKUP(Tabla3[[#This Row],[DESCRIPCION MATERIAL]],'CODIGO MAT'!$C$2:$D$390,2,FALSE)</f>
        <v>TEL0000042</v>
      </c>
      <c r="J87">
        <v>1</v>
      </c>
      <c r="K87">
        <v>0</v>
      </c>
      <c r="L87" t="s">
        <v>835</v>
      </c>
      <c r="M87" t="s">
        <v>992</v>
      </c>
      <c r="N87" t="str">
        <f>M87&amp;Tabla3[[#This Row],[CODIGO PRODUCTO TERMINADO]]&amp;"','"&amp;L87&amp;"',"&amp;Tabla3[[#This Row],[CANTIDAD MATERIAL (M)]]&amp;");"</f>
        <v>insert into P_DFORM(CDG_PROD,CDG_CONP,CAN_PROD) VALUES('FP10','TEL0000041',1.21);</v>
      </c>
    </row>
    <row r="88" spans="1:14" x14ac:dyDescent="0.25">
      <c r="A88" t="s">
        <v>9</v>
      </c>
      <c r="B88" t="s">
        <v>21</v>
      </c>
      <c r="C88" t="s">
        <v>49</v>
      </c>
      <c r="D88" t="s">
        <v>50</v>
      </c>
      <c r="E88" s="2" t="s">
        <v>14</v>
      </c>
      <c r="F88">
        <v>0.19</v>
      </c>
      <c r="H88" t="str">
        <f>VLOOKUP(Tabla3[[#This Row],[DESCRIPCION MATERIAL]],'CODIGO MAT'!$C$2:$D$390,2,FALSE)</f>
        <v>TEL0000191</v>
      </c>
      <c r="J88">
        <v>1</v>
      </c>
      <c r="K88">
        <v>0</v>
      </c>
      <c r="L88" t="s">
        <v>837</v>
      </c>
      <c r="M88" t="s">
        <v>992</v>
      </c>
      <c r="N88" t="str">
        <f>M88&amp;Tabla3[[#This Row],[CODIGO PRODUCTO TERMINADO]]&amp;"','"&amp;L88&amp;"',"&amp;Tabla3[[#This Row],[CANTIDAD MATERIAL (M)]]&amp;");"</f>
        <v>insert into P_DFORM(CDG_PROD,CDG_CONP,CAN_PROD) VALUES('FP10','TEL0000043',0.19);</v>
      </c>
    </row>
    <row r="89" spans="1:14" x14ac:dyDescent="0.25">
      <c r="A89" t="s">
        <v>9</v>
      </c>
      <c r="B89" t="s">
        <v>21</v>
      </c>
      <c r="C89" t="s">
        <v>49</v>
      </c>
      <c r="D89" t="s">
        <v>51</v>
      </c>
      <c r="E89" s="7" t="s">
        <v>34</v>
      </c>
      <c r="F89">
        <v>3.8</v>
      </c>
      <c r="H89" t="str">
        <f>VLOOKUP(Tabla3[[#This Row],[DESCRIPCION MATERIAL]],'CODIGO MAT'!$C$2:$D$390,2,FALSE)</f>
        <v>AVI0000034</v>
      </c>
      <c r="J89">
        <v>1</v>
      </c>
      <c r="K89">
        <v>0</v>
      </c>
      <c r="L89" t="s">
        <v>862</v>
      </c>
      <c r="M89" t="s">
        <v>992</v>
      </c>
      <c r="N89" t="str">
        <f>M89&amp;Tabla3[[#This Row],[CODIGO PRODUCTO TERMINADO]]&amp;"','"&amp;L89&amp;"',"&amp;Tabla3[[#This Row],[CANTIDAD MATERIAL (M)]]&amp;");"</f>
        <v>insert into P_DFORM(CDG_PROD,CDG_CONP,CAN_PROD) VALUES('FP10','TEL0000068',3.8);</v>
      </c>
    </row>
    <row r="90" spans="1:14" x14ac:dyDescent="0.25">
      <c r="A90" t="s">
        <v>9</v>
      </c>
      <c r="B90" t="s">
        <v>21</v>
      </c>
      <c r="C90" t="s">
        <v>49</v>
      </c>
      <c r="D90" t="s">
        <v>51</v>
      </c>
      <c r="E90" s="7" t="s">
        <v>296</v>
      </c>
      <c r="F90">
        <v>0.6</v>
      </c>
      <c r="H90" t="str">
        <f>VLOOKUP(Tabla3[[#This Row],[DESCRIPCION MATERIAL]],'CODIGO MAT'!$C$2:$D$390,2,FALSE)</f>
        <v>AVI0000039</v>
      </c>
      <c r="J90">
        <v>1</v>
      </c>
      <c r="K90">
        <v>0</v>
      </c>
      <c r="L90" t="s">
        <v>671</v>
      </c>
      <c r="M90" t="s">
        <v>992</v>
      </c>
      <c r="N90" t="str">
        <f>M90&amp;Tabla3[[#This Row],[CODIGO PRODUCTO TERMINADO]]&amp;"','"&amp;L90&amp;"',"&amp;Tabla3[[#This Row],[CANTIDAD MATERIAL (M)]]&amp;");"</f>
        <v>insert into P_DFORM(CDG_PROD,CDG_CONP,CAN_PROD) VALUES('FP10','AVI0000039',0.6);</v>
      </c>
    </row>
    <row r="91" spans="1:14" x14ac:dyDescent="0.25">
      <c r="A91" t="s">
        <v>9</v>
      </c>
      <c r="B91" t="s">
        <v>21</v>
      </c>
      <c r="C91" t="s">
        <v>49</v>
      </c>
      <c r="D91" t="s">
        <v>51</v>
      </c>
      <c r="E91" s="7" t="s">
        <v>36</v>
      </c>
      <c r="F91">
        <v>6</v>
      </c>
      <c r="H91" t="str">
        <f>VLOOKUP(Tabla3[[#This Row],[DESCRIPCION MATERIAL]],'CODIGO MAT'!$C$2:$D$390,2,FALSE)</f>
        <v>AVI0000135</v>
      </c>
      <c r="L91" t="s">
        <v>666</v>
      </c>
      <c r="M91" t="s">
        <v>992</v>
      </c>
      <c r="N91" t="str">
        <f>M91&amp;Tabla3[[#This Row],[CODIGO PRODUCTO TERMINADO]]&amp;"','"&amp;L91&amp;"',"&amp;Tabla3[[#This Row],[CANTIDAD MATERIAL (M)]]&amp;");"</f>
        <v>insert into P_DFORM(CDG_PROD,CDG_CONP,CAN_PROD) VALUES('FP10','AVI0000034',6);</v>
      </c>
    </row>
    <row r="92" spans="1:14" x14ac:dyDescent="0.25">
      <c r="A92" t="s">
        <v>9</v>
      </c>
      <c r="B92" t="s">
        <v>21</v>
      </c>
      <c r="C92" t="s">
        <v>49</v>
      </c>
      <c r="D92" t="s">
        <v>50</v>
      </c>
      <c r="E92" s="6" t="s">
        <v>611</v>
      </c>
      <c r="F92">
        <v>1.7999999999999999E-2</v>
      </c>
      <c r="H92" t="str">
        <f>VLOOKUP(Tabla3[[#This Row],[DESCRIPCION MATERIAL]],'CODIGO MAT'!$C$2:$D$390,2,FALSE)</f>
        <v>TEL0000192</v>
      </c>
      <c r="L92" t="s">
        <v>663</v>
      </c>
      <c r="M92" t="s">
        <v>992</v>
      </c>
      <c r="N92" t="str">
        <f>M92&amp;Tabla3[[#This Row],[CODIGO PRODUCTO TERMINADO]]&amp;"','"&amp;L92&amp;"',"&amp;Tabla3[[#This Row],[CANTIDAD MATERIAL (M)]]&amp;");"</f>
        <v>insert into P_DFORM(CDG_PROD,CDG_CONP,CAN_PROD) VALUES('FP10','AVI0000031',0.018);</v>
      </c>
    </row>
    <row r="93" spans="1:14" x14ac:dyDescent="0.25">
      <c r="A93" t="s">
        <v>9</v>
      </c>
      <c r="B93" t="s">
        <v>21</v>
      </c>
      <c r="C93" t="s">
        <v>49</v>
      </c>
      <c r="D93" t="s">
        <v>51</v>
      </c>
      <c r="E93" s="4" t="s">
        <v>35</v>
      </c>
      <c r="F93">
        <v>0.85</v>
      </c>
      <c r="H93" t="str">
        <f>VLOOKUP(Tabla3[[#This Row],[DESCRIPCION MATERIAL]],'CODIGO MAT'!$C$2:$D$390,2,FALSE)</f>
        <v>AVI0000031</v>
      </c>
      <c r="L93" t="s">
        <v>768</v>
      </c>
      <c r="M93" t="s">
        <v>992</v>
      </c>
      <c r="N93" t="str">
        <f>M93&amp;Tabla3[[#This Row],[CODIGO PRODUCTO TERMINADO]]&amp;"','"&amp;L93&amp;"',"&amp;Tabla3[[#This Row],[CANTIDAD MATERIAL (M)]]&amp;");"</f>
        <v>insert into P_DFORM(CDG_PROD,CDG_CONP,CAN_PROD) VALUES('FP10','AVI0000135',0.85);</v>
      </c>
    </row>
    <row r="94" spans="1:14" x14ac:dyDescent="0.25">
      <c r="A94" t="s">
        <v>31</v>
      </c>
      <c r="B94" t="s">
        <v>21</v>
      </c>
      <c r="C94" t="s">
        <v>22</v>
      </c>
      <c r="D94" t="s">
        <v>50</v>
      </c>
      <c r="E94" s="4" t="s">
        <v>11</v>
      </c>
      <c r="F94">
        <v>5.6000000000000001E-2</v>
      </c>
      <c r="H94" t="str">
        <f>VLOOKUP(Tabla3[[#This Row],[DESCRIPCION MATERIAL]],'CODIGO MAT'!$C$2:$D$390,2,FALSE)</f>
        <v>TEL0000149</v>
      </c>
      <c r="J94">
        <v>1</v>
      </c>
      <c r="K94">
        <v>0</v>
      </c>
      <c r="L94" t="s">
        <v>986</v>
      </c>
      <c r="M94" t="s">
        <v>992</v>
      </c>
      <c r="N94" t="str">
        <f>M94&amp;Tabla3[[#This Row],[CODIGO PRODUCTO TERMINADO]]&amp;"','"&amp;L94&amp;"',"&amp;Tabla3[[#This Row],[CANTIDAD MATERIAL (M)]]&amp;");"</f>
        <v>insert into P_DFORM(CDG_PROD,CDG_CONP,CAN_PROD) VALUES('PF12','TEL0000192',0.056);</v>
      </c>
    </row>
    <row r="95" spans="1:14" x14ac:dyDescent="0.25">
      <c r="A95" t="s">
        <v>52</v>
      </c>
      <c r="B95" t="s">
        <v>21</v>
      </c>
      <c r="C95" t="s">
        <v>22</v>
      </c>
      <c r="D95" t="s">
        <v>50</v>
      </c>
      <c r="E95" s="5" t="s">
        <v>12</v>
      </c>
      <c r="F95">
        <v>0.4</v>
      </c>
      <c r="H95" t="str">
        <f>VLOOKUP(Tabla3[[#This Row],[DESCRIPCION MATERIAL]],'CODIGO MAT'!$C$2:$D$390,2,FALSE)</f>
        <v>TEL0000040</v>
      </c>
      <c r="J95">
        <v>1</v>
      </c>
      <c r="K95">
        <v>0</v>
      </c>
      <c r="L95" t="s">
        <v>988</v>
      </c>
      <c r="M95" t="s">
        <v>992</v>
      </c>
      <c r="N95" t="str">
        <f>M95&amp;Tabla3[[#This Row],[CODIGO PRODUCTO TERMINADO]]&amp;"','"&amp;L95&amp;"',"&amp;Tabla3[[#This Row],[CANTIDAD MATERIAL (M)]]&amp;");"</f>
        <v>insert into P_DFORM(CDG_PROD,CDG_CONP,CAN_PROD) VALUES('FP12','AVI0000144',0.4);</v>
      </c>
    </row>
    <row r="96" spans="1:14" x14ac:dyDescent="0.25">
      <c r="A96" t="s">
        <v>52</v>
      </c>
      <c r="B96" t="s">
        <v>21</v>
      </c>
      <c r="C96" t="s">
        <v>22</v>
      </c>
      <c r="D96" t="s">
        <v>50</v>
      </c>
      <c r="E96" s="5" t="s">
        <v>32</v>
      </c>
      <c r="F96">
        <v>0.375</v>
      </c>
      <c r="H96" t="str">
        <f>VLOOKUP(Tabla3[[#This Row],[DESCRIPCION MATERIAL]],'CODIGO MAT'!$C$2:$D$390,2,FALSE)</f>
        <v>TEL0000041</v>
      </c>
      <c r="J96">
        <v>1</v>
      </c>
      <c r="K96">
        <v>0</v>
      </c>
      <c r="L96" t="s">
        <v>943</v>
      </c>
      <c r="M96" t="s">
        <v>992</v>
      </c>
      <c r="N96" t="str">
        <f>M96&amp;Tabla3[[#This Row],[CODIGO PRODUCTO TERMINADO]]&amp;"','"&amp;L96&amp;"',"&amp;Tabla3[[#This Row],[CANTIDAD MATERIAL (M)]]&amp;");"</f>
        <v>insert into P_DFORM(CDG_PROD,CDG_CONP,CAN_PROD) VALUES('FP12','TEL0000149',0.375);</v>
      </c>
    </row>
    <row r="97" spans="1:14" x14ac:dyDescent="0.25">
      <c r="A97" t="s">
        <v>52</v>
      </c>
      <c r="B97" t="s">
        <v>21</v>
      </c>
      <c r="C97" t="s">
        <v>22</v>
      </c>
      <c r="D97" t="s">
        <v>50</v>
      </c>
      <c r="E97" s="2" t="s">
        <v>33</v>
      </c>
      <c r="F97">
        <v>0.125</v>
      </c>
      <c r="H97" t="str">
        <f>VLOOKUP(Tabla3[[#This Row],[DESCRIPCION MATERIAL]],'CODIGO MAT'!$C$2:$D$390,2,FALSE)</f>
        <v>TEL0000043</v>
      </c>
      <c r="J97">
        <v>1</v>
      </c>
      <c r="K97">
        <v>0</v>
      </c>
      <c r="L97" t="s">
        <v>834</v>
      </c>
      <c r="M97" t="s">
        <v>992</v>
      </c>
      <c r="N97" t="str">
        <f>M97&amp;Tabla3[[#This Row],[CODIGO PRODUCTO TERMINADO]]&amp;"','"&amp;L97&amp;"',"&amp;Tabla3[[#This Row],[CANTIDAD MATERIAL (M)]]&amp;");"</f>
        <v>insert into P_DFORM(CDG_PROD,CDG_CONP,CAN_PROD) VALUES('FP12','TEL0000040',0.125);</v>
      </c>
    </row>
    <row r="98" spans="1:14" x14ac:dyDescent="0.25">
      <c r="A98" t="s">
        <v>52</v>
      </c>
      <c r="B98" t="s">
        <v>21</v>
      </c>
      <c r="C98" t="s">
        <v>22</v>
      </c>
      <c r="D98" t="s">
        <v>50</v>
      </c>
      <c r="E98" s="7" t="s">
        <v>141</v>
      </c>
      <c r="F98">
        <v>0.11</v>
      </c>
      <c r="H98" t="str">
        <f>VLOOKUP(Tabla3[[#This Row],[DESCRIPCION MATERIAL]],'CODIGO MAT'!$C$2:$D$390,2,FALSE)</f>
        <v>TEL0000068</v>
      </c>
      <c r="J98">
        <v>1</v>
      </c>
      <c r="K98">
        <v>0</v>
      </c>
      <c r="L98" t="s">
        <v>835</v>
      </c>
      <c r="M98" t="s">
        <v>992</v>
      </c>
      <c r="N98" t="str">
        <f>M98&amp;Tabla3[[#This Row],[CODIGO PRODUCTO TERMINADO]]&amp;"','"&amp;L98&amp;"',"&amp;Tabla3[[#This Row],[CANTIDAD MATERIAL (M)]]&amp;");"</f>
        <v>insert into P_DFORM(CDG_PROD,CDG_CONP,CAN_PROD) VALUES('FP12','TEL0000041',0.11);</v>
      </c>
    </row>
    <row r="99" spans="1:14" x14ac:dyDescent="0.25">
      <c r="A99" t="s">
        <v>52</v>
      </c>
      <c r="B99" t="s">
        <v>21</v>
      </c>
      <c r="C99" t="s">
        <v>22</v>
      </c>
      <c r="D99" t="s">
        <v>51</v>
      </c>
      <c r="E99" s="7" t="s">
        <v>296</v>
      </c>
      <c r="F99">
        <v>0.51</v>
      </c>
      <c r="H99" t="str">
        <f>VLOOKUP(Tabla3[[#This Row],[DESCRIPCION MATERIAL]],'CODIGO MAT'!$C$2:$D$390,2,FALSE)</f>
        <v>AVI0000039</v>
      </c>
      <c r="J99">
        <v>1</v>
      </c>
      <c r="K99">
        <v>0</v>
      </c>
      <c r="L99" t="s">
        <v>837</v>
      </c>
      <c r="M99" t="s">
        <v>992</v>
      </c>
      <c r="N99" t="str">
        <f>M99&amp;Tabla3[[#This Row],[CODIGO PRODUCTO TERMINADO]]&amp;"','"&amp;L99&amp;"',"&amp;Tabla3[[#This Row],[CANTIDAD MATERIAL (M)]]&amp;");"</f>
        <v>insert into P_DFORM(CDG_PROD,CDG_CONP,CAN_PROD) VALUES('FP12','TEL0000043',0.51);</v>
      </c>
    </row>
    <row r="100" spans="1:14" x14ac:dyDescent="0.25">
      <c r="A100" t="s">
        <v>52</v>
      </c>
      <c r="B100" t="s">
        <v>21</v>
      </c>
      <c r="C100" t="s">
        <v>22</v>
      </c>
      <c r="D100" t="s">
        <v>51</v>
      </c>
      <c r="E100" s="7" t="s">
        <v>34</v>
      </c>
      <c r="F100">
        <v>2.2200000000000002</v>
      </c>
      <c r="H100" t="str">
        <f>VLOOKUP(Tabla3[[#This Row],[DESCRIPCION MATERIAL]],'CODIGO MAT'!$C$2:$D$390,2,FALSE)</f>
        <v>AVI0000034</v>
      </c>
      <c r="J100">
        <v>1</v>
      </c>
      <c r="K100">
        <v>0</v>
      </c>
      <c r="L100" t="s">
        <v>862</v>
      </c>
      <c r="M100" t="s">
        <v>992</v>
      </c>
      <c r="N100" t="str">
        <f>M100&amp;Tabla3[[#This Row],[CODIGO PRODUCTO TERMINADO]]&amp;"','"&amp;L100&amp;"',"&amp;Tabla3[[#This Row],[CANTIDAD MATERIAL (M)]]&amp;");"</f>
        <v>insert into P_DFORM(CDG_PROD,CDG_CONP,CAN_PROD) VALUES('FP12','TEL0000068',2.22);</v>
      </c>
    </row>
    <row r="101" spans="1:14" x14ac:dyDescent="0.25">
      <c r="A101" t="s">
        <v>52</v>
      </c>
      <c r="B101" t="s">
        <v>21</v>
      </c>
      <c r="C101" t="s">
        <v>22</v>
      </c>
      <c r="D101" t="s">
        <v>51</v>
      </c>
      <c r="E101" s="6" t="s">
        <v>35</v>
      </c>
      <c r="F101">
        <v>1.56</v>
      </c>
      <c r="H101" t="str">
        <f>VLOOKUP(Tabla3[[#This Row],[DESCRIPCION MATERIAL]],'CODIGO MAT'!$C$2:$D$390,2,FALSE)</f>
        <v>AVI0000031</v>
      </c>
      <c r="J101">
        <v>1</v>
      </c>
      <c r="K101">
        <v>0</v>
      </c>
      <c r="L101" t="s">
        <v>671</v>
      </c>
      <c r="M101" t="s">
        <v>992</v>
      </c>
      <c r="N101" t="str">
        <f>M101&amp;Tabla3[[#This Row],[CODIGO PRODUCTO TERMINADO]]&amp;"','"&amp;L101&amp;"',"&amp;Tabla3[[#This Row],[CANTIDAD MATERIAL (M)]]&amp;");"</f>
        <v>insert into P_DFORM(CDG_PROD,CDG_CONP,CAN_PROD) VALUES('FP12','AVI0000039',1.56);</v>
      </c>
    </row>
    <row r="102" spans="1:14" x14ac:dyDescent="0.25">
      <c r="A102" t="s">
        <v>52</v>
      </c>
      <c r="B102" t="s">
        <v>21</v>
      </c>
      <c r="C102" t="s">
        <v>22</v>
      </c>
      <c r="D102" t="s">
        <v>51</v>
      </c>
      <c r="E102" s="4" t="s">
        <v>36</v>
      </c>
      <c r="F102">
        <v>2</v>
      </c>
      <c r="H102" t="str">
        <f>VLOOKUP(Tabla3[[#This Row],[DESCRIPCION MATERIAL]],'CODIGO MAT'!$C$2:$D$390,2,FALSE)</f>
        <v>AVI0000135</v>
      </c>
      <c r="L102" t="s">
        <v>666</v>
      </c>
      <c r="M102" t="s">
        <v>992</v>
      </c>
      <c r="N102" t="str">
        <f>M102&amp;Tabla3[[#This Row],[CODIGO PRODUCTO TERMINADO]]&amp;"','"&amp;L102&amp;"',"&amp;Tabla3[[#This Row],[CANTIDAD MATERIAL (M)]]&amp;");"</f>
        <v>insert into P_DFORM(CDG_PROD,CDG_CONP,CAN_PROD) VALUES('FP12','AVI0000034',2);</v>
      </c>
    </row>
    <row r="103" spans="1:14" x14ac:dyDescent="0.25">
      <c r="A103" t="s">
        <v>52</v>
      </c>
      <c r="B103" t="s">
        <v>21</v>
      </c>
      <c r="C103" t="s">
        <v>22</v>
      </c>
      <c r="D103" t="s">
        <v>50</v>
      </c>
      <c r="E103" s="4" t="s">
        <v>611</v>
      </c>
      <c r="F103">
        <v>1.2E-2</v>
      </c>
      <c r="H103" t="str">
        <f>VLOOKUP(Tabla3[[#This Row],[DESCRIPCION MATERIAL]],'CODIGO MAT'!$C$2:$D$390,2,FALSE)</f>
        <v>TEL0000192</v>
      </c>
      <c r="L103" t="s">
        <v>663</v>
      </c>
      <c r="M103" t="s">
        <v>992</v>
      </c>
      <c r="N103" t="str">
        <f>M103&amp;Tabla3[[#This Row],[CODIGO PRODUCTO TERMINADO]]&amp;"','"&amp;L103&amp;"',"&amp;Tabla3[[#This Row],[CANTIDAD MATERIAL (M)]]&amp;");"</f>
        <v>insert into P_DFORM(CDG_PROD,CDG_CONP,CAN_PROD) VALUES('FP12','AVI0000031',0.012);</v>
      </c>
    </row>
    <row r="104" spans="1:14" x14ac:dyDescent="0.25">
      <c r="A104" t="s">
        <v>52</v>
      </c>
      <c r="B104" t="s">
        <v>21</v>
      </c>
      <c r="C104" t="s">
        <v>22</v>
      </c>
      <c r="D104" t="s">
        <v>51</v>
      </c>
      <c r="E104" s="4" t="s">
        <v>613</v>
      </c>
      <c r="F104">
        <v>0.31</v>
      </c>
      <c r="H104" t="str">
        <f>VLOOKUP(Tabla3[[#This Row],[DESCRIPCION MATERIAL]],'CODIGO MAT'!$C$2:$D$390,2,FALSE)</f>
        <v>AVI0000144</v>
      </c>
      <c r="L104" t="s">
        <v>768</v>
      </c>
      <c r="M104" t="s">
        <v>992</v>
      </c>
      <c r="N104" t="str">
        <f>M104&amp;Tabla3[[#This Row],[CODIGO PRODUCTO TERMINADO]]&amp;"','"&amp;L104&amp;"',"&amp;Tabla3[[#This Row],[CANTIDAD MATERIAL (M)]]&amp;");"</f>
        <v>insert into P_DFORM(CDG_PROD,CDG_CONP,CAN_PROD) VALUES('FP12','AVI0000135',0.31);</v>
      </c>
    </row>
    <row r="105" spans="1:14" x14ac:dyDescent="0.25">
      <c r="A105" t="s">
        <v>53</v>
      </c>
      <c r="B105" t="s">
        <v>21</v>
      </c>
      <c r="C105" t="s">
        <v>23</v>
      </c>
      <c r="D105" t="s">
        <v>50</v>
      </c>
      <c r="E105" s="4" t="s">
        <v>11</v>
      </c>
      <c r="F105">
        <v>5.6000000000000001E-2</v>
      </c>
      <c r="H105" t="str">
        <f>VLOOKUP(Tabla3[[#This Row],[DESCRIPCION MATERIAL]],'CODIGO MAT'!$C$2:$D$390,2,FALSE)</f>
        <v>TEL0000149</v>
      </c>
      <c r="J105">
        <v>1</v>
      </c>
      <c r="K105">
        <v>0</v>
      </c>
      <c r="L105" t="s">
        <v>986</v>
      </c>
      <c r="M105" t="s">
        <v>992</v>
      </c>
      <c r="N105" t="str">
        <f>M105&amp;Tabla3[[#This Row],[CODIGO PRODUCTO TERMINADO]]&amp;"','"&amp;L105&amp;"',"&amp;Tabla3[[#This Row],[CANTIDAD MATERIAL (M)]]&amp;");"</f>
        <v>insert into P_DFORM(CDG_PROD,CDG_CONP,CAN_PROD) VALUES('FP13','TEL0000192',0.056);</v>
      </c>
    </row>
    <row r="106" spans="1:14" x14ac:dyDescent="0.25">
      <c r="A106" t="s">
        <v>53</v>
      </c>
      <c r="B106" t="s">
        <v>21</v>
      </c>
      <c r="C106" t="s">
        <v>23</v>
      </c>
      <c r="D106" t="s">
        <v>50</v>
      </c>
      <c r="E106" s="5" t="s">
        <v>12</v>
      </c>
      <c r="F106">
        <v>0.45200000000000001</v>
      </c>
      <c r="H106" t="str">
        <f>VLOOKUP(Tabla3[[#This Row],[DESCRIPCION MATERIAL]],'CODIGO MAT'!$C$2:$D$390,2,FALSE)</f>
        <v>TEL0000040</v>
      </c>
      <c r="J106">
        <v>1</v>
      </c>
      <c r="K106">
        <v>0</v>
      </c>
      <c r="L106" t="s">
        <v>988</v>
      </c>
      <c r="M106" t="s">
        <v>992</v>
      </c>
      <c r="N106" t="str">
        <f>M106&amp;Tabla3[[#This Row],[CODIGO PRODUCTO TERMINADO]]&amp;"','"&amp;L106&amp;"',"&amp;Tabla3[[#This Row],[CANTIDAD MATERIAL (M)]]&amp;");"</f>
        <v>insert into P_DFORM(CDG_PROD,CDG_CONP,CAN_PROD) VALUES('FP13','AVI0000144',0.452);</v>
      </c>
    </row>
    <row r="107" spans="1:14" x14ac:dyDescent="0.25">
      <c r="A107" t="s">
        <v>53</v>
      </c>
      <c r="B107" t="s">
        <v>21</v>
      </c>
      <c r="C107" t="s">
        <v>23</v>
      </c>
      <c r="D107" t="s">
        <v>50</v>
      </c>
      <c r="E107" s="5" t="s">
        <v>32</v>
      </c>
      <c r="F107">
        <v>0.45</v>
      </c>
      <c r="H107" t="str">
        <f>VLOOKUP(Tabla3[[#This Row],[DESCRIPCION MATERIAL]],'CODIGO MAT'!$C$2:$D$390,2,FALSE)</f>
        <v>TEL0000041</v>
      </c>
      <c r="J107">
        <v>1</v>
      </c>
      <c r="K107">
        <v>0</v>
      </c>
      <c r="L107" t="s">
        <v>943</v>
      </c>
      <c r="M107" t="s">
        <v>992</v>
      </c>
      <c r="N107" t="str">
        <f>M107&amp;Tabla3[[#This Row],[CODIGO PRODUCTO TERMINADO]]&amp;"','"&amp;L107&amp;"',"&amp;Tabla3[[#This Row],[CANTIDAD MATERIAL (M)]]&amp;");"</f>
        <v>insert into P_DFORM(CDG_PROD,CDG_CONP,CAN_PROD) VALUES('FP13','TEL0000149',0.45);</v>
      </c>
    </row>
    <row r="108" spans="1:14" x14ac:dyDescent="0.25">
      <c r="A108" t="s">
        <v>53</v>
      </c>
      <c r="B108" t="s">
        <v>21</v>
      </c>
      <c r="C108" t="s">
        <v>23</v>
      </c>
      <c r="D108" t="s">
        <v>50</v>
      </c>
      <c r="E108" s="2" t="s">
        <v>33</v>
      </c>
      <c r="F108">
        <v>0.126</v>
      </c>
      <c r="H108" t="str">
        <f>VLOOKUP(Tabla3[[#This Row],[DESCRIPCION MATERIAL]],'CODIGO MAT'!$C$2:$D$390,2,FALSE)</f>
        <v>TEL0000043</v>
      </c>
      <c r="J108">
        <v>1</v>
      </c>
      <c r="K108">
        <v>0</v>
      </c>
      <c r="L108" t="s">
        <v>834</v>
      </c>
      <c r="M108" t="s">
        <v>992</v>
      </c>
      <c r="N108" t="str">
        <f>M108&amp;Tabla3[[#This Row],[CODIGO PRODUCTO TERMINADO]]&amp;"','"&amp;L108&amp;"',"&amp;Tabla3[[#This Row],[CANTIDAD MATERIAL (M)]]&amp;");"</f>
        <v>insert into P_DFORM(CDG_PROD,CDG_CONP,CAN_PROD) VALUES('FP13','TEL0000040',0.126);</v>
      </c>
    </row>
    <row r="109" spans="1:14" x14ac:dyDescent="0.25">
      <c r="A109" t="s">
        <v>53</v>
      </c>
      <c r="B109" t="s">
        <v>21</v>
      </c>
      <c r="C109" t="s">
        <v>23</v>
      </c>
      <c r="D109" t="s">
        <v>50</v>
      </c>
      <c r="E109" s="7" t="s">
        <v>141</v>
      </c>
      <c r="F109">
        <v>0.11</v>
      </c>
      <c r="H109" t="str">
        <f>VLOOKUP(Tabla3[[#This Row],[DESCRIPCION MATERIAL]],'CODIGO MAT'!$C$2:$D$390,2,FALSE)</f>
        <v>TEL0000068</v>
      </c>
      <c r="J109">
        <v>1</v>
      </c>
      <c r="K109">
        <v>0</v>
      </c>
      <c r="L109" t="s">
        <v>835</v>
      </c>
      <c r="M109" t="s">
        <v>992</v>
      </c>
      <c r="N109" t="str">
        <f>M109&amp;Tabla3[[#This Row],[CODIGO PRODUCTO TERMINADO]]&amp;"','"&amp;L109&amp;"',"&amp;Tabla3[[#This Row],[CANTIDAD MATERIAL (M)]]&amp;");"</f>
        <v>insert into P_DFORM(CDG_PROD,CDG_CONP,CAN_PROD) VALUES('FP13','TEL0000041',0.11);</v>
      </c>
    </row>
    <row r="110" spans="1:14" x14ac:dyDescent="0.25">
      <c r="A110" t="s">
        <v>54</v>
      </c>
      <c r="B110" t="s">
        <v>21</v>
      </c>
      <c r="C110" t="s">
        <v>23</v>
      </c>
      <c r="D110" t="s">
        <v>51</v>
      </c>
      <c r="E110" s="7" t="s">
        <v>296</v>
      </c>
      <c r="F110">
        <v>0.51</v>
      </c>
      <c r="H110" t="str">
        <f>VLOOKUP(Tabla3[[#This Row],[DESCRIPCION MATERIAL]],'CODIGO MAT'!$C$2:$D$390,2,FALSE)</f>
        <v>AVI0000039</v>
      </c>
      <c r="J110">
        <v>1</v>
      </c>
      <c r="K110">
        <v>0</v>
      </c>
      <c r="L110" t="s">
        <v>837</v>
      </c>
      <c r="M110" t="s">
        <v>992</v>
      </c>
      <c r="N110" t="str">
        <f>M110&amp;Tabla3[[#This Row],[CODIGO PRODUCTO TERMINADO]]&amp;"','"&amp;L110&amp;"',"&amp;Tabla3[[#This Row],[CANTIDAD MATERIAL (M)]]&amp;");"</f>
        <v>insert into P_DFORM(CDG_PROD,CDG_CONP,CAN_PROD) VALUES('PFP13','TEL0000043',0.51);</v>
      </c>
    </row>
    <row r="111" spans="1:14" x14ac:dyDescent="0.25">
      <c r="A111" t="s">
        <v>53</v>
      </c>
      <c r="B111" t="s">
        <v>21</v>
      </c>
      <c r="C111" t="s">
        <v>23</v>
      </c>
      <c r="D111" t="s">
        <v>51</v>
      </c>
      <c r="E111" s="7" t="s">
        <v>34</v>
      </c>
      <c r="F111">
        <v>2.27</v>
      </c>
      <c r="H111" t="str">
        <f>VLOOKUP(Tabla3[[#This Row],[DESCRIPCION MATERIAL]],'CODIGO MAT'!$C$2:$D$390,2,FALSE)</f>
        <v>AVI0000034</v>
      </c>
      <c r="J111">
        <v>1</v>
      </c>
      <c r="K111">
        <v>0</v>
      </c>
      <c r="L111" t="s">
        <v>862</v>
      </c>
      <c r="M111" t="s">
        <v>992</v>
      </c>
      <c r="N111" t="str">
        <f>M111&amp;Tabla3[[#This Row],[CODIGO PRODUCTO TERMINADO]]&amp;"','"&amp;L111&amp;"',"&amp;Tabla3[[#This Row],[CANTIDAD MATERIAL (M)]]&amp;");"</f>
        <v>insert into P_DFORM(CDG_PROD,CDG_CONP,CAN_PROD) VALUES('FP13','TEL0000068',2.27);</v>
      </c>
    </row>
    <row r="112" spans="1:14" x14ac:dyDescent="0.25">
      <c r="A112" t="s">
        <v>53</v>
      </c>
      <c r="B112" t="s">
        <v>21</v>
      </c>
      <c r="C112" t="s">
        <v>23</v>
      </c>
      <c r="D112" t="s">
        <v>51</v>
      </c>
      <c r="E112" s="6" t="s">
        <v>35</v>
      </c>
      <c r="F112">
        <v>1.56</v>
      </c>
      <c r="H112" t="str">
        <f>VLOOKUP(Tabla3[[#This Row],[DESCRIPCION MATERIAL]],'CODIGO MAT'!$C$2:$D$390,2,FALSE)</f>
        <v>AVI0000031</v>
      </c>
      <c r="J112">
        <v>1</v>
      </c>
      <c r="K112">
        <v>0</v>
      </c>
      <c r="L112" t="s">
        <v>671</v>
      </c>
      <c r="M112" t="s">
        <v>992</v>
      </c>
      <c r="N112" t="str">
        <f>M112&amp;Tabla3[[#This Row],[CODIGO PRODUCTO TERMINADO]]&amp;"','"&amp;L112&amp;"',"&amp;Tabla3[[#This Row],[CANTIDAD MATERIAL (M)]]&amp;");"</f>
        <v>insert into P_DFORM(CDG_PROD,CDG_CONP,CAN_PROD) VALUES('FP13','AVI0000039',1.56);</v>
      </c>
    </row>
    <row r="113" spans="1:14" x14ac:dyDescent="0.25">
      <c r="A113" t="s">
        <v>53</v>
      </c>
      <c r="B113" t="s">
        <v>21</v>
      </c>
      <c r="C113" t="s">
        <v>23</v>
      </c>
      <c r="D113" t="s">
        <v>51</v>
      </c>
      <c r="E113" s="4" t="s">
        <v>36</v>
      </c>
      <c r="F113">
        <v>2</v>
      </c>
      <c r="H113" t="str">
        <f>VLOOKUP(Tabla3[[#This Row],[DESCRIPCION MATERIAL]],'CODIGO MAT'!$C$2:$D$390,2,FALSE)</f>
        <v>AVI0000135</v>
      </c>
      <c r="L113" t="s">
        <v>666</v>
      </c>
      <c r="M113" t="s">
        <v>992</v>
      </c>
      <c r="N113" t="str">
        <f>M113&amp;Tabla3[[#This Row],[CODIGO PRODUCTO TERMINADO]]&amp;"','"&amp;L113&amp;"',"&amp;Tabla3[[#This Row],[CANTIDAD MATERIAL (M)]]&amp;");"</f>
        <v>insert into P_DFORM(CDG_PROD,CDG_CONP,CAN_PROD) VALUES('FP13','AVI0000034',2);</v>
      </c>
    </row>
    <row r="114" spans="1:14" x14ac:dyDescent="0.25">
      <c r="A114" t="s">
        <v>53</v>
      </c>
      <c r="B114" t="s">
        <v>21</v>
      </c>
      <c r="C114" t="s">
        <v>23</v>
      </c>
      <c r="D114" t="s">
        <v>50</v>
      </c>
      <c r="E114" s="4" t="s">
        <v>611</v>
      </c>
      <c r="F114">
        <v>1.2E-2</v>
      </c>
      <c r="H114" t="str">
        <f>VLOOKUP(Tabla3[[#This Row],[DESCRIPCION MATERIAL]],'CODIGO MAT'!$C$2:$D$390,2,FALSE)</f>
        <v>TEL0000192</v>
      </c>
      <c r="L114" t="s">
        <v>663</v>
      </c>
      <c r="M114" t="s">
        <v>992</v>
      </c>
      <c r="N114" t="str">
        <f>M114&amp;Tabla3[[#This Row],[CODIGO PRODUCTO TERMINADO]]&amp;"','"&amp;L114&amp;"',"&amp;Tabla3[[#This Row],[CANTIDAD MATERIAL (M)]]&amp;");"</f>
        <v>insert into P_DFORM(CDG_PROD,CDG_CONP,CAN_PROD) VALUES('FP13','AVI0000031',0.012);</v>
      </c>
    </row>
    <row r="115" spans="1:14" x14ac:dyDescent="0.25">
      <c r="A115" t="s">
        <v>53</v>
      </c>
      <c r="B115" t="s">
        <v>21</v>
      </c>
      <c r="C115" t="s">
        <v>23</v>
      </c>
      <c r="D115" t="s">
        <v>51</v>
      </c>
      <c r="E115" s="4" t="s">
        <v>613</v>
      </c>
      <c r="F115">
        <v>0.31</v>
      </c>
      <c r="H115" t="str">
        <f>VLOOKUP(Tabla3[[#This Row],[DESCRIPCION MATERIAL]],'CODIGO MAT'!$C$2:$D$390,2,FALSE)</f>
        <v>AVI0000144</v>
      </c>
      <c r="L115" t="s">
        <v>768</v>
      </c>
      <c r="M115" t="s">
        <v>992</v>
      </c>
      <c r="N115" t="str">
        <f>M115&amp;Tabla3[[#This Row],[CODIGO PRODUCTO TERMINADO]]&amp;"','"&amp;L115&amp;"',"&amp;Tabla3[[#This Row],[CANTIDAD MATERIAL (M)]]&amp;");"</f>
        <v>insert into P_DFORM(CDG_PROD,CDG_CONP,CAN_PROD) VALUES('FP13','AVI0000135',0.31);</v>
      </c>
    </row>
    <row r="116" spans="1:14" x14ac:dyDescent="0.25">
      <c r="A116" t="s">
        <v>55</v>
      </c>
      <c r="B116" t="s">
        <v>21</v>
      </c>
      <c r="C116" t="s">
        <v>24</v>
      </c>
      <c r="D116" t="s">
        <v>50</v>
      </c>
      <c r="E116" s="4" t="s">
        <v>11</v>
      </c>
      <c r="F116">
        <v>7.8E-2</v>
      </c>
      <c r="H116" t="str">
        <f>VLOOKUP(Tabla3[[#This Row],[DESCRIPCION MATERIAL]],'CODIGO MAT'!$C$2:$D$390,2,FALSE)</f>
        <v>TEL0000149</v>
      </c>
      <c r="J116">
        <v>1</v>
      </c>
      <c r="K116">
        <v>0</v>
      </c>
      <c r="L116" t="s">
        <v>986</v>
      </c>
      <c r="M116" t="s">
        <v>992</v>
      </c>
      <c r="N116" t="str">
        <f>M116&amp;Tabla3[[#This Row],[CODIGO PRODUCTO TERMINADO]]&amp;"','"&amp;L116&amp;"',"&amp;Tabla3[[#This Row],[CANTIDAD MATERIAL (M)]]&amp;");"</f>
        <v>insert into P_DFORM(CDG_PROD,CDG_CONP,CAN_PROD) VALUES('FP14','TEL0000192',0.078);</v>
      </c>
    </row>
    <row r="117" spans="1:14" x14ac:dyDescent="0.25">
      <c r="A117" t="s">
        <v>55</v>
      </c>
      <c r="B117" t="s">
        <v>21</v>
      </c>
      <c r="C117" t="s">
        <v>24</v>
      </c>
      <c r="D117" t="s">
        <v>50</v>
      </c>
      <c r="E117" s="5" t="s">
        <v>12</v>
      </c>
      <c r="F117">
        <v>0.48199999999999998</v>
      </c>
      <c r="H117" t="str">
        <f>VLOOKUP(Tabla3[[#This Row],[DESCRIPCION MATERIAL]],'CODIGO MAT'!$C$2:$D$390,2,FALSE)</f>
        <v>TEL0000040</v>
      </c>
      <c r="J117">
        <v>1</v>
      </c>
      <c r="K117">
        <v>0</v>
      </c>
      <c r="L117" t="s">
        <v>988</v>
      </c>
      <c r="M117" t="s">
        <v>992</v>
      </c>
      <c r="N117" t="str">
        <f>M117&amp;Tabla3[[#This Row],[CODIGO PRODUCTO TERMINADO]]&amp;"','"&amp;L117&amp;"',"&amp;Tabla3[[#This Row],[CANTIDAD MATERIAL (M)]]&amp;");"</f>
        <v>insert into P_DFORM(CDG_PROD,CDG_CONP,CAN_PROD) VALUES('FP14','AVI0000144',0.482);</v>
      </c>
    </row>
    <row r="118" spans="1:14" x14ac:dyDescent="0.25">
      <c r="A118" t="s">
        <v>55</v>
      </c>
      <c r="B118" t="s">
        <v>21</v>
      </c>
      <c r="C118" t="s">
        <v>24</v>
      </c>
      <c r="D118" t="s">
        <v>50</v>
      </c>
      <c r="E118" s="5" t="s">
        <v>32</v>
      </c>
      <c r="F118">
        <v>0.52</v>
      </c>
      <c r="H118" t="str">
        <f>VLOOKUP(Tabla3[[#This Row],[DESCRIPCION MATERIAL]],'CODIGO MAT'!$C$2:$D$390,2,FALSE)</f>
        <v>TEL0000041</v>
      </c>
      <c r="J118">
        <v>1</v>
      </c>
      <c r="K118">
        <v>0</v>
      </c>
      <c r="L118" t="s">
        <v>943</v>
      </c>
      <c r="M118" t="s">
        <v>992</v>
      </c>
      <c r="N118" t="str">
        <f>M118&amp;Tabla3[[#This Row],[CODIGO PRODUCTO TERMINADO]]&amp;"','"&amp;L118&amp;"',"&amp;Tabla3[[#This Row],[CANTIDAD MATERIAL (M)]]&amp;");"</f>
        <v>insert into P_DFORM(CDG_PROD,CDG_CONP,CAN_PROD) VALUES('FP14','TEL0000149',0.52);</v>
      </c>
    </row>
    <row r="119" spans="1:14" x14ac:dyDescent="0.25">
      <c r="A119" t="s">
        <v>55</v>
      </c>
      <c r="B119" t="s">
        <v>21</v>
      </c>
      <c r="C119" t="s">
        <v>24</v>
      </c>
      <c r="D119" t="s">
        <v>50</v>
      </c>
      <c r="E119" s="2" t="s">
        <v>33</v>
      </c>
      <c r="F119">
        <v>0.14799999999999999</v>
      </c>
      <c r="H119" t="str">
        <f>VLOOKUP(Tabla3[[#This Row],[DESCRIPCION MATERIAL]],'CODIGO MAT'!$C$2:$D$390,2,FALSE)</f>
        <v>TEL0000043</v>
      </c>
      <c r="J119">
        <v>1</v>
      </c>
      <c r="K119">
        <v>0</v>
      </c>
      <c r="L119" t="s">
        <v>834</v>
      </c>
      <c r="M119" t="s">
        <v>992</v>
      </c>
      <c r="N119" t="str">
        <f>M119&amp;Tabla3[[#This Row],[CODIGO PRODUCTO TERMINADO]]&amp;"','"&amp;L119&amp;"',"&amp;Tabla3[[#This Row],[CANTIDAD MATERIAL (M)]]&amp;");"</f>
        <v>insert into P_DFORM(CDG_PROD,CDG_CONP,CAN_PROD) VALUES('FP14','TEL0000040',0.148);</v>
      </c>
    </row>
    <row r="120" spans="1:14" x14ac:dyDescent="0.25">
      <c r="A120" t="s">
        <v>55</v>
      </c>
      <c r="B120" t="s">
        <v>21</v>
      </c>
      <c r="C120" t="s">
        <v>24</v>
      </c>
      <c r="D120" t="s">
        <v>50</v>
      </c>
      <c r="E120" s="7" t="s">
        <v>141</v>
      </c>
      <c r="F120">
        <v>0.11</v>
      </c>
      <c r="H120" t="str">
        <f>VLOOKUP(Tabla3[[#This Row],[DESCRIPCION MATERIAL]],'CODIGO MAT'!$C$2:$D$390,2,FALSE)</f>
        <v>TEL0000068</v>
      </c>
      <c r="J120">
        <v>1</v>
      </c>
      <c r="K120">
        <v>0</v>
      </c>
      <c r="L120" t="s">
        <v>835</v>
      </c>
      <c r="M120" t="s">
        <v>992</v>
      </c>
      <c r="N120" t="str">
        <f>M120&amp;Tabla3[[#This Row],[CODIGO PRODUCTO TERMINADO]]&amp;"','"&amp;L120&amp;"',"&amp;Tabla3[[#This Row],[CANTIDAD MATERIAL (M)]]&amp;");"</f>
        <v>insert into P_DFORM(CDG_PROD,CDG_CONP,CAN_PROD) VALUES('FP14','TEL0000041',0.11);</v>
      </c>
    </row>
    <row r="121" spans="1:14" x14ac:dyDescent="0.25">
      <c r="A121" t="s">
        <v>55</v>
      </c>
      <c r="B121" t="s">
        <v>21</v>
      </c>
      <c r="C121" t="s">
        <v>24</v>
      </c>
      <c r="D121" t="s">
        <v>51</v>
      </c>
      <c r="E121" s="7" t="s">
        <v>296</v>
      </c>
      <c r="F121">
        <v>0.51</v>
      </c>
      <c r="H121" t="str">
        <f>VLOOKUP(Tabla3[[#This Row],[DESCRIPCION MATERIAL]],'CODIGO MAT'!$C$2:$D$390,2,FALSE)</f>
        <v>AVI0000039</v>
      </c>
      <c r="J121">
        <v>1</v>
      </c>
      <c r="K121">
        <v>0</v>
      </c>
      <c r="L121" t="s">
        <v>837</v>
      </c>
      <c r="M121" t="s">
        <v>992</v>
      </c>
      <c r="N121" t="str">
        <f>M121&amp;Tabla3[[#This Row],[CODIGO PRODUCTO TERMINADO]]&amp;"','"&amp;L121&amp;"',"&amp;Tabla3[[#This Row],[CANTIDAD MATERIAL (M)]]&amp;");"</f>
        <v>insert into P_DFORM(CDG_PROD,CDG_CONP,CAN_PROD) VALUES('FP14','TEL0000043',0.51);</v>
      </c>
    </row>
    <row r="122" spans="1:14" x14ac:dyDescent="0.25">
      <c r="A122" t="s">
        <v>55</v>
      </c>
      <c r="B122" t="s">
        <v>21</v>
      </c>
      <c r="C122" t="s">
        <v>24</v>
      </c>
      <c r="D122" t="s">
        <v>51</v>
      </c>
      <c r="E122" s="7" t="s">
        <v>34</v>
      </c>
      <c r="F122">
        <v>2.44</v>
      </c>
      <c r="H122" t="str">
        <f>VLOOKUP(Tabla3[[#This Row],[DESCRIPCION MATERIAL]],'CODIGO MAT'!$C$2:$D$390,2,FALSE)</f>
        <v>AVI0000034</v>
      </c>
      <c r="J122">
        <v>1</v>
      </c>
      <c r="K122">
        <v>0</v>
      </c>
      <c r="L122" t="s">
        <v>862</v>
      </c>
      <c r="M122" t="s">
        <v>992</v>
      </c>
      <c r="N122" t="str">
        <f>M122&amp;Tabla3[[#This Row],[CODIGO PRODUCTO TERMINADO]]&amp;"','"&amp;L122&amp;"',"&amp;Tabla3[[#This Row],[CANTIDAD MATERIAL (M)]]&amp;");"</f>
        <v>insert into P_DFORM(CDG_PROD,CDG_CONP,CAN_PROD) VALUES('FP14','TEL0000068',2.44);</v>
      </c>
    </row>
    <row r="123" spans="1:14" x14ac:dyDescent="0.25">
      <c r="A123" t="s">
        <v>55</v>
      </c>
      <c r="B123" t="s">
        <v>21</v>
      </c>
      <c r="C123" t="s">
        <v>24</v>
      </c>
      <c r="D123" t="s">
        <v>51</v>
      </c>
      <c r="E123" s="6" t="s">
        <v>35</v>
      </c>
      <c r="F123">
        <v>1.66</v>
      </c>
      <c r="H123" t="str">
        <f>VLOOKUP(Tabla3[[#This Row],[DESCRIPCION MATERIAL]],'CODIGO MAT'!$C$2:$D$390,2,FALSE)</f>
        <v>AVI0000031</v>
      </c>
      <c r="J123">
        <v>1</v>
      </c>
      <c r="K123">
        <v>0</v>
      </c>
      <c r="L123" t="s">
        <v>671</v>
      </c>
      <c r="M123" t="s">
        <v>992</v>
      </c>
      <c r="N123" t="str">
        <f>M123&amp;Tabla3[[#This Row],[CODIGO PRODUCTO TERMINADO]]&amp;"','"&amp;L123&amp;"',"&amp;Tabla3[[#This Row],[CANTIDAD MATERIAL (M)]]&amp;");"</f>
        <v>insert into P_DFORM(CDG_PROD,CDG_CONP,CAN_PROD) VALUES('FP14','AVI0000039',1.66);</v>
      </c>
    </row>
    <row r="124" spans="1:14" x14ac:dyDescent="0.25">
      <c r="A124" t="s">
        <v>55</v>
      </c>
      <c r="B124" t="s">
        <v>21</v>
      </c>
      <c r="C124" t="s">
        <v>24</v>
      </c>
      <c r="D124" t="s">
        <v>51</v>
      </c>
      <c r="E124" s="4" t="s">
        <v>36</v>
      </c>
      <c r="F124">
        <v>2</v>
      </c>
      <c r="H124" t="str">
        <f>VLOOKUP(Tabla3[[#This Row],[DESCRIPCION MATERIAL]],'CODIGO MAT'!$C$2:$D$390,2,FALSE)</f>
        <v>AVI0000135</v>
      </c>
      <c r="L124" t="s">
        <v>666</v>
      </c>
      <c r="M124" t="s">
        <v>992</v>
      </c>
      <c r="N124" t="str">
        <f>M124&amp;Tabla3[[#This Row],[CODIGO PRODUCTO TERMINADO]]&amp;"','"&amp;L124&amp;"',"&amp;Tabla3[[#This Row],[CANTIDAD MATERIAL (M)]]&amp;");"</f>
        <v>insert into P_DFORM(CDG_PROD,CDG_CONP,CAN_PROD) VALUES('FP14','AVI0000034',2);</v>
      </c>
    </row>
    <row r="125" spans="1:14" x14ac:dyDescent="0.25">
      <c r="A125" t="s">
        <v>55</v>
      </c>
      <c r="B125" t="s">
        <v>21</v>
      </c>
      <c r="C125" t="s">
        <v>24</v>
      </c>
      <c r="D125" t="s">
        <v>50</v>
      </c>
      <c r="E125" s="4" t="s">
        <v>611</v>
      </c>
      <c r="F125">
        <v>1.2E-2</v>
      </c>
      <c r="H125" t="str">
        <f>VLOOKUP(Tabla3[[#This Row],[DESCRIPCION MATERIAL]],'CODIGO MAT'!$C$2:$D$390,2,FALSE)</f>
        <v>TEL0000192</v>
      </c>
      <c r="L125" t="s">
        <v>663</v>
      </c>
      <c r="M125" t="s">
        <v>992</v>
      </c>
      <c r="N125" t="str">
        <f>M125&amp;Tabla3[[#This Row],[CODIGO PRODUCTO TERMINADO]]&amp;"','"&amp;L125&amp;"',"&amp;Tabla3[[#This Row],[CANTIDAD MATERIAL (M)]]&amp;");"</f>
        <v>insert into P_DFORM(CDG_PROD,CDG_CONP,CAN_PROD) VALUES('FP14','AVI0000031',0.012);</v>
      </c>
    </row>
    <row r="126" spans="1:14" x14ac:dyDescent="0.25">
      <c r="A126" t="s">
        <v>55</v>
      </c>
      <c r="B126" t="s">
        <v>21</v>
      </c>
      <c r="C126" t="s">
        <v>24</v>
      </c>
      <c r="D126" t="s">
        <v>51</v>
      </c>
      <c r="E126" s="4" t="s">
        <v>613</v>
      </c>
      <c r="F126">
        <v>0.31</v>
      </c>
      <c r="H126" t="str">
        <f>VLOOKUP(Tabla3[[#This Row],[DESCRIPCION MATERIAL]],'CODIGO MAT'!$C$2:$D$390,2,FALSE)</f>
        <v>AVI0000144</v>
      </c>
      <c r="L126" t="s">
        <v>768</v>
      </c>
      <c r="M126" t="s">
        <v>992</v>
      </c>
      <c r="N126" t="str">
        <f>M126&amp;Tabla3[[#This Row],[CODIGO PRODUCTO TERMINADO]]&amp;"','"&amp;L126&amp;"',"&amp;Tabla3[[#This Row],[CANTIDAD MATERIAL (M)]]&amp;");"</f>
        <v>insert into P_DFORM(CDG_PROD,CDG_CONP,CAN_PROD) VALUES('FP14','AVI0000135',0.31);</v>
      </c>
    </row>
    <row r="127" spans="1:14" x14ac:dyDescent="0.25">
      <c r="A127" t="s">
        <v>56</v>
      </c>
      <c r="B127" t="s">
        <v>21</v>
      </c>
      <c r="C127" t="s">
        <v>25</v>
      </c>
      <c r="D127" t="s">
        <v>50</v>
      </c>
      <c r="E127" s="4" t="s">
        <v>11</v>
      </c>
      <c r="F127">
        <v>7.8E-2</v>
      </c>
      <c r="H127" t="str">
        <f>VLOOKUP(Tabla3[[#This Row],[DESCRIPCION MATERIAL]],'CODIGO MAT'!$C$2:$D$390,2,FALSE)</f>
        <v>TEL0000149</v>
      </c>
      <c r="J127">
        <v>1</v>
      </c>
      <c r="K127">
        <v>0</v>
      </c>
      <c r="L127" t="s">
        <v>986</v>
      </c>
      <c r="M127" t="s">
        <v>992</v>
      </c>
      <c r="N127" t="str">
        <f>M127&amp;Tabla3[[#This Row],[CODIGO PRODUCTO TERMINADO]]&amp;"','"&amp;L127&amp;"',"&amp;Tabla3[[#This Row],[CANTIDAD MATERIAL (M)]]&amp;");"</f>
        <v>insert into P_DFORM(CDG_PROD,CDG_CONP,CAN_PROD) VALUES('FP15','TEL0000192',0.078);</v>
      </c>
    </row>
    <row r="128" spans="1:14" x14ac:dyDescent="0.25">
      <c r="A128" t="s">
        <v>56</v>
      </c>
      <c r="B128" t="s">
        <v>21</v>
      </c>
      <c r="C128" t="s">
        <v>25</v>
      </c>
      <c r="D128" t="s">
        <v>50</v>
      </c>
      <c r="E128" s="5" t="s">
        <v>12</v>
      </c>
      <c r="F128">
        <v>0.53800000000000003</v>
      </c>
      <c r="H128" t="str">
        <f>VLOOKUP(Tabla3[[#This Row],[DESCRIPCION MATERIAL]],'CODIGO MAT'!$C$2:$D$390,2,FALSE)</f>
        <v>TEL0000040</v>
      </c>
      <c r="J128">
        <v>1</v>
      </c>
      <c r="K128">
        <v>0</v>
      </c>
      <c r="L128" t="s">
        <v>988</v>
      </c>
      <c r="M128" t="s">
        <v>992</v>
      </c>
      <c r="N128" t="str">
        <f>M128&amp;Tabla3[[#This Row],[CODIGO PRODUCTO TERMINADO]]&amp;"','"&amp;L128&amp;"',"&amp;Tabla3[[#This Row],[CANTIDAD MATERIAL (M)]]&amp;");"</f>
        <v>insert into P_DFORM(CDG_PROD,CDG_CONP,CAN_PROD) VALUES('FP15','AVI0000144',0.538);</v>
      </c>
    </row>
    <row r="129" spans="1:14" x14ac:dyDescent="0.25">
      <c r="A129" t="s">
        <v>56</v>
      </c>
      <c r="B129" t="s">
        <v>21</v>
      </c>
      <c r="C129" t="s">
        <v>25</v>
      </c>
      <c r="D129" t="s">
        <v>50</v>
      </c>
      <c r="E129" s="5" t="s">
        <v>32</v>
      </c>
      <c r="F129">
        <v>0.59</v>
      </c>
      <c r="H129" t="str">
        <f>VLOOKUP(Tabla3[[#This Row],[DESCRIPCION MATERIAL]],'CODIGO MAT'!$C$2:$D$390,2,FALSE)</f>
        <v>TEL0000041</v>
      </c>
      <c r="J129">
        <v>1</v>
      </c>
      <c r="K129">
        <v>0</v>
      </c>
      <c r="L129" t="s">
        <v>943</v>
      </c>
      <c r="M129" t="s">
        <v>992</v>
      </c>
      <c r="N129" t="str">
        <f>M129&amp;Tabla3[[#This Row],[CODIGO PRODUCTO TERMINADO]]&amp;"','"&amp;L129&amp;"',"&amp;Tabla3[[#This Row],[CANTIDAD MATERIAL (M)]]&amp;");"</f>
        <v>insert into P_DFORM(CDG_PROD,CDG_CONP,CAN_PROD) VALUES('FP15','TEL0000149',0.59);</v>
      </c>
    </row>
    <row r="130" spans="1:14" x14ac:dyDescent="0.25">
      <c r="A130" t="s">
        <v>56</v>
      </c>
      <c r="B130" t="s">
        <v>21</v>
      </c>
      <c r="C130" t="s">
        <v>25</v>
      </c>
      <c r="D130" t="s">
        <v>50</v>
      </c>
      <c r="E130" s="2" t="s">
        <v>33</v>
      </c>
      <c r="F130">
        <v>0.152</v>
      </c>
      <c r="H130" t="str">
        <f>VLOOKUP(Tabla3[[#This Row],[DESCRIPCION MATERIAL]],'CODIGO MAT'!$C$2:$D$390,2,FALSE)</f>
        <v>TEL0000043</v>
      </c>
      <c r="J130">
        <v>1</v>
      </c>
      <c r="K130">
        <v>0</v>
      </c>
      <c r="L130" t="s">
        <v>834</v>
      </c>
      <c r="M130" t="s">
        <v>992</v>
      </c>
      <c r="N130" t="str">
        <f>M130&amp;Tabla3[[#This Row],[CODIGO PRODUCTO TERMINADO]]&amp;"','"&amp;L130&amp;"',"&amp;Tabla3[[#This Row],[CANTIDAD MATERIAL (M)]]&amp;");"</f>
        <v>insert into P_DFORM(CDG_PROD,CDG_CONP,CAN_PROD) VALUES('FP15','TEL0000040',0.152);</v>
      </c>
    </row>
    <row r="131" spans="1:14" x14ac:dyDescent="0.25">
      <c r="A131" t="s">
        <v>56</v>
      </c>
      <c r="B131" t="s">
        <v>21</v>
      </c>
      <c r="C131" t="s">
        <v>25</v>
      </c>
      <c r="D131" t="s">
        <v>50</v>
      </c>
      <c r="E131" s="7" t="s">
        <v>141</v>
      </c>
      <c r="F131">
        <v>0.11</v>
      </c>
      <c r="H131" t="str">
        <f>VLOOKUP(Tabla3[[#This Row],[DESCRIPCION MATERIAL]],'CODIGO MAT'!$C$2:$D$390,2,FALSE)</f>
        <v>TEL0000068</v>
      </c>
      <c r="J131">
        <v>1</v>
      </c>
      <c r="K131">
        <v>0</v>
      </c>
      <c r="L131" t="s">
        <v>835</v>
      </c>
      <c r="M131" t="s">
        <v>992</v>
      </c>
      <c r="N131" t="str">
        <f>M131&amp;Tabla3[[#This Row],[CODIGO PRODUCTO TERMINADO]]&amp;"','"&amp;L131&amp;"',"&amp;Tabla3[[#This Row],[CANTIDAD MATERIAL (M)]]&amp;");"</f>
        <v>insert into P_DFORM(CDG_PROD,CDG_CONP,CAN_PROD) VALUES('FP15','TEL0000041',0.11);</v>
      </c>
    </row>
    <row r="132" spans="1:14" x14ac:dyDescent="0.25">
      <c r="A132" t="s">
        <v>56</v>
      </c>
      <c r="B132" t="s">
        <v>21</v>
      </c>
      <c r="C132" t="s">
        <v>25</v>
      </c>
      <c r="D132" t="s">
        <v>51</v>
      </c>
      <c r="E132" s="7" t="s">
        <v>296</v>
      </c>
      <c r="F132">
        <v>0.51</v>
      </c>
      <c r="H132" t="str">
        <f>VLOOKUP(Tabla3[[#This Row],[DESCRIPCION MATERIAL]],'CODIGO MAT'!$C$2:$D$390,2,FALSE)</f>
        <v>AVI0000039</v>
      </c>
      <c r="J132">
        <v>1</v>
      </c>
      <c r="K132">
        <v>0</v>
      </c>
      <c r="L132" t="s">
        <v>837</v>
      </c>
      <c r="M132" t="s">
        <v>992</v>
      </c>
      <c r="N132" t="str">
        <f>M132&amp;Tabla3[[#This Row],[CODIGO PRODUCTO TERMINADO]]&amp;"','"&amp;L132&amp;"',"&amp;Tabla3[[#This Row],[CANTIDAD MATERIAL (M)]]&amp;");"</f>
        <v>insert into P_DFORM(CDG_PROD,CDG_CONP,CAN_PROD) VALUES('FP15','TEL0000043',0.51);</v>
      </c>
    </row>
    <row r="133" spans="1:14" x14ac:dyDescent="0.25">
      <c r="A133" t="s">
        <v>56</v>
      </c>
      <c r="B133" t="s">
        <v>21</v>
      </c>
      <c r="C133" t="s">
        <v>25</v>
      </c>
      <c r="D133" t="s">
        <v>51</v>
      </c>
      <c r="E133" s="7" t="s">
        <v>34</v>
      </c>
      <c r="F133">
        <v>2.48</v>
      </c>
      <c r="H133" t="str">
        <f>VLOOKUP(Tabla3[[#This Row],[DESCRIPCION MATERIAL]],'CODIGO MAT'!$C$2:$D$390,2,FALSE)</f>
        <v>AVI0000034</v>
      </c>
      <c r="J133">
        <v>1</v>
      </c>
      <c r="K133">
        <v>0</v>
      </c>
      <c r="L133" t="s">
        <v>862</v>
      </c>
      <c r="M133" t="s">
        <v>992</v>
      </c>
      <c r="N133" t="str">
        <f>M133&amp;Tabla3[[#This Row],[CODIGO PRODUCTO TERMINADO]]&amp;"','"&amp;L133&amp;"',"&amp;Tabla3[[#This Row],[CANTIDAD MATERIAL (M)]]&amp;");"</f>
        <v>insert into P_DFORM(CDG_PROD,CDG_CONP,CAN_PROD) VALUES('FP15','TEL0000068',2.48);</v>
      </c>
    </row>
    <row r="134" spans="1:14" x14ac:dyDescent="0.25">
      <c r="A134" t="s">
        <v>56</v>
      </c>
      <c r="B134" t="s">
        <v>21</v>
      </c>
      <c r="C134" t="s">
        <v>25</v>
      </c>
      <c r="D134" t="s">
        <v>51</v>
      </c>
      <c r="E134" s="6" t="s">
        <v>35</v>
      </c>
      <c r="F134">
        <v>1.66</v>
      </c>
      <c r="H134" t="str">
        <f>VLOOKUP(Tabla3[[#This Row],[DESCRIPCION MATERIAL]],'CODIGO MAT'!$C$2:$D$390,2,FALSE)</f>
        <v>AVI0000031</v>
      </c>
      <c r="J134">
        <v>1</v>
      </c>
      <c r="K134">
        <v>0</v>
      </c>
      <c r="L134" t="s">
        <v>671</v>
      </c>
      <c r="M134" t="s">
        <v>992</v>
      </c>
      <c r="N134" t="str">
        <f>M134&amp;Tabla3[[#This Row],[CODIGO PRODUCTO TERMINADO]]&amp;"','"&amp;L134&amp;"',"&amp;Tabla3[[#This Row],[CANTIDAD MATERIAL (M)]]&amp;");"</f>
        <v>insert into P_DFORM(CDG_PROD,CDG_CONP,CAN_PROD) VALUES('FP15','AVI0000039',1.66);</v>
      </c>
    </row>
    <row r="135" spans="1:14" x14ac:dyDescent="0.25">
      <c r="A135" t="s">
        <v>56</v>
      </c>
      <c r="B135" t="s">
        <v>21</v>
      </c>
      <c r="C135" t="s">
        <v>25</v>
      </c>
      <c r="D135" t="s">
        <v>51</v>
      </c>
      <c r="E135" s="4" t="s">
        <v>36</v>
      </c>
      <c r="F135">
        <v>2</v>
      </c>
      <c r="H135" t="str">
        <f>VLOOKUP(Tabla3[[#This Row],[DESCRIPCION MATERIAL]],'CODIGO MAT'!$C$2:$D$390,2,FALSE)</f>
        <v>AVI0000135</v>
      </c>
      <c r="L135" t="s">
        <v>666</v>
      </c>
      <c r="M135" t="s">
        <v>992</v>
      </c>
      <c r="N135" t="str">
        <f>M135&amp;Tabla3[[#This Row],[CODIGO PRODUCTO TERMINADO]]&amp;"','"&amp;L135&amp;"',"&amp;Tabla3[[#This Row],[CANTIDAD MATERIAL (M)]]&amp;");"</f>
        <v>insert into P_DFORM(CDG_PROD,CDG_CONP,CAN_PROD) VALUES('FP15','AVI0000034',2);</v>
      </c>
    </row>
    <row r="136" spans="1:14" x14ac:dyDescent="0.25">
      <c r="A136" t="s">
        <v>56</v>
      </c>
      <c r="B136" t="s">
        <v>21</v>
      </c>
      <c r="C136" t="s">
        <v>25</v>
      </c>
      <c r="D136" t="s">
        <v>50</v>
      </c>
      <c r="E136" s="4" t="s">
        <v>611</v>
      </c>
      <c r="F136">
        <v>1.2E-2</v>
      </c>
      <c r="H136" t="str">
        <f>VLOOKUP(Tabla3[[#This Row],[DESCRIPCION MATERIAL]],'CODIGO MAT'!$C$2:$D$390,2,FALSE)</f>
        <v>TEL0000192</v>
      </c>
      <c r="L136" t="s">
        <v>663</v>
      </c>
      <c r="M136" t="s">
        <v>992</v>
      </c>
      <c r="N136" t="str">
        <f>M136&amp;Tabla3[[#This Row],[CODIGO PRODUCTO TERMINADO]]&amp;"','"&amp;L136&amp;"',"&amp;Tabla3[[#This Row],[CANTIDAD MATERIAL (M)]]&amp;");"</f>
        <v>insert into P_DFORM(CDG_PROD,CDG_CONP,CAN_PROD) VALUES('FP15','AVI0000031',0.012);</v>
      </c>
    </row>
    <row r="137" spans="1:14" x14ac:dyDescent="0.25">
      <c r="A137" t="s">
        <v>56</v>
      </c>
      <c r="B137" t="s">
        <v>21</v>
      </c>
      <c r="C137" t="s">
        <v>25</v>
      </c>
      <c r="D137" t="s">
        <v>51</v>
      </c>
      <c r="E137" s="4" t="s">
        <v>613</v>
      </c>
      <c r="F137">
        <v>0.31</v>
      </c>
      <c r="H137" t="str">
        <f>VLOOKUP(Tabla3[[#This Row],[DESCRIPCION MATERIAL]],'CODIGO MAT'!$C$2:$D$390,2,FALSE)</f>
        <v>AVI0000144</v>
      </c>
      <c r="L137" t="s">
        <v>768</v>
      </c>
      <c r="M137" t="s">
        <v>992</v>
      </c>
      <c r="N137" t="str">
        <f>M137&amp;Tabla3[[#This Row],[CODIGO PRODUCTO TERMINADO]]&amp;"','"&amp;L137&amp;"',"&amp;Tabla3[[#This Row],[CANTIDAD MATERIAL (M)]]&amp;");"</f>
        <v>insert into P_DFORM(CDG_PROD,CDG_CONP,CAN_PROD) VALUES('FP15','AVI0000135',0.31);</v>
      </c>
    </row>
    <row r="138" spans="1:14" x14ac:dyDescent="0.25">
      <c r="A138" t="s">
        <v>57</v>
      </c>
      <c r="B138" t="s">
        <v>21</v>
      </c>
      <c r="C138" t="s">
        <v>26</v>
      </c>
      <c r="D138" t="s">
        <v>50</v>
      </c>
      <c r="E138" s="4" t="s">
        <v>11</v>
      </c>
      <c r="F138">
        <v>8.7999999999999995E-2</v>
      </c>
      <c r="H138" t="str">
        <f>VLOOKUP(Tabla3[[#This Row],[DESCRIPCION MATERIAL]],'CODIGO MAT'!$C$2:$D$390,2,FALSE)</f>
        <v>TEL0000149</v>
      </c>
      <c r="J138">
        <v>1</v>
      </c>
      <c r="K138">
        <v>0</v>
      </c>
      <c r="L138" t="s">
        <v>986</v>
      </c>
      <c r="M138" t="s">
        <v>992</v>
      </c>
      <c r="N138" t="str">
        <f>M138&amp;Tabla3[[#This Row],[CODIGO PRODUCTO TERMINADO]]&amp;"','"&amp;L138&amp;"',"&amp;Tabla3[[#This Row],[CANTIDAD MATERIAL (M)]]&amp;");"</f>
        <v>insert into P_DFORM(CDG_PROD,CDG_CONP,CAN_PROD) VALUES('FP16','TEL0000192',0.088);</v>
      </c>
    </row>
    <row r="139" spans="1:14" x14ac:dyDescent="0.25">
      <c r="A139" t="s">
        <v>57</v>
      </c>
      <c r="B139" t="s">
        <v>21</v>
      </c>
      <c r="C139" t="s">
        <v>26</v>
      </c>
      <c r="D139" t="s">
        <v>50</v>
      </c>
      <c r="E139" s="5" t="s">
        <v>12</v>
      </c>
      <c r="F139">
        <v>0.63</v>
      </c>
      <c r="H139" t="str">
        <f>VLOOKUP(Tabla3[[#This Row],[DESCRIPCION MATERIAL]],'CODIGO MAT'!$C$2:$D$390,2,FALSE)</f>
        <v>TEL0000040</v>
      </c>
      <c r="J139">
        <v>1</v>
      </c>
      <c r="K139">
        <v>0</v>
      </c>
      <c r="L139" t="s">
        <v>988</v>
      </c>
      <c r="M139" t="s">
        <v>992</v>
      </c>
      <c r="N139" t="str">
        <f>M139&amp;Tabla3[[#This Row],[CODIGO PRODUCTO TERMINADO]]&amp;"','"&amp;L139&amp;"',"&amp;Tabla3[[#This Row],[CANTIDAD MATERIAL (M)]]&amp;");"</f>
        <v>insert into P_DFORM(CDG_PROD,CDG_CONP,CAN_PROD) VALUES('FP16','AVI0000144',0.63);</v>
      </c>
    </row>
    <row r="140" spans="1:14" x14ac:dyDescent="0.25">
      <c r="A140" t="s">
        <v>57</v>
      </c>
      <c r="B140" t="s">
        <v>21</v>
      </c>
      <c r="C140" t="s">
        <v>26</v>
      </c>
      <c r="D140" t="s">
        <v>50</v>
      </c>
      <c r="E140" s="5" t="s">
        <v>32</v>
      </c>
      <c r="F140">
        <v>0.68200000000000005</v>
      </c>
      <c r="H140" t="str">
        <f>VLOOKUP(Tabla3[[#This Row],[DESCRIPCION MATERIAL]],'CODIGO MAT'!$C$2:$D$390,2,FALSE)</f>
        <v>TEL0000041</v>
      </c>
      <c r="J140">
        <v>1</v>
      </c>
      <c r="K140">
        <v>0</v>
      </c>
      <c r="L140" t="s">
        <v>943</v>
      </c>
      <c r="M140" t="s">
        <v>992</v>
      </c>
      <c r="N140" t="str">
        <f>M140&amp;Tabla3[[#This Row],[CODIGO PRODUCTO TERMINADO]]&amp;"','"&amp;L140&amp;"',"&amp;Tabla3[[#This Row],[CANTIDAD MATERIAL (M)]]&amp;");"</f>
        <v>insert into P_DFORM(CDG_PROD,CDG_CONP,CAN_PROD) VALUES('FP16','TEL0000149',0.682);</v>
      </c>
    </row>
    <row r="141" spans="1:14" x14ac:dyDescent="0.25">
      <c r="A141" t="s">
        <v>57</v>
      </c>
      <c r="B141" t="s">
        <v>21</v>
      </c>
      <c r="C141" t="s">
        <v>26</v>
      </c>
      <c r="D141" t="s">
        <v>50</v>
      </c>
      <c r="E141" s="2" t="s">
        <v>33</v>
      </c>
      <c r="F141">
        <v>0.17199999999999999</v>
      </c>
      <c r="H141" t="str">
        <f>VLOOKUP(Tabla3[[#This Row],[DESCRIPCION MATERIAL]],'CODIGO MAT'!$C$2:$D$390,2,FALSE)</f>
        <v>TEL0000043</v>
      </c>
      <c r="J141">
        <v>1</v>
      </c>
      <c r="K141">
        <v>0</v>
      </c>
      <c r="L141" t="s">
        <v>834</v>
      </c>
      <c r="M141" t="s">
        <v>992</v>
      </c>
      <c r="N141" t="str">
        <f>M141&amp;Tabla3[[#This Row],[CODIGO PRODUCTO TERMINADO]]&amp;"','"&amp;L141&amp;"',"&amp;Tabla3[[#This Row],[CANTIDAD MATERIAL (M)]]&amp;");"</f>
        <v>insert into P_DFORM(CDG_PROD,CDG_CONP,CAN_PROD) VALUES('FP16','TEL0000040',0.172);</v>
      </c>
    </row>
    <row r="142" spans="1:14" x14ac:dyDescent="0.25">
      <c r="A142" t="s">
        <v>57</v>
      </c>
      <c r="B142" t="s">
        <v>21</v>
      </c>
      <c r="C142" t="s">
        <v>26</v>
      </c>
      <c r="D142" t="s">
        <v>50</v>
      </c>
      <c r="E142" s="7" t="s">
        <v>141</v>
      </c>
      <c r="F142">
        <v>0.11</v>
      </c>
      <c r="H142" t="str">
        <f>VLOOKUP(Tabla3[[#This Row],[DESCRIPCION MATERIAL]],'CODIGO MAT'!$C$2:$D$390,2,FALSE)</f>
        <v>TEL0000068</v>
      </c>
      <c r="J142">
        <v>1</v>
      </c>
      <c r="K142">
        <v>0</v>
      </c>
      <c r="L142" t="s">
        <v>835</v>
      </c>
      <c r="M142" t="s">
        <v>992</v>
      </c>
      <c r="N142" t="str">
        <f>M142&amp;Tabla3[[#This Row],[CODIGO PRODUCTO TERMINADO]]&amp;"','"&amp;L142&amp;"',"&amp;Tabla3[[#This Row],[CANTIDAD MATERIAL (M)]]&amp;");"</f>
        <v>insert into P_DFORM(CDG_PROD,CDG_CONP,CAN_PROD) VALUES('FP16','TEL0000041',0.11);</v>
      </c>
    </row>
    <row r="143" spans="1:14" x14ac:dyDescent="0.25">
      <c r="A143" t="s">
        <v>57</v>
      </c>
      <c r="B143" t="s">
        <v>21</v>
      </c>
      <c r="C143" t="s">
        <v>26</v>
      </c>
      <c r="D143" t="s">
        <v>51</v>
      </c>
      <c r="E143" s="7" t="s">
        <v>296</v>
      </c>
      <c r="F143">
        <v>0.51</v>
      </c>
      <c r="H143" t="str">
        <f>VLOOKUP(Tabla3[[#This Row],[DESCRIPCION MATERIAL]],'CODIGO MAT'!$C$2:$D$390,2,FALSE)</f>
        <v>AVI0000039</v>
      </c>
      <c r="J143">
        <v>1</v>
      </c>
      <c r="K143">
        <v>0</v>
      </c>
      <c r="L143" t="s">
        <v>837</v>
      </c>
      <c r="M143" t="s">
        <v>992</v>
      </c>
      <c r="N143" t="str">
        <f>M143&amp;Tabla3[[#This Row],[CODIGO PRODUCTO TERMINADO]]&amp;"','"&amp;L143&amp;"',"&amp;Tabla3[[#This Row],[CANTIDAD MATERIAL (M)]]&amp;");"</f>
        <v>insert into P_DFORM(CDG_PROD,CDG_CONP,CAN_PROD) VALUES('FP16','TEL0000043',0.51);</v>
      </c>
    </row>
    <row r="144" spans="1:14" x14ac:dyDescent="0.25">
      <c r="A144" t="s">
        <v>57</v>
      </c>
      <c r="B144" t="s">
        <v>21</v>
      </c>
      <c r="C144" t="s">
        <v>26</v>
      </c>
      <c r="D144" t="s">
        <v>51</v>
      </c>
      <c r="E144" s="7" t="s">
        <v>34</v>
      </c>
      <c r="F144">
        <v>2.6</v>
      </c>
      <c r="H144" t="str">
        <f>VLOOKUP(Tabla3[[#This Row],[DESCRIPCION MATERIAL]],'CODIGO MAT'!$C$2:$D$390,2,FALSE)</f>
        <v>AVI0000034</v>
      </c>
      <c r="J144">
        <v>1</v>
      </c>
      <c r="K144">
        <v>0</v>
      </c>
      <c r="L144" t="s">
        <v>862</v>
      </c>
      <c r="M144" t="s">
        <v>992</v>
      </c>
      <c r="N144" t="str">
        <f>M144&amp;Tabla3[[#This Row],[CODIGO PRODUCTO TERMINADO]]&amp;"','"&amp;L144&amp;"',"&amp;Tabla3[[#This Row],[CANTIDAD MATERIAL (M)]]&amp;");"</f>
        <v>insert into P_DFORM(CDG_PROD,CDG_CONP,CAN_PROD) VALUES('FP16','TEL0000068',2.6);</v>
      </c>
    </row>
    <row r="145" spans="1:14" x14ac:dyDescent="0.25">
      <c r="A145" t="s">
        <v>57</v>
      </c>
      <c r="B145" t="s">
        <v>21</v>
      </c>
      <c r="C145" t="s">
        <v>26</v>
      </c>
      <c r="D145" t="s">
        <v>51</v>
      </c>
      <c r="E145" s="6" t="s">
        <v>35</v>
      </c>
      <c r="F145">
        <v>1.89</v>
      </c>
      <c r="H145" t="str">
        <f>VLOOKUP(Tabla3[[#This Row],[DESCRIPCION MATERIAL]],'CODIGO MAT'!$C$2:$D$390,2,FALSE)</f>
        <v>AVI0000031</v>
      </c>
      <c r="J145">
        <v>1</v>
      </c>
      <c r="K145">
        <v>0</v>
      </c>
      <c r="L145" t="s">
        <v>671</v>
      </c>
      <c r="M145" t="s">
        <v>992</v>
      </c>
      <c r="N145" t="str">
        <f>M145&amp;Tabla3[[#This Row],[CODIGO PRODUCTO TERMINADO]]&amp;"','"&amp;L145&amp;"',"&amp;Tabla3[[#This Row],[CANTIDAD MATERIAL (M)]]&amp;");"</f>
        <v>insert into P_DFORM(CDG_PROD,CDG_CONP,CAN_PROD) VALUES('FP16','AVI0000039',1.89);</v>
      </c>
    </row>
    <row r="146" spans="1:14" x14ac:dyDescent="0.25">
      <c r="A146" t="s">
        <v>57</v>
      </c>
      <c r="B146" t="s">
        <v>21</v>
      </c>
      <c r="C146" t="s">
        <v>26</v>
      </c>
      <c r="D146" t="s">
        <v>51</v>
      </c>
      <c r="E146" s="4" t="s">
        <v>36</v>
      </c>
      <c r="F146">
        <v>3</v>
      </c>
      <c r="H146" t="str">
        <f>VLOOKUP(Tabla3[[#This Row],[DESCRIPCION MATERIAL]],'CODIGO MAT'!$C$2:$D$390,2,FALSE)</f>
        <v>AVI0000135</v>
      </c>
      <c r="L146" t="s">
        <v>666</v>
      </c>
      <c r="M146" t="s">
        <v>992</v>
      </c>
      <c r="N146" t="str">
        <f>M146&amp;Tabla3[[#This Row],[CODIGO PRODUCTO TERMINADO]]&amp;"','"&amp;L146&amp;"',"&amp;Tabla3[[#This Row],[CANTIDAD MATERIAL (M)]]&amp;");"</f>
        <v>insert into P_DFORM(CDG_PROD,CDG_CONP,CAN_PROD) VALUES('FP16','AVI0000034',3);</v>
      </c>
    </row>
    <row r="147" spans="1:14" x14ac:dyDescent="0.25">
      <c r="A147" t="s">
        <v>57</v>
      </c>
      <c r="B147" t="s">
        <v>21</v>
      </c>
      <c r="C147" t="s">
        <v>26</v>
      </c>
      <c r="D147" t="s">
        <v>50</v>
      </c>
      <c r="E147" s="4" t="s">
        <v>611</v>
      </c>
      <c r="F147">
        <v>1.2E-2</v>
      </c>
      <c r="H147" t="str">
        <f>VLOOKUP(Tabla3[[#This Row],[DESCRIPCION MATERIAL]],'CODIGO MAT'!$C$2:$D$390,2,FALSE)</f>
        <v>TEL0000192</v>
      </c>
      <c r="L147" t="s">
        <v>663</v>
      </c>
      <c r="M147" t="s">
        <v>992</v>
      </c>
      <c r="N147" t="str">
        <f>M147&amp;Tabla3[[#This Row],[CODIGO PRODUCTO TERMINADO]]&amp;"','"&amp;L147&amp;"',"&amp;Tabla3[[#This Row],[CANTIDAD MATERIAL (M)]]&amp;");"</f>
        <v>insert into P_DFORM(CDG_PROD,CDG_CONP,CAN_PROD) VALUES('FP16','AVI0000031',0.012);</v>
      </c>
    </row>
    <row r="148" spans="1:14" x14ac:dyDescent="0.25">
      <c r="A148" t="s">
        <v>57</v>
      </c>
      <c r="B148" t="s">
        <v>21</v>
      </c>
      <c r="C148" t="s">
        <v>26</v>
      </c>
      <c r="D148" t="s">
        <v>51</v>
      </c>
      <c r="E148" s="4" t="s">
        <v>613</v>
      </c>
      <c r="F148">
        <v>0.31</v>
      </c>
      <c r="H148" t="str">
        <f>VLOOKUP(Tabla3[[#This Row],[DESCRIPCION MATERIAL]],'CODIGO MAT'!$C$2:$D$390,2,FALSE)</f>
        <v>AVI0000144</v>
      </c>
      <c r="L148" t="s">
        <v>768</v>
      </c>
      <c r="M148" t="s">
        <v>992</v>
      </c>
      <c r="N148" t="str">
        <f>M148&amp;Tabla3[[#This Row],[CODIGO PRODUCTO TERMINADO]]&amp;"','"&amp;L148&amp;"',"&amp;Tabla3[[#This Row],[CANTIDAD MATERIAL (M)]]&amp;");"</f>
        <v>insert into P_DFORM(CDG_PROD,CDG_CONP,CAN_PROD) VALUES('FP16','AVI0000135',0.31);</v>
      </c>
    </row>
    <row r="149" spans="1:14" x14ac:dyDescent="0.25">
      <c r="A149" t="s">
        <v>58</v>
      </c>
      <c r="B149" t="s">
        <v>21</v>
      </c>
      <c r="C149" t="s">
        <v>27</v>
      </c>
      <c r="D149" t="s">
        <v>50</v>
      </c>
      <c r="E149" s="4" t="s">
        <v>11</v>
      </c>
      <c r="F149">
        <v>8.7999999999999995E-2</v>
      </c>
      <c r="H149" t="str">
        <f>VLOOKUP(Tabla3[[#This Row],[DESCRIPCION MATERIAL]],'CODIGO MAT'!$C$2:$D$390,2,FALSE)</f>
        <v>TEL0000149</v>
      </c>
      <c r="J149">
        <v>1</v>
      </c>
      <c r="K149">
        <v>0</v>
      </c>
      <c r="L149" t="s">
        <v>986</v>
      </c>
      <c r="M149" t="s">
        <v>992</v>
      </c>
      <c r="N149" t="str">
        <f>M149&amp;Tabla3[[#This Row],[CODIGO PRODUCTO TERMINADO]]&amp;"','"&amp;L149&amp;"',"&amp;Tabla3[[#This Row],[CANTIDAD MATERIAL (M)]]&amp;");"</f>
        <v>insert into P_DFORM(CDG_PROD,CDG_CONP,CAN_PROD) VALUES('FP17','TEL0000192',0.088);</v>
      </c>
    </row>
    <row r="150" spans="1:14" x14ac:dyDescent="0.25">
      <c r="A150" t="s">
        <v>58</v>
      </c>
      <c r="B150" t="s">
        <v>21</v>
      </c>
      <c r="C150" t="s">
        <v>27</v>
      </c>
      <c r="D150" t="s">
        <v>50</v>
      </c>
      <c r="E150" s="5" t="s">
        <v>12</v>
      </c>
      <c r="F150">
        <v>0.72099999999999997</v>
      </c>
      <c r="H150" t="str">
        <f>VLOOKUP(Tabla3[[#This Row],[DESCRIPCION MATERIAL]],'CODIGO MAT'!$C$2:$D$390,2,FALSE)</f>
        <v>TEL0000040</v>
      </c>
      <c r="J150">
        <v>1</v>
      </c>
      <c r="K150">
        <v>0</v>
      </c>
      <c r="L150" t="s">
        <v>988</v>
      </c>
      <c r="M150" t="s">
        <v>992</v>
      </c>
      <c r="N150" t="str">
        <f>M150&amp;Tabla3[[#This Row],[CODIGO PRODUCTO TERMINADO]]&amp;"','"&amp;L150&amp;"',"&amp;Tabla3[[#This Row],[CANTIDAD MATERIAL (M)]]&amp;");"</f>
        <v>insert into P_DFORM(CDG_PROD,CDG_CONP,CAN_PROD) VALUES('FP17','AVI0000144',0.721);</v>
      </c>
    </row>
    <row r="151" spans="1:14" x14ac:dyDescent="0.25">
      <c r="A151" t="s">
        <v>58</v>
      </c>
      <c r="B151" t="s">
        <v>21</v>
      </c>
      <c r="C151" t="s">
        <v>27</v>
      </c>
      <c r="D151" t="s">
        <v>50</v>
      </c>
      <c r="E151" s="5" t="s">
        <v>32</v>
      </c>
      <c r="F151">
        <v>0.73399999999999999</v>
      </c>
      <c r="H151" t="str">
        <f>VLOOKUP(Tabla3[[#This Row],[DESCRIPCION MATERIAL]],'CODIGO MAT'!$C$2:$D$390,2,FALSE)</f>
        <v>TEL0000041</v>
      </c>
      <c r="J151">
        <v>1</v>
      </c>
      <c r="K151">
        <v>0</v>
      </c>
      <c r="L151" t="s">
        <v>943</v>
      </c>
      <c r="M151" t="s">
        <v>992</v>
      </c>
      <c r="N151" t="str">
        <f>M151&amp;Tabla3[[#This Row],[CODIGO PRODUCTO TERMINADO]]&amp;"','"&amp;L151&amp;"',"&amp;Tabla3[[#This Row],[CANTIDAD MATERIAL (M)]]&amp;");"</f>
        <v>insert into P_DFORM(CDG_PROD,CDG_CONP,CAN_PROD) VALUES('FP17','TEL0000149',0.734);</v>
      </c>
    </row>
    <row r="152" spans="1:14" x14ac:dyDescent="0.25">
      <c r="A152" t="s">
        <v>58</v>
      </c>
      <c r="B152" t="s">
        <v>21</v>
      </c>
      <c r="C152" t="s">
        <v>27</v>
      </c>
      <c r="D152" t="s">
        <v>50</v>
      </c>
      <c r="E152" s="2" t="s">
        <v>33</v>
      </c>
      <c r="F152">
        <v>0.17499999999999999</v>
      </c>
      <c r="H152" t="str">
        <f>VLOOKUP(Tabla3[[#This Row],[DESCRIPCION MATERIAL]],'CODIGO MAT'!$C$2:$D$390,2,FALSE)</f>
        <v>TEL0000043</v>
      </c>
      <c r="J152">
        <v>1</v>
      </c>
      <c r="K152">
        <v>0</v>
      </c>
      <c r="L152" t="s">
        <v>834</v>
      </c>
      <c r="M152" t="s">
        <v>992</v>
      </c>
      <c r="N152" t="str">
        <f>M152&amp;Tabla3[[#This Row],[CODIGO PRODUCTO TERMINADO]]&amp;"','"&amp;L152&amp;"',"&amp;Tabla3[[#This Row],[CANTIDAD MATERIAL (M)]]&amp;");"</f>
        <v>insert into P_DFORM(CDG_PROD,CDG_CONP,CAN_PROD) VALUES('FP17','TEL0000040',0.175);</v>
      </c>
    </row>
    <row r="153" spans="1:14" x14ac:dyDescent="0.25">
      <c r="A153" t="s">
        <v>58</v>
      </c>
      <c r="B153" t="s">
        <v>21</v>
      </c>
      <c r="C153" t="s">
        <v>27</v>
      </c>
      <c r="D153" t="s">
        <v>50</v>
      </c>
      <c r="E153" s="7" t="s">
        <v>141</v>
      </c>
      <c r="F153">
        <v>0.11</v>
      </c>
      <c r="H153" t="str">
        <f>VLOOKUP(Tabla3[[#This Row],[DESCRIPCION MATERIAL]],'CODIGO MAT'!$C$2:$D$390,2,FALSE)</f>
        <v>TEL0000068</v>
      </c>
      <c r="J153">
        <v>1</v>
      </c>
      <c r="K153">
        <v>0</v>
      </c>
      <c r="L153" t="s">
        <v>835</v>
      </c>
      <c r="M153" t="s">
        <v>992</v>
      </c>
      <c r="N153" t="str">
        <f>M153&amp;Tabla3[[#This Row],[CODIGO PRODUCTO TERMINADO]]&amp;"','"&amp;L153&amp;"',"&amp;Tabla3[[#This Row],[CANTIDAD MATERIAL (M)]]&amp;");"</f>
        <v>insert into P_DFORM(CDG_PROD,CDG_CONP,CAN_PROD) VALUES('FP17','TEL0000041',0.11);</v>
      </c>
    </row>
    <row r="154" spans="1:14" x14ac:dyDescent="0.25">
      <c r="A154" t="s">
        <v>58</v>
      </c>
      <c r="B154" t="s">
        <v>21</v>
      </c>
      <c r="C154" t="s">
        <v>27</v>
      </c>
      <c r="D154" t="s">
        <v>51</v>
      </c>
      <c r="E154" s="7" t="s">
        <v>296</v>
      </c>
      <c r="F154">
        <v>0.51</v>
      </c>
      <c r="H154" t="str">
        <f>VLOOKUP(Tabla3[[#This Row],[DESCRIPCION MATERIAL]],'CODIGO MAT'!$C$2:$D$390,2,FALSE)</f>
        <v>AVI0000039</v>
      </c>
      <c r="J154">
        <v>1</v>
      </c>
      <c r="K154">
        <v>0</v>
      </c>
      <c r="L154" t="s">
        <v>837</v>
      </c>
      <c r="M154" t="s">
        <v>992</v>
      </c>
      <c r="N154" t="str">
        <f>M154&amp;Tabla3[[#This Row],[CODIGO PRODUCTO TERMINADO]]&amp;"','"&amp;L154&amp;"',"&amp;Tabla3[[#This Row],[CANTIDAD MATERIAL (M)]]&amp;");"</f>
        <v>insert into P_DFORM(CDG_PROD,CDG_CONP,CAN_PROD) VALUES('FP17','TEL0000043',0.51);</v>
      </c>
    </row>
    <row r="155" spans="1:14" x14ac:dyDescent="0.25">
      <c r="A155" t="s">
        <v>58</v>
      </c>
      <c r="B155" t="s">
        <v>21</v>
      </c>
      <c r="C155" t="s">
        <v>27</v>
      </c>
      <c r="D155" t="s">
        <v>51</v>
      </c>
      <c r="E155" s="7" t="s">
        <v>34</v>
      </c>
      <c r="F155">
        <v>2.68</v>
      </c>
      <c r="H155" t="str">
        <f>VLOOKUP(Tabla3[[#This Row],[DESCRIPCION MATERIAL]],'CODIGO MAT'!$C$2:$D$390,2,FALSE)</f>
        <v>AVI0000034</v>
      </c>
      <c r="J155">
        <v>1</v>
      </c>
      <c r="K155">
        <v>0</v>
      </c>
      <c r="L155" t="s">
        <v>862</v>
      </c>
      <c r="M155" t="s">
        <v>992</v>
      </c>
      <c r="N155" t="str">
        <f>M155&amp;Tabla3[[#This Row],[CODIGO PRODUCTO TERMINADO]]&amp;"','"&amp;L155&amp;"',"&amp;Tabla3[[#This Row],[CANTIDAD MATERIAL (M)]]&amp;");"</f>
        <v>insert into P_DFORM(CDG_PROD,CDG_CONP,CAN_PROD) VALUES('FP17','TEL0000068',2.68);</v>
      </c>
    </row>
    <row r="156" spans="1:14" x14ac:dyDescent="0.25">
      <c r="A156" t="s">
        <v>58</v>
      </c>
      <c r="B156" t="s">
        <v>21</v>
      </c>
      <c r="C156" t="s">
        <v>27</v>
      </c>
      <c r="D156" t="s">
        <v>51</v>
      </c>
      <c r="E156" s="6" t="s">
        <v>35</v>
      </c>
      <c r="F156">
        <v>1.89</v>
      </c>
      <c r="H156" t="str">
        <f>VLOOKUP(Tabla3[[#This Row],[DESCRIPCION MATERIAL]],'CODIGO MAT'!$C$2:$D$390,2,FALSE)</f>
        <v>AVI0000031</v>
      </c>
      <c r="J156">
        <v>1</v>
      </c>
      <c r="K156">
        <v>0</v>
      </c>
      <c r="L156" t="s">
        <v>671</v>
      </c>
      <c r="M156" t="s">
        <v>992</v>
      </c>
      <c r="N156" t="str">
        <f>M156&amp;Tabla3[[#This Row],[CODIGO PRODUCTO TERMINADO]]&amp;"','"&amp;L156&amp;"',"&amp;Tabla3[[#This Row],[CANTIDAD MATERIAL (M)]]&amp;");"</f>
        <v>insert into P_DFORM(CDG_PROD,CDG_CONP,CAN_PROD) VALUES('FP17','AVI0000039',1.89);</v>
      </c>
    </row>
    <row r="157" spans="1:14" x14ac:dyDescent="0.25">
      <c r="A157" t="s">
        <v>58</v>
      </c>
      <c r="B157" t="s">
        <v>21</v>
      </c>
      <c r="C157" t="s">
        <v>27</v>
      </c>
      <c r="D157" t="s">
        <v>51</v>
      </c>
      <c r="E157" s="4" t="s">
        <v>36</v>
      </c>
      <c r="F157">
        <v>3</v>
      </c>
      <c r="H157" t="str">
        <f>VLOOKUP(Tabla3[[#This Row],[DESCRIPCION MATERIAL]],'CODIGO MAT'!$C$2:$D$390,2,FALSE)</f>
        <v>AVI0000135</v>
      </c>
      <c r="L157" t="s">
        <v>666</v>
      </c>
      <c r="M157" t="s">
        <v>992</v>
      </c>
      <c r="N157" t="str">
        <f>M157&amp;Tabla3[[#This Row],[CODIGO PRODUCTO TERMINADO]]&amp;"','"&amp;L157&amp;"',"&amp;Tabla3[[#This Row],[CANTIDAD MATERIAL (M)]]&amp;");"</f>
        <v>insert into P_DFORM(CDG_PROD,CDG_CONP,CAN_PROD) VALUES('FP17','AVI0000034',3);</v>
      </c>
    </row>
    <row r="158" spans="1:14" x14ac:dyDescent="0.25">
      <c r="A158" t="s">
        <v>58</v>
      </c>
      <c r="B158" t="s">
        <v>21</v>
      </c>
      <c r="C158" t="s">
        <v>27</v>
      </c>
      <c r="D158" t="s">
        <v>50</v>
      </c>
      <c r="E158" s="4" t="s">
        <v>611</v>
      </c>
      <c r="F158">
        <v>1.2E-2</v>
      </c>
      <c r="H158" t="str">
        <f>VLOOKUP(Tabla3[[#This Row],[DESCRIPCION MATERIAL]],'CODIGO MAT'!$C$2:$D$390,2,FALSE)</f>
        <v>TEL0000192</v>
      </c>
      <c r="L158" t="s">
        <v>663</v>
      </c>
      <c r="M158" t="s">
        <v>992</v>
      </c>
      <c r="N158" t="str">
        <f>M158&amp;Tabla3[[#This Row],[CODIGO PRODUCTO TERMINADO]]&amp;"','"&amp;L158&amp;"',"&amp;Tabla3[[#This Row],[CANTIDAD MATERIAL (M)]]&amp;");"</f>
        <v>insert into P_DFORM(CDG_PROD,CDG_CONP,CAN_PROD) VALUES('FP17','AVI0000031',0.012);</v>
      </c>
    </row>
    <row r="159" spans="1:14" x14ac:dyDescent="0.25">
      <c r="A159" t="s">
        <v>58</v>
      </c>
      <c r="B159" t="s">
        <v>21</v>
      </c>
      <c r="C159" t="s">
        <v>27</v>
      </c>
      <c r="D159" t="s">
        <v>51</v>
      </c>
      <c r="E159" s="4" t="s">
        <v>613</v>
      </c>
      <c r="F159">
        <v>0.31</v>
      </c>
      <c r="H159" t="str">
        <f>VLOOKUP(Tabla3[[#This Row],[DESCRIPCION MATERIAL]],'CODIGO MAT'!$C$2:$D$390,2,FALSE)</f>
        <v>AVI0000144</v>
      </c>
      <c r="L159" t="s">
        <v>768</v>
      </c>
      <c r="M159" t="s">
        <v>992</v>
      </c>
      <c r="N159" t="str">
        <f>M159&amp;Tabla3[[#This Row],[CODIGO PRODUCTO TERMINADO]]&amp;"','"&amp;L159&amp;"',"&amp;Tabla3[[#This Row],[CANTIDAD MATERIAL (M)]]&amp;");"</f>
        <v>insert into P_DFORM(CDG_PROD,CDG_CONP,CAN_PROD) VALUES('FP17','AVI0000135',0.31);</v>
      </c>
    </row>
    <row r="160" spans="1:14" x14ac:dyDescent="0.25">
      <c r="A160" t="s">
        <v>59</v>
      </c>
      <c r="B160" t="s">
        <v>21</v>
      </c>
      <c r="C160" t="s">
        <v>28</v>
      </c>
      <c r="D160" t="s">
        <v>50</v>
      </c>
      <c r="E160" s="4" t="s">
        <v>11</v>
      </c>
      <c r="F160">
        <v>8.7999999999999995E-2</v>
      </c>
      <c r="H160" t="str">
        <f>VLOOKUP(Tabla3[[#This Row],[DESCRIPCION MATERIAL]],'CODIGO MAT'!$C$2:$D$390,2,FALSE)</f>
        <v>TEL0000149</v>
      </c>
      <c r="J160">
        <v>1</v>
      </c>
      <c r="K160">
        <v>0</v>
      </c>
      <c r="L160" t="s">
        <v>986</v>
      </c>
      <c r="M160" t="s">
        <v>992</v>
      </c>
      <c r="N160" t="str">
        <f>M160&amp;Tabla3[[#This Row],[CODIGO PRODUCTO TERMINADO]]&amp;"','"&amp;L160&amp;"',"&amp;Tabla3[[#This Row],[CANTIDAD MATERIAL (M)]]&amp;");"</f>
        <v>insert into P_DFORM(CDG_PROD,CDG_CONP,CAN_PROD) VALUES('FP18','TEL0000192',0.088);</v>
      </c>
    </row>
    <row r="161" spans="1:14" x14ac:dyDescent="0.25">
      <c r="A161" t="s">
        <v>59</v>
      </c>
      <c r="B161" t="s">
        <v>21</v>
      </c>
      <c r="C161" t="s">
        <v>28</v>
      </c>
      <c r="D161" t="s">
        <v>50</v>
      </c>
      <c r="E161" s="5" t="s">
        <v>12</v>
      </c>
      <c r="F161">
        <v>0.77200000000000002</v>
      </c>
      <c r="H161" t="str">
        <f>VLOOKUP(Tabla3[[#This Row],[DESCRIPCION MATERIAL]],'CODIGO MAT'!$C$2:$D$390,2,FALSE)</f>
        <v>TEL0000040</v>
      </c>
      <c r="J161">
        <v>1</v>
      </c>
      <c r="K161">
        <v>0</v>
      </c>
      <c r="L161" t="s">
        <v>988</v>
      </c>
      <c r="M161" t="s">
        <v>992</v>
      </c>
      <c r="N161" t="str">
        <f>M161&amp;Tabla3[[#This Row],[CODIGO PRODUCTO TERMINADO]]&amp;"','"&amp;L161&amp;"',"&amp;Tabla3[[#This Row],[CANTIDAD MATERIAL (M)]]&amp;");"</f>
        <v>insert into P_DFORM(CDG_PROD,CDG_CONP,CAN_PROD) VALUES('FP18','AVI0000144',0.772);</v>
      </c>
    </row>
    <row r="162" spans="1:14" x14ac:dyDescent="0.25">
      <c r="A162" t="s">
        <v>59</v>
      </c>
      <c r="B162" t="s">
        <v>21</v>
      </c>
      <c r="C162" t="s">
        <v>28</v>
      </c>
      <c r="D162" t="s">
        <v>50</v>
      </c>
      <c r="E162" s="5" t="s">
        <v>32</v>
      </c>
      <c r="F162">
        <v>0.79400000000000004</v>
      </c>
      <c r="H162" t="str">
        <f>VLOOKUP(Tabla3[[#This Row],[DESCRIPCION MATERIAL]],'CODIGO MAT'!$C$2:$D$390,2,FALSE)</f>
        <v>TEL0000041</v>
      </c>
      <c r="J162">
        <v>1</v>
      </c>
      <c r="K162">
        <v>0</v>
      </c>
      <c r="L162" t="s">
        <v>943</v>
      </c>
      <c r="M162" t="s">
        <v>992</v>
      </c>
      <c r="N162" t="str">
        <f>M162&amp;Tabla3[[#This Row],[CODIGO PRODUCTO TERMINADO]]&amp;"','"&amp;L162&amp;"',"&amp;Tabla3[[#This Row],[CANTIDAD MATERIAL (M)]]&amp;");"</f>
        <v>insert into P_DFORM(CDG_PROD,CDG_CONP,CAN_PROD) VALUES('FP18','TEL0000149',0.794);</v>
      </c>
    </row>
    <row r="163" spans="1:14" x14ac:dyDescent="0.25">
      <c r="A163" t="s">
        <v>59</v>
      </c>
      <c r="B163" t="s">
        <v>21</v>
      </c>
      <c r="C163" t="s">
        <v>28</v>
      </c>
      <c r="D163" t="s">
        <v>50</v>
      </c>
      <c r="E163" s="2" t="s">
        <v>33</v>
      </c>
      <c r="F163">
        <v>0.18</v>
      </c>
      <c r="H163" t="str">
        <f>VLOOKUP(Tabla3[[#This Row],[DESCRIPCION MATERIAL]],'CODIGO MAT'!$C$2:$D$390,2,FALSE)</f>
        <v>TEL0000043</v>
      </c>
      <c r="J163">
        <v>1</v>
      </c>
      <c r="K163">
        <v>0</v>
      </c>
      <c r="L163" t="s">
        <v>834</v>
      </c>
      <c r="M163" t="s">
        <v>992</v>
      </c>
      <c r="N163" t="str">
        <f>M163&amp;Tabla3[[#This Row],[CODIGO PRODUCTO TERMINADO]]&amp;"','"&amp;L163&amp;"',"&amp;Tabla3[[#This Row],[CANTIDAD MATERIAL (M)]]&amp;");"</f>
        <v>insert into P_DFORM(CDG_PROD,CDG_CONP,CAN_PROD) VALUES('FP18','TEL0000040',0.18);</v>
      </c>
    </row>
    <row r="164" spans="1:14" x14ac:dyDescent="0.25">
      <c r="A164" t="s">
        <v>59</v>
      </c>
      <c r="B164" t="s">
        <v>21</v>
      </c>
      <c r="C164" t="s">
        <v>28</v>
      </c>
      <c r="D164" t="s">
        <v>50</v>
      </c>
      <c r="E164" s="7" t="s">
        <v>141</v>
      </c>
      <c r="F164">
        <v>0.11</v>
      </c>
      <c r="H164" t="str">
        <f>VLOOKUP(Tabla3[[#This Row],[DESCRIPCION MATERIAL]],'CODIGO MAT'!$C$2:$D$390,2,FALSE)</f>
        <v>TEL0000068</v>
      </c>
      <c r="J164">
        <v>1</v>
      </c>
      <c r="K164">
        <v>0</v>
      </c>
      <c r="L164" t="s">
        <v>835</v>
      </c>
      <c r="M164" t="s">
        <v>992</v>
      </c>
      <c r="N164" t="str">
        <f>M164&amp;Tabla3[[#This Row],[CODIGO PRODUCTO TERMINADO]]&amp;"','"&amp;L164&amp;"',"&amp;Tabla3[[#This Row],[CANTIDAD MATERIAL (M)]]&amp;");"</f>
        <v>insert into P_DFORM(CDG_PROD,CDG_CONP,CAN_PROD) VALUES('FP18','TEL0000041',0.11);</v>
      </c>
    </row>
    <row r="165" spans="1:14" x14ac:dyDescent="0.25">
      <c r="A165" t="s">
        <v>59</v>
      </c>
      <c r="B165" t="s">
        <v>21</v>
      </c>
      <c r="C165" t="s">
        <v>28</v>
      </c>
      <c r="D165" t="s">
        <v>51</v>
      </c>
      <c r="E165" s="7" t="s">
        <v>296</v>
      </c>
      <c r="F165">
        <v>0.51</v>
      </c>
      <c r="H165" t="str">
        <f>VLOOKUP(Tabla3[[#This Row],[DESCRIPCION MATERIAL]],'CODIGO MAT'!$C$2:$D$390,2,FALSE)</f>
        <v>AVI0000039</v>
      </c>
      <c r="J165">
        <v>1</v>
      </c>
      <c r="K165">
        <v>0</v>
      </c>
      <c r="L165" t="s">
        <v>837</v>
      </c>
      <c r="M165" t="s">
        <v>992</v>
      </c>
      <c r="N165" t="str">
        <f>M165&amp;Tabla3[[#This Row],[CODIGO PRODUCTO TERMINADO]]&amp;"','"&amp;L165&amp;"',"&amp;Tabla3[[#This Row],[CANTIDAD MATERIAL (M)]]&amp;");"</f>
        <v>insert into P_DFORM(CDG_PROD,CDG_CONP,CAN_PROD) VALUES('FP18','TEL0000043',0.51);</v>
      </c>
    </row>
    <row r="166" spans="1:14" x14ac:dyDescent="0.25">
      <c r="A166" t="s">
        <v>59</v>
      </c>
      <c r="B166" t="s">
        <v>21</v>
      </c>
      <c r="C166" t="s">
        <v>28</v>
      </c>
      <c r="D166" t="s">
        <v>51</v>
      </c>
      <c r="E166" s="7" t="s">
        <v>34</v>
      </c>
      <c r="F166">
        <v>2.79</v>
      </c>
      <c r="H166" t="str">
        <f>VLOOKUP(Tabla3[[#This Row],[DESCRIPCION MATERIAL]],'CODIGO MAT'!$C$2:$D$390,2,FALSE)</f>
        <v>AVI0000034</v>
      </c>
      <c r="J166">
        <v>1</v>
      </c>
      <c r="K166">
        <v>0</v>
      </c>
      <c r="L166" t="s">
        <v>862</v>
      </c>
      <c r="M166" t="s">
        <v>992</v>
      </c>
      <c r="N166" t="str">
        <f>M166&amp;Tabla3[[#This Row],[CODIGO PRODUCTO TERMINADO]]&amp;"','"&amp;L166&amp;"',"&amp;Tabla3[[#This Row],[CANTIDAD MATERIAL (M)]]&amp;");"</f>
        <v>insert into P_DFORM(CDG_PROD,CDG_CONP,CAN_PROD) VALUES('FP18','TEL0000068',2.79);</v>
      </c>
    </row>
    <row r="167" spans="1:14" x14ac:dyDescent="0.25">
      <c r="A167" t="s">
        <v>59</v>
      </c>
      <c r="B167" t="s">
        <v>21</v>
      </c>
      <c r="C167" t="s">
        <v>28</v>
      </c>
      <c r="D167" t="s">
        <v>51</v>
      </c>
      <c r="E167" s="6" t="s">
        <v>35</v>
      </c>
      <c r="F167">
        <v>1.89</v>
      </c>
      <c r="H167" t="str">
        <f>VLOOKUP(Tabla3[[#This Row],[DESCRIPCION MATERIAL]],'CODIGO MAT'!$C$2:$D$390,2,FALSE)</f>
        <v>AVI0000031</v>
      </c>
      <c r="J167">
        <v>1</v>
      </c>
      <c r="K167">
        <v>0</v>
      </c>
      <c r="L167" t="s">
        <v>671</v>
      </c>
      <c r="M167" t="s">
        <v>992</v>
      </c>
      <c r="N167" t="str">
        <f>M167&amp;Tabla3[[#This Row],[CODIGO PRODUCTO TERMINADO]]&amp;"','"&amp;L167&amp;"',"&amp;Tabla3[[#This Row],[CANTIDAD MATERIAL (M)]]&amp;");"</f>
        <v>insert into P_DFORM(CDG_PROD,CDG_CONP,CAN_PROD) VALUES('FP18','AVI0000039',1.89);</v>
      </c>
    </row>
    <row r="168" spans="1:14" x14ac:dyDescent="0.25">
      <c r="A168" t="s">
        <v>59</v>
      </c>
      <c r="B168" t="s">
        <v>21</v>
      </c>
      <c r="C168" t="s">
        <v>28</v>
      </c>
      <c r="D168" t="s">
        <v>51</v>
      </c>
      <c r="E168" s="4" t="s">
        <v>36</v>
      </c>
      <c r="F168">
        <v>3</v>
      </c>
      <c r="H168" t="str">
        <f>VLOOKUP(Tabla3[[#This Row],[DESCRIPCION MATERIAL]],'CODIGO MAT'!$C$2:$D$390,2,FALSE)</f>
        <v>AVI0000135</v>
      </c>
      <c r="L168" t="s">
        <v>666</v>
      </c>
      <c r="M168" t="s">
        <v>992</v>
      </c>
      <c r="N168" t="str">
        <f>M168&amp;Tabla3[[#This Row],[CODIGO PRODUCTO TERMINADO]]&amp;"','"&amp;L168&amp;"',"&amp;Tabla3[[#This Row],[CANTIDAD MATERIAL (M)]]&amp;");"</f>
        <v>insert into P_DFORM(CDG_PROD,CDG_CONP,CAN_PROD) VALUES('FP18','AVI0000034',3);</v>
      </c>
    </row>
    <row r="169" spans="1:14" x14ac:dyDescent="0.25">
      <c r="A169" t="s">
        <v>59</v>
      </c>
      <c r="B169" t="s">
        <v>21</v>
      </c>
      <c r="C169" t="s">
        <v>28</v>
      </c>
      <c r="D169" t="s">
        <v>50</v>
      </c>
      <c r="E169" s="4" t="s">
        <v>611</v>
      </c>
      <c r="F169">
        <v>1.2E-2</v>
      </c>
      <c r="H169" t="str">
        <f>VLOOKUP(Tabla3[[#This Row],[DESCRIPCION MATERIAL]],'CODIGO MAT'!$C$2:$D$390,2,FALSE)</f>
        <v>TEL0000192</v>
      </c>
      <c r="L169" t="s">
        <v>663</v>
      </c>
      <c r="M169" t="s">
        <v>992</v>
      </c>
      <c r="N169" t="str">
        <f>M169&amp;Tabla3[[#This Row],[CODIGO PRODUCTO TERMINADO]]&amp;"','"&amp;L169&amp;"',"&amp;Tabla3[[#This Row],[CANTIDAD MATERIAL (M)]]&amp;");"</f>
        <v>insert into P_DFORM(CDG_PROD,CDG_CONP,CAN_PROD) VALUES('FP18','AVI0000031',0.012);</v>
      </c>
    </row>
    <row r="170" spans="1:14" x14ac:dyDescent="0.25">
      <c r="A170" t="s">
        <v>59</v>
      </c>
      <c r="B170" t="s">
        <v>21</v>
      </c>
      <c r="C170" t="s">
        <v>28</v>
      </c>
      <c r="D170" t="s">
        <v>51</v>
      </c>
      <c r="E170" s="4" t="s">
        <v>613</v>
      </c>
      <c r="F170">
        <v>0.31</v>
      </c>
      <c r="H170" t="str">
        <f>VLOOKUP(Tabla3[[#This Row],[DESCRIPCION MATERIAL]],'CODIGO MAT'!$C$2:$D$390,2,FALSE)</f>
        <v>AVI0000144</v>
      </c>
      <c r="L170" t="s">
        <v>768</v>
      </c>
      <c r="M170" t="s">
        <v>992</v>
      </c>
      <c r="N170" t="str">
        <f>M170&amp;Tabla3[[#This Row],[CODIGO PRODUCTO TERMINADO]]&amp;"','"&amp;L170&amp;"',"&amp;Tabla3[[#This Row],[CANTIDAD MATERIAL (M)]]&amp;");"</f>
        <v>insert into P_DFORM(CDG_PROD,CDG_CONP,CAN_PROD) VALUES('FP18','AVI0000135',0.31);</v>
      </c>
    </row>
    <row r="171" spans="1:14" x14ac:dyDescent="0.25">
      <c r="A171" t="s">
        <v>60</v>
      </c>
      <c r="B171" t="s">
        <v>21</v>
      </c>
      <c r="C171" t="s">
        <v>29</v>
      </c>
      <c r="D171" t="s">
        <v>50</v>
      </c>
      <c r="E171" s="4" t="s">
        <v>11</v>
      </c>
      <c r="F171">
        <v>0</v>
      </c>
      <c r="H171" t="str">
        <f>VLOOKUP(Tabla3[[#This Row],[DESCRIPCION MATERIAL]],'CODIGO MAT'!$C$2:$D$390,2,FALSE)</f>
        <v>TEL0000149</v>
      </c>
      <c r="J171">
        <v>1</v>
      </c>
      <c r="K171">
        <v>0</v>
      </c>
      <c r="L171" t="s">
        <v>986</v>
      </c>
      <c r="M171" t="s">
        <v>992</v>
      </c>
      <c r="N171" t="str">
        <f>M171&amp;Tabla3[[#This Row],[CODIGO PRODUCTO TERMINADO]]&amp;"','"&amp;L171&amp;"',"&amp;Tabla3[[#This Row],[CANTIDAD MATERIAL (M)]]&amp;");"</f>
        <v>insert into P_DFORM(CDG_PROD,CDG_CONP,CAN_PROD) VALUES('FP19','TEL0000192',0);</v>
      </c>
    </row>
    <row r="172" spans="1:14" x14ac:dyDescent="0.25">
      <c r="A172" t="s">
        <v>60</v>
      </c>
      <c r="B172" t="s">
        <v>21</v>
      </c>
      <c r="C172" t="s">
        <v>29</v>
      </c>
      <c r="D172" t="s">
        <v>50</v>
      </c>
      <c r="E172" s="5" t="s">
        <v>12</v>
      </c>
      <c r="F172">
        <v>0</v>
      </c>
      <c r="H172" t="str">
        <f>VLOOKUP(Tabla3[[#This Row],[DESCRIPCION MATERIAL]],'CODIGO MAT'!$C$2:$D$390,2,FALSE)</f>
        <v>TEL0000040</v>
      </c>
      <c r="J172">
        <v>1</v>
      </c>
      <c r="K172">
        <v>0</v>
      </c>
      <c r="L172" t="s">
        <v>988</v>
      </c>
      <c r="M172" t="s">
        <v>992</v>
      </c>
      <c r="N172" t="str">
        <f>M172&amp;Tabla3[[#This Row],[CODIGO PRODUCTO TERMINADO]]&amp;"','"&amp;L172&amp;"',"&amp;Tabla3[[#This Row],[CANTIDAD MATERIAL (M)]]&amp;");"</f>
        <v>insert into P_DFORM(CDG_PROD,CDG_CONP,CAN_PROD) VALUES('FP19','AVI0000144',0);</v>
      </c>
    </row>
    <row r="173" spans="1:14" x14ac:dyDescent="0.25">
      <c r="A173" t="s">
        <v>60</v>
      </c>
      <c r="B173" t="s">
        <v>21</v>
      </c>
      <c r="C173" t="s">
        <v>29</v>
      </c>
      <c r="D173" t="s">
        <v>50</v>
      </c>
      <c r="E173" s="5" t="s">
        <v>32</v>
      </c>
      <c r="F173">
        <v>0</v>
      </c>
      <c r="H173" t="str">
        <f>VLOOKUP(Tabla3[[#This Row],[DESCRIPCION MATERIAL]],'CODIGO MAT'!$C$2:$D$390,2,FALSE)</f>
        <v>TEL0000041</v>
      </c>
      <c r="J173">
        <v>1</v>
      </c>
      <c r="K173">
        <v>0</v>
      </c>
      <c r="L173" t="s">
        <v>837</v>
      </c>
      <c r="M173" t="s">
        <v>992</v>
      </c>
      <c r="N173" t="str">
        <f>M173&amp;Tabla3[[#This Row],[CODIGO PRODUCTO TERMINADO]]&amp;"','"&amp;L173&amp;"',"&amp;Tabla3[[#This Row],[CANTIDAD MATERIAL (M)]]&amp;");"</f>
        <v>insert into P_DFORM(CDG_PROD,CDG_CONP,CAN_PROD) VALUES('FP19','TEL0000043',0);</v>
      </c>
    </row>
    <row r="174" spans="1:14" x14ac:dyDescent="0.25">
      <c r="A174" t="s">
        <v>60</v>
      </c>
      <c r="B174" t="s">
        <v>21</v>
      </c>
      <c r="C174" t="s">
        <v>29</v>
      </c>
      <c r="D174" t="s">
        <v>50</v>
      </c>
      <c r="E174" s="2" t="s">
        <v>33</v>
      </c>
      <c r="F174">
        <v>0</v>
      </c>
      <c r="H174" t="str">
        <f>VLOOKUP(Tabla3[[#This Row],[DESCRIPCION MATERIAL]],'CODIGO MAT'!$C$2:$D$390,2,FALSE)</f>
        <v>TEL0000043</v>
      </c>
      <c r="J174">
        <v>1</v>
      </c>
      <c r="K174">
        <v>0</v>
      </c>
      <c r="L174" t="s">
        <v>907</v>
      </c>
      <c r="M174" t="s">
        <v>992</v>
      </c>
      <c r="N174" t="str">
        <f>M174&amp;Tabla3[[#This Row],[CODIGO PRODUCTO TERMINADO]]&amp;"','"&amp;L174&amp;"',"&amp;Tabla3[[#This Row],[CANTIDAD MATERIAL (M)]]&amp;");"</f>
        <v>insert into P_DFORM(CDG_PROD,CDG_CONP,CAN_PROD) VALUES('FP19','TEL0000113',0);</v>
      </c>
    </row>
    <row r="175" spans="1:14" x14ac:dyDescent="0.25">
      <c r="A175" t="s">
        <v>60</v>
      </c>
      <c r="B175" t="s">
        <v>21</v>
      </c>
      <c r="C175" t="s">
        <v>29</v>
      </c>
      <c r="D175" t="s">
        <v>50</v>
      </c>
      <c r="E175" s="7" t="s">
        <v>141</v>
      </c>
      <c r="F175">
        <v>0</v>
      </c>
      <c r="H175" t="str">
        <f>VLOOKUP(Tabla3[[#This Row],[DESCRIPCION MATERIAL]],'CODIGO MAT'!$C$2:$D$390,2,FALSE)</f>
        <v>TEL0000068</v>
      </c>
      <c r="J175">
        <v>1</v>
      </c>
      <c r="K175">
        <v>0</v>
      </c>
      <c r="L175" t="s">
        <v>711</v>
      </c>
      <c r="M175" t="s">
        <v>992</v>
      </c>
      <c r="N175" t="str">
        <f>M175&amp;Tabla3[[#This Row],[CODIGO PRODUCTO TERMINADO]]&amp;"','"&amp;L175&amp;"',"&amp;Tabla3[[#This Row],[CANTIDAD MATERIAL (M)]]&amp;");"</f>
        <v>insert into P_DFORM(CDG_PROD,CDG_CONP,CAN_PROD) VALUES('FP19','AVI0000078',0);</v>
      </c>
    </row>
    <row r="176" spans="1:14" x14ac:dyDescent="0.25">
      <c r="A176" t="s">
        <v>60</v>
      </c>
      <c r="B176" t="s">
        <v>21</v>
      </c>
      <c r="C176" t="s">
        <v>29</v>
      </c>
      <c r="D176" t="s">
        <v>51</v>
      </c>
      <c r="E176" s="7" t="s">
        <v>296</v>
      </c>
      <c r="F176">
        <v>0</v>
      </c>
      <c r="H176" t="str">
        <f>VLOOKUP(Tabla3[[#This Row],[DESCRIPCION MATERIAL]],'CODIGO MAT'!$C$2:$D$390,2,FALSE)</f>
        <v>AVI0000039</v>
      </c>
      <c r="J176">
        <v>1</v>
      </c>
      <c r="K176">
        <v>0</v>
      </c>
      <c r="L176" t="s">
        <v>989</v>
      </c>
      <c r="M176" t="s">
        <v>992</v>
      </c>
      <c r="N176" t="str">
        <f>M176&amp;Tabla3[[#This Row],[CODIGO PRODUCTO TERMINADO]]&amp;"','"&amp;L176&amp;"',"&amp;Tabla3[[#This Row],[CANTIDAD MATERIAL (M)]]&amp;");"</f>
        <v>insert into P_DFORM(CDG_PROD,CDG_CONP,CAN_PROD) VALUES('FP19','AVI0000145',0);</v>
      </c>
    </row>
    <row r="177" spans="1:14" x14ac:dyDescent="0.25">
      <c r="A177" t="s">
        <v>60</v>
      </c>
      <c r="B177" t="s">
        <v>21</v>
      </c>
      <c r="C177" t="s">
        <v>29</v>
      </c>
      <c r="D177" t="s">
        <v>51</v>
      </c>
      <c r="E177" s="7" t="s">
        <v>34</v>
      </c>
      <c r="F177">
        <v>0</v>
      </c>
      <c r="H177" t="str">
        <f>VLOOKUP(Tabla3[[#This Row],[DESCRIPCION MATERIAL]],'CODIGO MAT'!$C$2:$D$390,2,FALSE)</f>
        <v>AVI0000034</v>
      </c>
      <c r="J177">
        <v>1</v>
      </c>
      <c r="K177">
        <v>0</v>
      </c>
      <c r="L177" t="s">
        <v>738</v>
      </c>
      <c r="M177" t="s">
        <v>992</v>
      </c>
      <c r="N177" t="str">
        <f>M177&amp;Tabla3[[#This Row],[CODIGO PRODUCTO TERMINADO]]&amp;"','"&amp;L177&amp;"',"&amp;Tabla3[[#This Row],[CANTIDAD MATERIAL (M)]]&amp;");"</f>
        <v>insert into P_DFORM(CDG_PROD,CDG_CONP,CAN_PROD) VALUES('FP19','AVI0000105',0);</v>
      </c>
    </row>
    <row r="178" spans="1:14" x14ac:dyDescent="0.25">
      <c r="A178" t="s">
        <v>60</v>
      </c>
      <c r="B178" t="s">
        <v>21</v>
      </c>
      <c r="C178" t="s">
        <v>29</v>
      </c>
      <c r="D178" t="s">
        <v>51</v>
      </c>
      <c r="E178" s="6" t="s">
        <v>35</v>
      </c>
      <c r="F178">
        <v>0</v>
      </c>
      <c r="H178" t="str">
        <f>VLOOKUP(Tabla3[[#This Row],[DESCRIPCION MATERIAL]],'CODIGO MAT'!$C$2:$D$390,2,FALSE)</f>
        <v>AVI0000031</v>
      </c>
      <c r="J178">
        <v>1</v>
      </c>
      <c r="K178">
        <v>0</v>
      </c>
      <c r="L178" t="s">
        <v>990</v>
      </c>
      <c r="M178" t="s">
        <v>992</v>
      </c>
      <c r="N178" t="str">
        <f>M178&amp;Tabla3[[#This Row],[CODIGO PRODUCTO TERMINADO]]&amp;"','"&amp;L178&amp;"',"&amp;Tabla3[[#This Row],[CANTIDAD MATERIAL (M)]]&amp;");"</f>
        <v>insert into P_DFORM(CDG_PROD,CDG_CONP,CAN_PROD) VALUES('FP19','AVI0000146',0);</v>
      </c>
    </row>
    <row r="179" spans="1:14" x14ac:dyDescent="0.25">
      <c r="A179" t="s">
        <v>60</v>
      </c>
      <c r="B179" t="s">
        <v>21</v>
      </c>
      <c r="C179" t="s">
        <v>29</v>
      </c>
      <c r="D179" t="s">
        <v>51</v>
      </c>
      <c r="E179" s="4" t="s">
        <v>36</v>
      </c>
      <c r="F179">
        <v>0</v>
      </c>
      <c r="H179" t="str">
        <f>VLOOKUP(Tabla3[[#This Row],[DESCRIPCION MATERIAL]],'CODIGO MAT'!$C$2:$D$390,2,FALSE)</f>
        <v>AVI0000135</v>
      </c>
      <c r="L179" t="s">
        <v>646</v>
      </c>
      <c r="M179" t="s">
        <v>992</v>
      </c>
      <c r="N179" t="str">
        <f>M179&amp;Tabla3[[#This Row],[CODIGO PRODUCTO TERMINADO]]&amp;"','"&amp;L179&amp;"',"&amp;Tabla3[[#This Row],[CANTIDAD MATERIAL (M)]]&amp;");"</f>
        <v>insert into P_DFORM(CDG_PROD,CDG_CONP,CAN_PROD) VALUES('FP19','AVI0000014',0);</v>
      </c>
    </row>
    <row r="180" spans="1:14" x14ac:dyDescent="0.25">
      <c r="A180" t="s">
        <v>60</v>
      </c>
      <c r="B180" t="s">
        <v>21</v>
      </c>
      <c r="C180" t="s">
        <v>29</v>
      </c>
      <c r="D180" t="s">
        <v>50</v>
      </c>
      <c r="E180" s="4" t="s">
        <v>611</v>
      </c>
      <c r="F180">
        <v>0</v>
      </c>
      <c r="H180" t="str">
        <f>VLOOKUP(Tabla3[[#This Row],[DESCRIPCION MATERIAL]],'CODIGO MAT'!$C$2:$D$390,2,FALSE)</f>
        <v>TEL0000192</v>
      </c>
      <c r="L180" t="s">
        <v>644</v>
      </c>
      <c r="M180" t="s">
        <v>992</v>
      </c>
      <c r="N180" t="str">
        <f>M180&amp;Tabla3[[#This Row],[CODIGO PRODUCTO TERMINADO]]&amp;"','"&amp;L180&amp;"',"&amp;Tabla3[[#This Row],[CANTIDAD MATERIAL (M)]]&amp;");"</f>
        <v>insert into P_DFORM(CDG_PROD,CDG_CONP,CAN_PROD) VALUES('FP19','AVI0000011',0);</v>
      </c>
    </row>
    <row r="181" spans="1:14" x14ac:dyDescent="0.25">
      <c r="A181" t="s">
        <v>60</v>
      </c>
      <c r="B181" t="s">
        <v>21</v>
      </c>
      <c r="C181" t="s">
        <v>29</v>
      </c>
      <c r="D181" t="s">
        <v>51</v>
      </c>
      <c r="E181" s="4" t="s">
        <v>613</v>
      </c>
      <c r="F181">
        <v>0</v>
      </c>
      <c r="H181" t="str">
        <f>VLOOKUP(Tabla3[[#This Row],[DESCRIPCION MATERIAL]],'CODIGO MAT'!$C$2:$D$390,2,FALSE)</f>
        <v>AVI0000144</v>
      </c>
      <c r="L181" t="s">
        <v>642</v>
      </c>
      <c r="M181" t="s">
        <v>992</v>
      </c>
      <c r="N181" t="str">
        <f>M181&amp;Tabla3[[#This Row],[CODIGO PRODUCTO TERMINADO]]&amp;"','"&amp;L181&amp;"',"&amp;Tabla3[[#This Row],[CANTIDAD MATERIAL (M)]]&amp;");"</f>
        <v>insert into P_DFORM(CDG_PROD,CDG_CONP,CAN_PROD) VALUES('FP19','AVI0000007',0);</v>
      </c>
    </row>
    <row r="182" spans="1:14" x14ac:dyDescent="0.25">
      <c r="A182" t="s">
        <v>61</v>
      </c>
      <c r="B182" t="s">
        <v>21</v>
      </c>
      <c r="C182" t="s">
        <v>30</v>
      </c>
      <c r="D182" t="s">
        <v>50</v>
      </c>
      <c r="E182" s="4" t="s">
        <v>11</v>
      </c>
      <c r="F182">
        <v>0</v>
      </c>
      <c r="H182" t="str">
        <f>VLOOKUP(Tabla3[[#This Row],[DESCRIPCION MATERIAL]],'CODIGO MAT'!$C$2:$D$390,2,FALSE)</f>
        <v>TEL0000149</v>
      </c>
      <c r="J182">
        <v>1</v>
      </c>
      <c r="K182">
        <v>0</v>
      </c>
      <c r="L182" t="s">
        <v>640</v>
      </c>
      <c r="M182" t="s">
        <v>992</v>
      </c>
      <c r="N182" t="str">
        <f>M182&amp;Tabla3[[#This Row],[CODIGO PRODUCTO TERMINADO]]&amp;"','"&amp;L182&amp;"',"&amp;Tabla3[[#This Row],[CANTIDAD MATERIAL (M)]]&amp;");"</f>
        <v>insert into P_DFORM(CDG_PROD,CDG_CONP,CAN_PROD) VALUES('FP20','AVI0000005',0);</v>
      </c>
    </row>
    <row r="183" spans="1:14" x14ac:dyDescent="0.25">
      <c r="A183" t="s">
        <v>61</v>
      </c>
      <c r="B183" t="s">
        <v>21</v>
      </c>
      <c r="C183" t="s">
        <v>30</v>
      </c>
      <c r="D183" t="s">
        <v>50</v>
      </c>
      <c r="E183" s="5" t="s">
        <v>12</v>
      </c>
      <c r="F183">
        <v>0</v>
      </c>
      <c r="H183" t="str">
        <f>VLOOKUP(Tabla3[[#This Row],[DESCRIPCION MATERIAL]],'CODIGO MAT'!$C$2:$D$390,2,FALSE)</f>
        <v>TEL0000040</v>
      </c>
      <c r="J183">
        <v>1</v>
      </c>
      <c r="K183">
        <v>0</v>
      </c>
      <c r="L183" t="s">
        <v>991</v>
      </c>
      <c r="M183" t="s">
        <v>992</v>
      </c>
      <c r="N183" t="str">
        <f>M183&amp;Tabla3[[#This Row],[CODIGO PRODUCTO TERMINADO]]&amp;"','"&amp;L183&amp;"',"&amp;Tabla3[[#This Row],[CANTIDAD MATERIAL (M)]]&amp;");"</f>
        <v>insert into P_DFORM(CDG_PROD,CDG_CONP,CAN_PROD) VALUES('FP20','AVI0000147',0);</v>
      </c>
    </row>
    <row r="184" spans="1:14" x14ac:dyDescent="0.25">
      <c r="A184" t="s">
        <v>65</v>
      </c>
      <c r="B184" t="s">
        <v>21</v>
      </c>
      <c r="C184" t="s">
        <v>30</v>
      </c>
      <c r="D184" t="s">
        <v>50</v>
      </c>
      <c r="E184" s="5" t="s">
        <v>32</v>
      </c>
      <c r="F184">
        <v>0</v>
      </c>
      <c r="H184" t="str">
        <f>VLOOKUP(Tabla3[[#This Row],[DESCRIPCION MATERIAL]],'CODIGO MAT'!$C$2:$D$390,2,FALSE)</f>
        <v>TEL0000041</v>
      </c>
      <c r="J184">
        <v>1</v>
      </c>
      <c r="K184">
        <v>0</v>
      </c>
      <c r="L184" t="s">
        <v>657</v>
      </c>
      <c r="M184" t="s">
        <v>992</v>
      </c>
      <c r="N184" t="str">
        <f>M184&amp;Tabla3[[#This Row],[CODIGO PRODUCTO TERMINADO]]&amp;"','"&amp;L184&amp;"',"&amp;Tabla3[[#This Row],[CANTIDAD MATERIAL (M)]]&amp;");"</f>
        <v>insert into P_DFORM(CDG_PROD,CDG_CONP,CAN_PROD) VALUES('PF0120','AVI0000025',0);</v>
      </c>
    </row>
    <row r="185" spans="1:14" x14ac:dyDescent="0.25">
      <c r="A185" t="s">
        <v>65</v>
      </c>
      <c r="B185" t="s">
        <v>21</v>
      </c>
      <c r="C185" t="s">
        <v>30</v>
      </c>
      <c r="D185" t="s">
        <v>50</v>
      </c>
      <c r="E185" s="2" t="s">
        <v>33</v>
      </c>
      <c r="F185">
        <v>0</v>
      </c>
      <c r="H185" t="str">
        <f>VLOOKUP(Tabla3[[#This Row],[DESCRIPCION MATERIAL]],'CODIGO MAT'!$C$2:$D$390,2,FALSE)</f>
        <v>TEL0000043</v>
      </c>
      <c r="J185">
        <v>1</v>
      </c>
      <c r="K185">
        <v>0</v>
      </c>
      <c r="L185" t="s">
        <v>837</v>
      </c>
      <c r="M185" t="s">
        <v>992</v>
      </c>
      <c r="N185" t="str">
        <f>M185&amp;Tabla3[[#This Row],[CODIGO PRODUCTO TERMINADO]]&amp;"','"&amp;L185&amp;"',"&amp;Tabla3[[#This Row],[CANTIDAD MATERIAL (M)]]&amp;");"</f>
        <v>insert into P_DFORM(CDG_PROD,CDG_CONP,CAN_PROD) VALUES('PF0120','TEL0000043',0);</v>
      </c>
    </row>
    <row r="186" spans="1:14" x14ac:dyDescent="0.25">
      <c r="A186" t="s">
        <v>65</v>
      </c>
      <c r="B186" t="s">
        <v>21</v>
      </c>
      <c r="C186" t="s">
        <v>30</v>
      </c>
      <c r="D186" t="s">
        <v>50</v>
      </c>
      <c r="E186" s="7" t="s">
        <v>141</v>
      </c>
      <c r="F186">
        <v>0</v>
      </c>
      <c r="H186" t="str">
        <f>VLOOKUP(Tabla3[[#This Row],[DESCRIPCION MATERIAL]],'CODIGO MAT'!$C$2:$D$390,2,FALSE)</f>
        <v>TEL0000068</v>
      </c>
      <c r="J186">
        <v>1</v>
      </c>
      <c r="K186">
        <v>0</v>
      </c>
      <c r="L186" t="s">
        <v>907</v>
      </c>
      <c r="M186" t="s">
        <v>992</v>
      </c>
      <c r="N186" t="str">
        <f>M186&amp;Tabla3[[#This Row],[CODIGO PRODUCTO TERMINADO]]&amp;"','"&amp;L186&amp;"',"&amp;Tabla3[[#This Row],[CANTIDAD MATERIAL (M)]]&amp;");"</f>
        <v>insert into P_DFORM(CDG_PROD,CDG_CONP,CAN_PROD) VALUES('PF0120','TEL0000113',0);</v>
      </c>
    </row>
    <row r="187" spans="1:14" x14ac:dyDescent="0.25">
      <c r="A187" t="s">
        <v>61</v>
      </c>
      <c r="B187" t="s">
        <v>21</v>
      </c>
      <c r="C187" t="s">
        <v>30</v>
      </c>
      <c r="D187" t="s">
        <v>51</v>
      </c>
      <c r="E187" s="7" t="s">
        <v>296</v>
      </c>
      <c r="F187">
        <v>0</v>
      </c>
      <c r="H187" t="str">
        <f>VLOOKUP(Tabla3[[#This Row],[DESCRIPCION MATERIAL]],'CODIGO MAT'!$C$2:$D$390,2,FALSE)</f>
        <v>AVI0000039</v>
      </c>
      <c r="J187">
        <v>1</v>
      </c>
      <c r="K187">
        <v>0</v>
      </c>
      <c r="L187" t="s">
        <v>711</v>
      </c>
      <c r="M187" t="s">
        <v>992</v>
      </c>
      <c r="N187" t="str">
        <f>M187&amp;Tabla3[[#This Row],[CODIGO PRODUCTO TERMINADO]]&amp;"','"&amp;L187&amp;"',"&amp;Tabla3[[#This Row],[CANTIDAD MATERIAL (M)]]&amp;");"</f>
        <v>insert into P_DFORM(CDG_PROD,CDG_CONP,CAN_PROD) VALUES('FP20','AVI0000078',0);</v>
      </c>
    </row>
    <row r="188" spans="1:14" x14ac:dyDescent="0.25">
      <c r="A188" t="s">
        <v>61</v>
      </c>
      <c r="B188" t="s">
        <v>21</v>
      </c>
      <c r="C188" t="s">
        <v>30</v>
      </c>
      <c r="D188" t="s">
        <v>51</v>
      </c>
      <c r="E188" s="7" t="s">
        <v>34</v>
      </c>
      <c r="F188">
        <v>0</v>
      </c>
      <c r="H188" t="str">
        <f>VLOOKUP(Tabla3[[#This Row],[DESCRIPCION MATERIAL]],'CODIGO MAT'!$C$2:$D$390,2,FALSE)</f>
        <v>AVI0000034</v>
      </c>
      <c r="J188">
        <v>1</v>
      </c>
      <c r="K188">
        <v>0</v>
      </c>
      <c r="L188" t="s">
        <v>989</v>
      </c>
      <c r="M188" t="s">
        <v>992</v>
      </c>
      <c r="N188" t="str">
        <f>M188&amp;Tabla3[[#This Row],[CODIGO PRODUCTO TERMINADO]]&amp;"','"&amp;L188&amp;"',"&amp;Tabla3[[#This Row],[CANTIDAD MATERIAL (M)]]&amp;");"</f>
        <v>insert into P_DFORM(CDG_PROD,CDG_CONP,CAN_PROD) VALUES('FP20','AVI0000145',0);</v>
      </c>
    </row>
    <row r="189" spans="1:14" x14ac:dyDescent="0.25">
      <c r="A189" t="s">
        <v>65</v>
      </c>
      <c r="B189" t="s">
        <v>21</v>
      </c>
      <c r="C189" t="s">
        <v>30</v>
      </c>
      <c r="D189" t="s">
        <v>51</v>
      </c>
      <c r="E189" s="6" t="s">
        <v>35</v>
      </c>
      <c r="F189">
        <v>0</v>
      </c>
      <c r="H189" t="str">
        <f>VLOOKUP(Tabla3[[#This Row],[DESCRIPCION MATERIAL]],'CODIGO MAT'!$C$2:$D$390,2,FALSE)</f>
        <v>AVI0000031</v>
      </c>
      <c r="J189">
        <v>1</v>
      </c>
      <c r="K189">
        <v>0</v>
      </c>
      <c r="L189" t="s">
        <v>738</v>
      </c>
      <c r="M189" t="s">
        <v>992</v>
      </c>
      <c r="N189" t="str">
        <f>M189&amp;Tabla3[[#This Row],[CODIGO PRODUCTO TERMINADO]]&amp;"','"&amp;L189&amp;"',"&amp;Tabla3[[#This Row],[CANTIDAD MATERIAL (M)]]&amp;");"</f>
        <v>insert into P_DFORM(CDG_PROD,CDG_CONP,CAN_PROD) VALUES('PF0120','AVI0000105',0);</v>
      </c>
    </row>
    <row r="190" spans="1:14" x14ac:dyDescent="0.25">
      <c r="A190" t="s">
        <v>66</v>
      </c>
      <c r="B190" t="s">
        <v>21</v>
      </c>
      <c r="C190" t="s">
        <v>30</v>
      </c>
      <c r="D190" t="s">
        <v>51</v>
      </c>
      <c r="E190" s="4" t="s">
        <v>36</v>
      </c>
      <c r="F190">
        <v>0</v>
      </c>
      <c r="H190" t="str">
        <f>VLOOKUP(Tabla3[[#This Row],[DESCRIPCION MATERIAL]],'CODIGO MAT'!$C$2:$D$390,2,FALSE)</f>
        <v>AVI0000135</v>
      </c>
      <c r="L190" t="s">
        <v>990</v>
      </c>
      <c r="M190" t="s">
        <v>992</v>
      </c>
      <c r="N190" t="str">
        <f>M190&amp;Tabla3[[#This Row],[CODIGO PRODUCTO TERMINADO]]&amp;"','"&amp;L190&amp;"',"&amp;Tabla3[[#This Row],[CANTIDAD MATERIAL (M)]]&amp;");"</f>
        <v>insert into P_DFORM(CDG_PROD,CDG_CONP,CAN_PROD) VALUES('PF20','AVI0000146',0);</v>
      </c>
    </row>
    <row r="191" spans="1:14" x14ac:dyDescent="0.25">
      <c r="A191" t="s">
        <v>61</v>
      </c>
      <c r="B191" t="s">
        <v>21</v>
      </c>
      <c r="C191" t="s">
        <v>30</v>
      </c>
      <c r="D191" t="s">
        <v>50</v>
      </c>
      <c r="E191" s="4" t="s">
        <v>611</v>
      </c>
      <c r="F191">
        <v>0</v>
      </c>
      <c r="H191" t="str">
        <f>VLOOKUP(Tabla3[[#This Row],[DESCRIPCION MATERIAL]],'CODIGO MAT'!$C$2:$D$390,2,FALSE)</f>
        <v>TEL0000192</v>
      </c>
      <c r="L191" t="s">
        <v>646</v>
      </c>
      <c r="M191" t="s">
        <v>992</v>
      </c>
      <c r="N191" t="str">
        <f>M191&amp;Tabla3[[#This Row],[CODIGO PRODUCTO TERMINADO]]&amp;"','"&amp;L191&amp;"',"&amp;Tabla3[[#This Row],[CANTIDAD MATERIAL (M)]]&amp;");"</f>
        <v>insert into P_DFORM(CDG_PROD,CDG_CONP,CAN_PROD) VALUES('FP20','AVI0000014',0);</v>
      </c>
    </row>
    <row r="192" spans="1:14" x14ac:dyDescent="0.25">
      <c r="A192" t="s">
        <v>61</v>
      </c>
      <c r="B192" t="s">
        <v>21</v>
      </c>
      <c r="C192" t="s">
        <v>30</v>
      </c>
      <c r="D192" t="s">
        <v>51</v>
      </c>
      <c r="E192" s="4" t="s">
        <v>613</v>
      </c>
      <c r="F192">
        <v>0</v>
      </c>
      <c r="H192" t="str">
        <f>VLOOKUP(Tabla3[[#This Row],[DESCRIPCION MATERIAL]],'CODIGO MAT'!$C$2:$D$390,2,FALSE)</f>
        <v>AVI0000144</v>
      </c>
      <c r="L192" t="s">
        <v>644</v>
      </c>
      <c r="M192" t="s">
        <v>992</v>
      </c>
      <c r="N192" t="str">
        <f>M192&amp;Tabla3[[#This Row],[CODIGO PRODUCTO TERMINADO]]&amp;"','"&amp;L192&amp;"',"&amp;Tabla3[[#This Row],[CANTIDAD MATERIAL (M)]]&amp;");"</f>
        <v>insert into P_DFORM(CDG_PROD,CDG_CONP,CAN_PROD) VALUES('FP20','AVI0000011',0);</v>
      </c>
    </row>
    <row r="193" spans="1:14" x14ac:dyDescent="0.25">
      <c r="A193" t="s">
        <v>62</v>
      </c>
      <c r="B193" t="s">
        <v>63</v>
      </c>
      <c r="C193" t="s">
        <v>64</v>
      </c>
      <c r="D193" t="s">
        <v>50</v>
      </c>
      <c r="E193" s="8" t="s">
        <v>33</v>
      </c>
      <c r="F193">
        <v>0.80500000000000005</v>
      </c>
      <c r="H193" t="str">
        <f>VLOOKUP(Tabla3[[#This Row],[DESCRIPCION MATERIAL]],'CODIGO MAT'!$C$2:$D$390,2,FALSE)</f>
        <v>TEL0000043</v>
      </c>
      <c r="J193">
        <v>1</v>
      </c>
      <c r="K193">
        <v>0</v>
      </c>
      <c r="L193" t="s">
        <v>642</v>
      </c>
      <c r="M193" t="s">
        <v>992</v>
      </c>
      <c r="N193" t="str">
        <f>M193&amp;Tabla3[[#This Row],[CODIGO PRODUCTO TERMINADO]]&amp;"','"&amp;L193&amp;"',"&amp;Tabla3[[#This Row],[CANTIDAD MATERIAL (M)]]&amp;");"</f>
        <v>insert into P_DFORM(CDG_PROD,CDG_CONP,CAN_PROD) VALUES('PF01','AVI0000007',0.805);</v>
      </c>
    </row>
    <row r="194" spans="1:14" x14ac:dyDescent="0.25">
      <c r="A194" t="s">
        <v>62</v>
      </c>
      <c r="B194" t="s">
        <v>63</v>
      </c>
      <c r="C194" t="s">
        <v>64</v>
      </c>
      <c r="D194" t="s">
        <v>50</v>
      </c>
      <c r="E194" s="8" t="s">
        <v>186</v>
      </c>
      <c r="F194">
        <v>0.28000000000000003</v>
      </c>
      <c r="H194" t="str">
        <f>VLOOKUP(Tabla3[[#This Row],[DESCRIPCION MATERIAL]],'CODIGO MAT'!$C$2:$D$390,2,FALSE)</f>
        <v>TEL0000113</v>
      </c>
      <c r="J194">
        <v>1</v>
      </c>
      <c r="K194">
        <v>0</v>
      </c>
      <c r="L194" t="s">
        <v>640</v>
      </c>
      <c r="M194" t="s">
        <v>992</v>
      </c>
      <c r="N194" t="str">
        <f>M194&amp;Tabla3[[#This Row],[CODIGO PRODUCTO TERMINADO]]&amp;"','"&amp;L194&amp;"',"&amp;Tabla3[[#This Row],[CANTIDAD MATERIAL (M)]]&amp;");"</f>
        <v>insert into P_DFORM(CDG_PROD,CDG_CONP,CAN_PROD) VALUES('PF01','AVI0000005',0.28);</v>
      </c>
    </row>
    <row r="195" spans="1:14" x14ac:dyDescent="0.25">
      <c r="A195" t="s">
        <v>62</v>
      </c>
      <c r="B195" t="s">
        <v>63</v>
      </c>
      <c r="C195" t="s">
        <v>64</v>
      </c>
      <c r="D195" t="s">
        <v>51</v>
      </c>
      <c r="E195" s="8" t="s">
        <v>340</v>
      </c>
      <c r="F195">
        <v>0.76</v>
      </c>
      <c r="H195" t="str">
        <f>VLOOKUP(Tabla3[[#This Row],[DESCRIPCION MATERIAL]],'CODIGO MAT'!$C$2:$D$390,2,FALSE)</f>
        <v>AVI0000078</v>
      </c>
      <c r="J195">
        <v>1</v>
      </c>
      <c r="K195">
        <v>0</v>
      </c>
      <c r="L195" t="s">
        <v>991</v>
      </c>
      <c r="M195" t="s">
        <v>992</v>
      </c>
      <c r="N195" t="str">
        <f>M195&amp;Tabla3[[#This Row],[CODIGO PRODUCTO TERMINADO]]&amp;"','"&amp;L195&amp;"',"&amp;Tabla3[[#This Row],[CANTIDAD MATERIAL (M)]]&amp;");"</f>
        <v>insert into P_DFORM(CDG_PROD,CDG_CONP,CAN_PROD) VALUES('PF01','AVI0000147',0.76);</v>
      </c>
    </row>
    <row r="196" spans="1:14" x14ac:dyDescent="0.25">
      <c r="A196" t="s">
        <v>62</v>
      </c>
      <c r="B196" t="s">
        <v>63</v>
      </c>
      <c r="C196" t="s">
        <v>64</v>
      </c>
      <c r="D196" t="s">
        <v>51</v>
      </c>
      <c r="E196" s="8" t="s">
        <v>614</v>
      </c>
      <c r="F196">
        <v>2</v>
      </c>
      <c r="H196" t="str">
        <f>VLOOKUP(Tabla3[[#This Row],[DESCRIPCION MATERIAL]],'CODIGO MAT'!$C$2:$D$390,2,FALSE)</f>
        <v>AVI0000145</v>
      </c>
      <c r="J196">
        <v>1</v>
      </c>
      <c r="K196">
        <v>0</v>
      </c>
      <c r="L196" t="s">
        <v>657</v>
      </c>
      <c r="M196" t="s">
        <v>992</v>
      </c>
      <c r="N196" t="str">
        <f>M196&amp;Tabla3[[#This Row],[CODIGO PRODUCTO TERMINADO]]&amp;"','"&amp;L196&amp;"',"&amp;Tabla3[[#This Row],[CANTIDAD MATERIAL (M)]]&amp;");"</f>
        <v>insert into P_DFORM(CDG_PROD,CDG_CONP,CAN_PROD) VALUES('PF01','AVI0000025',2);</v>
      </c>
    </row>
    <row r="197" spans="1:14" x14ac:dyDescent="0.25">
      <c r="A197" t="s">
        <v>62</v>
      </c>
      <c r="B197" t="s">
        <v>63</v>
      </c>
      <c r="C197" t="s">
        <v>64</v>
      </c>
      <c r="D197" t="s">
        <v>51</v>
      </c>
      <c r="E197" s="8" t="s">
        <v>367</v>
      </c>
      <c r="F197">
        <v>1</v>
      </c>
      <c r="H197" t="str">
        <f>VLOOKUP(Tabla3[[#This Row],[DESCRIPCION MATERIAL]],'CODIGO MAT'!$C$2:$D$390,2,FALSE)</f>
        <v>AVI0000105</v>
      </c>
      <c r="J197">
        <v>1</v>
      </c>
      <c r="K197">
        <v>0</v>
      </c>
      <c r="L197" t="s">
        <v>837</v>
      </c>
      <c r="M197" t="s">
        <v>992</v>
      </c>
      <c r="N197" t="str">
        <f>M197&amp;Tabla3[[#This Row],[CODIGO PRODUCTO TERMINADO]]&amp;"','"&amp;L197&amp;"',"&amp;Tabla3[[#This Row],[CANTIDAD MATERIAL (M)]]&amp;");"</f>
        <v>insert into P_DFORM(CDG_PROD,CDG_CONP,CAN_PROD) VALUES('PF01','TEL0000043',1);</v>
      </c>
    </row>
    <row r="198" spans="1:14" x14ac:dyDescent="0.25">
      <c r="A198" t="s">
        <v>62</v>
      </c>
      <c r="B198" t="s">
        <v>63</v>
      </c>
      <c r="C198" t="s">
        <v>64</v>
      </c>
      <c r="D198" t="s">
        <v>51</v>
      </c>
      <c r="E198" s="8" t="s">
        <v>615</v>
      </c>
      <c r="F198">
        <v>3.2399999999999998E-2</v>
      </c>
      <c r="H198" t="str">
        <f>VLOOKUP(Tabla3[[#This Row],[DESCRIPCION MATERIAL]],'CODIGO MAT'!$C$2:$D$390,2,FALSE)</f>
        <v>AVI0000146</v>
      </c>
      <c r="L198" t="s">
        <v>907</v>
      </c>
      <c r="M198" t="s">
        <v>992</v>
      </c>
      <c r="N198" t="str">
        <f>M198&amp;Tabla3[[#This Row],[CODIGO PRODUCTO TERMINADO]]&amp;"','"&amp;L198&amp;"',"&amp;Tabla3[[#This Row],[CANTIDAD MATERIAL (M)]]&amp;");"</f>
        <v>insert into P_DFORM(CDG_PROD,CDG_CONP,CAN_PROD) VALUES('PF01','TEL0000113',0.0324);</v>
      </c>
    </row>
    <row r="199" spans="1:14" x14ac:dyDescent="0.25">
      <c r="A199" t="s">
        <v>62</v>
      </c>
      <c r="B199" t="s">
        <v>63</v>
      </c>
      <c r="C199" t="s">
        <v>64</v>
      </c>
      <c r="D199" t="s">
        <v>51</v>
      </c>
      <c r="E199" s="8" t="s">
        <v>272</v>
      </c>
      <c r="F199">
        <v>0</v>
      </c>
      <c r="H199" t="str">
        <f>VLOOKUP(Tabla3[[#This Row],[DESCRIPCION MATERIAL]],'CODIGO MAT'!$C$2:$D$390,2,FALSE)</f>
        <v>AVI0000014</v>
      </c>
      <c r="L199" t="s">
        <v>711</v>
      </c>
      <c r="M199" t="s">
        <v>992</v>
      </c>
      <c r="N199" t="str">
        <f>M199&amp;Tabla3[[#This Row],[CODIGO PRODUCTO TERMINADO]]&amp;"','"&amp;L199&amp;"',"&amp;Tabla3[[#This Row],[CANTIDAD MATERIAL (M)]]&amp;");"</f>
        <v>insert into P_DFORM(CDG_PROD,CDG_CONP,CAN_PROD) VALUES('PF01','AVI0000078',0);</v>
      </c>
    </row>
    <row r="200" spans="1:14" x14ac:dyDescent="0.25">
      <c r="A200" t="s">
        <v>62</v>
      </c>
      <c r="B200" t="s">
        <v>63</v>
      </c>
      <c r="C200" t="s">
        <v>64</v>
      </c>
      <c r="D200" t="s">
        <v>51</v>
      </c>
      <c r="E200" s="8" t="s">
        <v>269</v>
      </c>
      <c r="F200">
        <v>0</v>
      </c>
      <c r="H200" t="str">
        <f>VLOOKUP(Tabla3[[#This Row],[DESCRIPCION MATERIAL]],'CODIGO MAT'!$C$2:$D$390,2,FALSE)</f>
        <v>AVI0000011</v>
      </c>
      <c r="L200" t="s">
        <v>989</v>
      </c>
      <c r="M200" t="s">
        <v>992</v>
      </c>
      <c r="N200" t="str">
        <f>M200&amp;Tabla3[[#This Row],[CODIGO PRODUCTO TERMINADO]]&amp;"','"&amp;L200&amp;"',"&amp;Tabla3[[#This Row],[CANTIDAD MATERIAL (M)]]&amp;");"</f>
        <v>insert into P_DFORM(CDG_PROD,CDG_CONP,CAN_PROD) VALUES('PF01','AVI0000145',0);</v>
      </c>
    </row>
    <row r="201" spans="1:14" x14ac:dyDescent="0.25">
      <c r="A201" t="s">
        <v>62</v>
      </c>
      <c r="B201" t="s">
        <v>63</v>
      </c>
      <c r="C201" t="s">
        <v>64</v>
      </c>
      <c r="D201" t="s">
        <v>51</v>
      </c>
      <c r="E201" s="8" t="s">
        <v>67</v>
      </c>
      <c r="F201">
        <v>0</v>
      </c>
      <c r="H201" t="str">
        <f>VLOOKUP(Tabla3[[#This Row],[DESCRIPCION MATERIAL]],'CODIGO MAT'!$C$2:$D$390,2,FALSE)</f>
        <v>AVI0000007</v>
      </c>
      <c r="L201" t="s">
        <v>738</v>
      </c>
      <c r="M201" t="s">
        <v>992</v>
      </c>
      <c r="N201" t="str">
        <f>M201&amp;Tabla3[[#This Row],[CODIGO PRODUCTO TERMINADO]]&amp;"','"&amp;L201&amp;"',"&amp;Tabla3[[#This Row],[CANTIDAD MATERIAL (M)]]&amp;");"</f>
        <v>insert into P_DFORM(CDG_PROD,CDG_CONP,CAN_PROD) VALUES('PF01','AVI0000105',0);</v>
      </c>
    </row>
    <row r="202" spans="1:14" x14ac:dyDescent="0.25">
      <c r="A202" t="s">
        <v>62</v>
      </c>
      <c r="B202" t="s">
        <v>63</v>
      </c>
      <c r="C202" t="s">
        <v>64</v>
      </c>
      <c r="D202" t="s">
        <v>51</v>
      </c>
      <c r="E202" s="8" t="s">
        <v>68</v>
      </c>
      <c r="F202">
        <v>0</v>
      </c>
      <c r="H202" t="str">
        <f>VLOOKUP(Tabla3[[#This Row],[DESCRIPCION MATERIAL]],'CODIGO MAT'!$C$2:$D$390,2,FALSE)</f>
        <v>AVI0000005</v>
      </c>
      <c r="L202" t="s">
        <v>990</v>
      </c>
      <c r="M202" t="s">
        <v>992</v>
      </c>
      <c r="N202" t="str">
        <f>M202&amp;Tabla3[[#This Row],[CODIGO PRODUCTO TERMINADO]]&amp;"','"&amp;L202&amp;"',"&amp;Tabla3[[#This Row],[CANTIDAD MATERIAL (M)]]&amp;");"</f>
        <v>insert into P_DFORM(CDG_PROD,CDG_CONP,CAN_PROD) VALUES('PF01','AVI0000146',0);</v>
      </c>
    </row>
    <row r="203" spans="1:14" x14ac:dyDescent="0.25">
      <c r="A203" t="s">
        <v>62</v>
      </c>
      <c r="B203" t="s">
        <v>63</v>
      </c>
      <c r="C203" t="s">
        <v>64</v>
      </c>
      <c r="D203" t="s">
        <v>51</v>
      </c>
      <c r="E203" s="8" t="s">
        <v>69</v>
      </c>
      <c r="F203">
        <v>0</v>
      </c>
      <c r="H203" t="str">
        <f>VLOOKUP(Tabla3[[#This Row],[DESCRIPCION MATERIAL]],'CODIGO MAT'!$C$2:$D$390,2,FALSE)</f>
        <v>AVI0000147</v>
      </c>
      <c r="L203" t="s">
        <v>646</v>
      </c>
      <c r="M203" t="s">
        <v>992</v>
      </c>
      <c r="N203" t="str">
        <f>M203&amp;Tabla3[[#This Row],[CODIGO PRODUCTO TERMINADO]]&amp;"','"&amp;L203&amp;"',"&amp;Tabla3[[#This Row],[CANTIDAD MATERIAL (M)]]&amp;");"</f>
        <v>insert into P_DFORM(CDG_PROD,CDG_CONP,CAN_PROD) VALUES('PF01','AVI0000014',0);</v>
      </c>
    </row>
    <row r="204" spans="1:14" x14ac:dyDescent="0.25">
      <c r="A204" t="s">
        <v>62</v>
      </c>
      <c r="B204" t="s">
        <v>63</v>
      </c>
      <c r="C204" t="s">
        <v>64</v>
      </c>
      <c r="D204" t="s">
        <v>51</v>
      </c>
      <c r="E204" s="8" t="s">
        <v>282</v>
      </c>
      <c r="F204">
        <v>0</v>
      </c>
      <c r="H204" t="str">
        <f>VLOOKUP(Tabla3[[#This Row],[DESCRIPCION MATERIAL]],'CODIGO MAT'!$C$2:$D$390,2,FALSE)</f>
        <v>AVI0000025</v>
      </c>
      <c r="L204" t="s">
        <v>644</v>
      </c>
      <c r="M204" t="s">
        <v>992</v>
      </c>
      <c r="N204" t="str">
        <f>M204&amp;Tabla3[[#This Row],[CODIGO PRODUCTO TERMINADO]]&amp;"','"&amp;L204&amp;"',"&amp;Tabla3[[#This Row],[CANTIDAD MATERIAL (M)]]&amp;");"</f>
        <v>insert into P_DFORM(CDG_PROD,CDG_CONP,CAN_PROD) VALUES('PF01','AVI0000011',0);</v>
      </c>
    </row>
    <row r="205" spans="1:14" x14ac:dyDescent="0.25">
      <c r="A205" t="s">
        <v>621</v>
      </c>
      <c r="B205" t="s">
        <v>63</v>
      </c>
      <c r="C205" t="s">
        <v>620</v>
      </c>
      <c r="D205" t="s">
        <v>50</v>
      </c>
      <c r="E205" s="8" t="s">
        <v>33</v>
      </c>
      <c r="F205">
        <v>0.93500000000000005</v>
      </c>
      <c r="H205" t="str">
        <f>VLOOKUP(Tabla3[[#This Row],[DESCRIPCION MATERIAL]],'CODIGO MAT'!$C$2:$D$390,2,FALSE)</f>
        <v>TEL0000043</v>
      </c>
      <c r="J205">
        <v>1</v>
      </c>
      <c r="K205">
        <v>0</v>
      </c>
      <c r="L205" t="s">
        <v>642</v>
      </c>
      <c r="M205" t="s">
        <v>992</v>
      </c>
      <c r="N205" t="str">
        <f>M205&amp;Tabla3[[#This Row],[CODIGO PRODUCTO TERMINADO]]&amp;"','"&amp;L205&amp;"',"&amp;Tabla3[[#This Row],[CANTIDAD MATERIAL (M)]]&amp;");"</f>
        <v>insert into P_DFORM(CDG_PROD,CDG_CONP,CAN_PROD) VALUES('PF02','AVI0000007',0.935);</v>
      </c>
    </row>
    <row r="206" spans="1:14" x14ac:dyDescent="0.25">
      <c r="A206" t="s">
        <v>621</v>
      </c>
      <c r="B206" t="s">
        <v>63</v>
      </c>
      <c r="C206" t="s">
        <v>620</v>
      </c>
      <c r="D206" t="s">
        <v>50</v>
      </c>
      <c r="E206" s="8" t="s">
        <v>186</v>
      </c>
      <c r="F206">
        <v>0.29499999999999998</v>
      </c>
      <c r="H206" t="str">
        <f>VLOOKUP(Tabla3[[#This Row],[DESCRIPCION MATERIAL]],'CODIGO MAT'!$C$2:$D$390,2,FALSE)</f>
        <v>TEL0000113</v>
      </c>
      <c r="J206">
        <v>1</v>
      </c>
      <c r="K206">
        <v>0</v>
      </c>
      <c r="L206" t="s">
        <v>640</v>
      </c>
      <c r="M206" t="s">
        <v>992</v>
      </c>
      <c r="N206" t="str">
        <f>M206&amp;Tabla3[[#This Row],[CODIGO PRODUCTO TERMINADO]]&amp;"','"&amp;L206&amp;"',"&amp;Tabla3[[#This Row],[CANTIDAD MATERIAL (M)]]&amp;");"</f>
        <v>insert into P_DFORM(CDG_PROD,CDG_CONP,CAN_PROD) VALUES('PF02','AVI0000005',0.295);</v>
      </c>
    </row>
    <row r="207" spans="1:14" x14ac:dyDescent="0.25">
      <c r="A207" t="s">
        <v>621</v>
      </c>
      <c r="B207" t="s">
        <v>63</v>
      </c>
      <c r="C207" t="s">
        <v>620</v>
      </c>
      <c r="D207" t="s">
        <v>51</v>
      </c>
      <c r="E207" s="8" t="s">
        <v>340</v>
      </c>
      <c r="F207">
        <v>0.8</v>
      </c>
      <c r="H207" t="str">
        <f>VLOOKUP(Tabla3[[#This Row],[DESCRIPCION MATERIAL]],'CODIGO MAT'!$C$2:$D$390,2,FALSE)</f>
        <v>AVI0000078</v>
      </c>
      <c r="J207">
        <v>1</v>
      </c>
      <c r="K207">
        <v>0</v>
      </c>
      <c r="L207" t="s">
        <v>991</v>
      </c>
      <c r="M207" t="s">
        <v>992</v>
      </c>
      <c r="N207" t="str">
        <f>M207&amp;Tabla3[[#This Row],[CODIGO PRODUCTO TERMINADO]]&amp;"','"&amp;L207&amp;"',"&amp;Tabla3[[#This Row],[CANTIDAD MATERIAL (M)]]&amp;");"</f>
        <v>insert into P_DFORM(CDG_PROD,CDG_CONP,CAN_PROD) VALUES('PF02','AVI0000147',0.8);</v>
      </c>
    </row>
    <row r="208" spans="1:14" x14ac:dyDescent="0.25">
      <c r="A208" t="s">
        <v>621</v>
      </c>
      <c r="B208" t="s">
        <v>63</v>
      </c>
      <c r="C208" t="s">
        <v>620</v>
      </c>
      <c r="D208" t="s">
        <v>51</v>
      </c>
      <c r="E208" s="8" t="s">
        <v>614</v>
      </c>
      <c r="F208">
        <v>2.0499999999999998</v>
      </c>
      <c r="H208" t="str">
        <f>VLOOKUP(Tabla3[[#This Row],[DESCRIPCION MATERIAL]],'CODIGO MAT'!$C$2:$D$390,2,FALSE)</f>
        <v>AVI0000145</v>
      </c>
      <c r="J208">
        <v>1</v>
      </c>
      <c r="K208">
        <v>0</v>
      </c>
      <c r="L208" t="s">
        <v>657</v>
      </c>
      <c r="M208" t="s">
        <v>992</v>
      </c>
      <c r="N208" t="str">
        <f>M208&amp;Tabla3[[#This Row],[CODIGO PRODUCTO TERMINADO]]&amp;"','"&amp;L208&amp;"',"&amp;Tabla3[[#This Row],[CANTIDAD MATERIAL (M)]]&amp;");"</f>
        <v>insert into P_DFORM(CDG_PROD,CDG_CONP,CAN_PROD) VALUES('PF02','AVI0000025',2.05);</v>
      </c>
    </row>
    <row r="209" spans="1:14" x14ac:dyDescent="0.25">
      <c r="A209" t="s">
        <v>621</v>
      </c>
      <c r="B209" t="s">
        <v>63</v>
      </c>
      <c r="C209" t="s">
        <v>620</v>
      </c>
      <c r="D209" t="s">
        <v>51</v>
      </c>
      <c r="E209" s="8" t="s">
        <v>367</v>
      </c>
      <c r="F209">
        <v>1</v>
      </c>
      <c r="H209" t="str">
        <f>VLOOKUP(Tabla3[[#This Row],[DESCRIPCION MATERIAL]],'CODIGO MAT'!$C$2:$D$390,2,FALSE)</f>
        <v>AVI0000105</v>
      </c>
      <c r="J209">
        <v>1</v>
      </c>
      <c r="K209">
        <v>0</v>
      </c>
      <c r="L209" t="s">
        <v>837</v>
      </c>
      <c r="M209" t="s">
        <v>992</v>
      </c>
      <c r="N209" t="str">
        <f>M209&amp;Tabla3[[#This Row],[CODIGO PRODUCTO TERMINADO]]&amp;"','"&amp;L209&amp;"',"&amp;Tabla3[[#This Row],[CANTIDAD MATERIAL (M)]]&amp;");"</f>
        <v>insert into P_DFORM(CDG_PROD,CDG_CONP,CAN_PROD) VALUES('PF02','TEL0000043',1);</v>
      </c>
    </row>
    <row r="210" spans="1:14" x14ac:dyDescent="0.25">
      <c r="A210" t="s">
        <v>621</v>
      </c>
      <c r="B210" t="s">
        <v>63</v>
      </c>
      <c r="C210" t="s">
        <v>620</v>
      </c>
      <c r="D210" t="s">
        <v>51</v>
      </c>
      <c r="E210" s="8" t="s">
        <v>615</v>
      </c>
      <c r="F210">
        <v>3.2399999999999998E-2</v>
      </c>
      <c r="H210" t="str">
        <f>VLOOKUP(Tabla3[[#This Row],[DESCRIPCION MATERIAL]],'CODIGO MAT'!$C$2:$D$390,2,FALSE)</f>
        <v>AVI0000146</v>
      </c>
      <c r="L210" t="s">
        <v>907</v>
      </c>
      <c r="M210" t="s">
        <v>992</v>
      </c>
      <c r="N210" t="str">
        <f>M210&amp;Tabla3[[#This Row],[CODIGO PRODUCTO TERMINADO]]&amp;"','"&amp;L210&amp;"',"&amp;Tabla3[[#This Row],[CANTIDAD MATERIAL (M)]]&amp;");"</f>
        <v>insert into P_DFORM(CDG_PROD,CDG_CONP,CAN_PROD) VALUES('PF02','TEL0000113',0.0324);</v>
      </c>
    </row>
    <row r="211" spans="1:14" x14ac:dyDescent="0.25">
      <c r="A211" t="s">
        <v>621</v>
      </c>
      <c r="B211" t="s">
        <v>63</v>
      </c>
      <c r="C211" t="s">
        <v>620</v>
      </c>
      <c r="D211" t="s">
        <v>51</v>
      </c>
      <c r="E211" s="8" t="s">
        <v>272</v>
      </c>
      <c r="F211">
        <v>0</v>
      </c>
      <c r="H211" t="str">
        <f>VLOOKUP(Tabla3[[#This Row],[DESCRIPCION MATERIAL]],'CODIGO MAT'!$C$2:$D$390,2,FALSE)</f>
        <v>AVI0000014</v>
      </c>
      <c r="L211" t="s">
        <v>711</v>
      </c>
      <c r="M211" t="s">
        <v>992</v>
      </c>
      <c r="N211" t="str">
        <f>M211&amp;Tabla3[[#This Row],[CODIGO PRODUCTO TERMINADO]]&amp;"','"&amp;L211&amp;"',"&amp;Tabla3[[#This Row],[CANTIDAD MATERIAL (M)]]&amp;");"</f>
        <v>insert into P_DFORM(CDG_PROD,CDG_CONP,CAN_PROD) VALUES('PF02','AVI0000078',0);</v>
      </c>
    </row>
    <row r="212" spans="1:14" x14ac:dyDescent="0.25">
      <c r="A212" t="s">
        <v>621</v>
      </c>
      <c r="B212" t="s">
        <v>63</v>
      </c>
      <c r="C212" t="s">
        <v>620</v>
      </c>
      <c r="D212" t="s">
        <v>51</v>
      </c>
      <c r="E212" s="8" t="s">
        <v>269</v>
      </c>
      <c r="F212">
        <v>0</v>
      </c>
      <c r="H212" t="str">
        <f>VLOOKUP(Tabla3[[#This Row],[DESCRIPCION MATERIAL]],'CODIGO MAT'!$C$2:$D$390,2,FALSE)</f>
        <v>AVI0000011</v>
      </c>
      <c r="L212" t="s">
        <v>989</v>
      </c>
      <c r="M212" t="s">
        <v>992</v>
      </c>
      <c r="N212" t="str">
        <f>M212&amp;Tabla3[[#This Row],[CODIGO PRODUCTO TERMINADO]]&amp;"','"&amp;L212&amp;"',"&amp;Tabla3[[#This Row],[CANTIDAD MATERIAL (M)]]&amp;");"</f>
        <v>insert into P_DFORM(CDG_PROD,CDG_CONP,CAN_PROD) VALUES('PF02','AVI0000145',0);</v>
      </c>
    </row>
    <row r="213" spans="1:14" x14ac:dyDescent="0.25">
      <c r="A213" t="s">
        <v>621</v>
      </c>
      <c r="B213" t="s">
        <v>63</v>
      </c>
      <c r="C213" t="s">
        <v>620</v>
      </c>
      <c r="D213" t="s">
        <v>51</v>
      </c>
      <c r="E213" s="8" t="s">
        <v>67</v>
      </c>
      <c r="F213">
        <v>0</v>
      </c>
      <c r="H213" t="str">
        <f>VLOOKUP(Tabla3[[#This Row],[DESCRIPCION MATERIAL]],'CODIGO MAT'!$C$2:$D$390,2,FALSE)</f>
        <v>AVI0000007</v>
      </c>
      <c r="L213" t="s">
        <v>738</v>
      </c>
      <c r="M213" t="s">
        <v>992</v>
      </c>
      <c r="N213" t="str">
        <f>M213&amp;Tabla3[[#This Row],[CODIGO PRODUCTO TERMINADO]]&amp;"','"&amp;L213&amp;"',"&amp;Tabla3[[#This Row],[CANTIDAD MATERIAL (M)]]&amp;");"</f>
        <v>insert into P_DFORM(CDG_PROD,CDG_CONP,CAN_PROD) VALUES('PF02','AVI0000105',0);</v>
      </c>
    </row>
    <row r="214" spans="1:14" x14ac:dyDescent="0.25">
      <c r="A214" t="s">
        <v>621</v>
      </c>
      <c r="B214" t="s">
        <v>63</v>
      </c>
      <c r="C214" t="s">
        <v>620</v>
      </c>
      <c r="D214" t="s">
        <v>51</v>
      </c>
      <c r="E214" s="8" t="s">
        <v>68</v>
      </c>
      <c r="F214">
        <v>0</v>
      </c>
      <c r="H214" t="str">
        <f>VLOOKUP(Tabla3[[#This Row],[DESCRIPCION MATERIAL]],'CODIGO MAT'!$C$2:$D$390,2,FALSE)</f>
        <v>AVI0000005</v>
      </c>
      <c r="L214" t="s">
        <v>990</v>
      </c>
      <c r="M214" t="s">
        <v>992</v>
      </c>
      <c r="N214" t="str">
        <f>M214&amp;Tabla3[[#This Row],[CODIGO PRODUCTO TERMINADO]]&amp;"','"&amp;L214&amp;"',"&amp;Tabla3[[#This Row],[CANTIDAD MATERIAL (M)]]&amp;");"</f>
        <v>insert into P_DFORM(CDG_PROD,CDG_CONP,CAN_PROD) VALUES('PF02','AVI0000146',0);</v>
      </c>
    </row>
    <row r="215" spans="1:14" x14ac:dyDescent="0.25">
      <c r="A215" t="s">
        <v>621</v>
      </c>
      <c r="B215" t="s">
        <v>63</v>
      </c>
      <c r="C215" t="s">
        <v>620</v>
      </c>
      <c r="D215" t="s">
        <v>51</v>
      </c>
      <c r="E215" s="8" t="s">
        <v>69</v>
      </c>
      <c r="F215">
        <v>0</v>
      </c>
      <c r="H215" t="str">
        <f>VLOOKUP(Tabla3[[#This Row],[DESCRIPCION MATERIAL]],'CODIGO MAT'!$C$2:$D$390,2,FALSE)</f>
        <v>AVI0000147</v>
      </c>
      <c r="L215" t="s">
        <v>646</v>
      </c>
      <c r="M215" t="s">
        <v>992</v>
      </c>
      <c r="N215" t="str">
        <f>M215&amp;Tabla3[[#This Row],[CODIGO PRODUCTO TERMINADO]]&amp;"','"&amp;L215&amp;"',"&amp;Tabla3[[#This Row],[CANTIDAD MATERIAL (M)]]&amp;");"</f>
        <v>insert into P_DFORM(CDG_PROD,CDG_CONP,CAN_PROD) VALUES('PF02','AVI0000014',0);</v>
      </c>
    </row>
    <row r="216" spans="1:14" x14ac:dyDescent="0.25">
      <c r="A216" t="s">
        <v>621</v>
      </c>
      <c r="B216" t="s">
        <v>63</v>
      </c>
      <c r="C216" t="s">
        <v>620</v>
      </c>
      <c r="D216" t="s">
        <v>51</v>
      </c>
      <c r="E216" s="8" t="s">
        <v>282</v>
      </c>
      <c r="F216">
        <v>0</v>
      </c>
      <c r="H216" t="str">
        <f>VLOOKUP(Tabla3[[#This Row],[DESCRIPCION MATERIAL]],'CODIGO MAT'!$C$2:$D$390,2,FALSE)</f>
        <v>AVI0000025</v>
      </c>
      <c r="L216" t="s">
        <v>644</v>
      </c>
      <c r="M216" t="s">
        <v>992</v>
      </c>
      <c r="N216" t="str">
        <f>M216&amp;Tabla3[[#This Row],[CODIGO PRODUCTO TERMINADO]]&amp;"','"&amp;L216&amp;"',"&amp;Tabla3[[#This Row],[CANTIDAD MATERIAL (M)]]&amp;");"</f>
        <v>insert into P_DFORM(CDG_PROD,CDG_CONP,CAN_PROD) VALUES('PF02','AVI0000011',0);</v>
      </c>
    </row>
    <row r="217" spans="1:14" x14ac:dyDescent="0.25">
      <c r="A217" t="s">
        <v>623</v>
      </c>
      <c r="B217" t="s">
        <v>63</v>
      </c>
      <c r="C217" t="s">
        <v>622</v>
      </c>
      <c r="D217" t="s">
        <v>50</v>
      </c>
      <c r="E217" s="8" t="s">
        <v>33</v>
      </c>
      <c r="F217">
        <v>1.06</v>
      </c>
      <c r="H217" t="str">
        <f>VLOOKUP(Tabla3[[#This Row],[DESCRIPCION MATERIAL]],'CODIGO MAT'!$C$2:$D$390,2,FALSE)</f>
        <v>TEL0000043</v>
      </c>
      <c r="J217">
        <v>1</v>
      </c>
      <c r="K217">
        <v>0</v>
      </c>
      <c r="L217" t="s">
        <v>642</v>
      </c>
      <c r="M217" t="s">
        <v>992</v>
      </c>
      <c r="N217" t="str">
        <f>M217&amp;Tabla3[[#This Row],[CODIGO PRODUCTO TERMINADO]]&amp;"','"&amp;L217&amp;"',"&amp;Tabla3[[#This Row],[CANTIDAD MATERIAL (M)]]&amp;");"</f>
        <v>insert into P_DFORM(CDG_PROD,CDG_CONP,CAN_PROD) VALUES('PF03','AVI0000007',1.06);</v>
      </c>
    </row>
    <row r="218" spans="1:14" x14ac:dyDescent="0.25">
      <c r="A218" t="s">
        <v>623</v>
      </c>
      <c r="B218" t="s">
        <v>63</v>
      </c>
      <c r="C218" t="s">
        <v>622</v>
      </c>
      <c r="D218" t="s">
        <v>50</v>
      </c>
      <c r="E218" s="8" t="s">
        <v>186</v>
      </c>
      <c r="F218">
        <v>0.3</v>
      </c>
      <c r="H218" t="str">
        <f>VLOOKUP(Tabla3[[#This Row],[DESCRIPCION MATERIAL]],'CODIGO MAT'!$C$2:$D$390,2,FALSE)</f>
        <v>TEL0000113</v>
      </c>
      <c r="J218">
        <v>1</v>
      </c>
      <c r="K218">
        <v>0</v>
      </c>
      <c r="L218" t="s">
        <v>640</v>
      </c>
      <c r="M218" t="s">
        <v>992</v>
      </c>
      <c r="N218" t="str">
        <f>M218&amp;Tabla3[[#This Row],[CODIGO PRODUCTO TERMINADO]]&amp;"','"&amp;L218&amp;"',"&amp;Tabla3[[#This Row],[CANTIDAD MATERIAL (M)]]&amp;");"</f>
        <v>insert into P_DFORM(CDG_PROD,CDG_CONP,CAN_PROD) VALUES('PF03','AVI0000005',0.3);</v>
      </c>
    </row>
    <row r="219" spans="1:14" x14ac:dyDescent="0.25">
      <c r="A219" t="s">
        <v>623</v>
      </c>
      <c r="B219" t="s">
        <v>63</v>
      </c>
      <c r="C219" t="s">
        <v>622</v>
      </c>
      <c r="D219" t="s">
        <v>51</v>
      </c>
      <c r="E219" s="8" t="s">
        <v>340</v>
      </c>
      <c r="F219">
        <v>0.88</v>
      </c>
      <c r="H219" t="str">
        <f>VLOOKUP(Tabla3[[#This Row],[DESCRIPCION MATERIAL]],'CODIGO MAT'!$C$2:$D$390,2,FALSE)</f>
        <v>AVI0000078</v>
      </c>
      <c r="J219">
        <v>1</v>
      </c>
      <c r="K219">
        <v>0</v>
      </c>
      <c r="L219" t="s">
        <v>991</v>
      </c>
      <c r="M219" t="s">
        <v>992</v>
      </c>
      <c r="N219" t="str">
        <f>M219&amp;Tabla3[[#This Row],[CODIGO PRODUCTO TERMINADO]]&amp;"','"&amp;L219&amp;"',"&amp;Tabla3[[#This Row],[CANTIDAD MATERIAL (M)]]&amp;");"</f>
        <v>insert into P_DFORM(CDG_PROD,CDG_CONP,CAN_PROD) VALUES('PF03','AVI0000147',0.88);</v>
      </c>
    </row>
    <row r="220" spans="1:14" x14ac:dyDescent="0.25">
      <c r="A220" t="s">
        <v>623</v>
      </c>
      <c r="B220" t="s">
        <v>63</v>
      </c>
      <c r="C220" t="s">
        <v>622</v>
      </c>
      <c r="D220" t="s">
        <v>51</v>
      </c>
      <c r="E220" s="8" t="s">
        <v>614</v>
      </c>
      <c r="F220">
        <v>2.13</v>
      </c>
      <c r="H220" t="str">
        <f>VLOOKUP(Tabla3[[#This Row],[DESCRIPCION MATERIAL]],'CODIGO MAT'!$C$2:$D$390,2,FALSE)</f>
        <v>AVI0000145</v>
      </c>
      <c r="J220">
        <v>1</v>
      </c>
      <c r="K220">
        <v>0</v>
      </c>
      <c r="L220" t="s">
        <v>657</v>
      </c>
      <c r="M220" t="s">
        <v>992</v>
      </c>
      <c r="N220" t="str">
        <f>M220&amp;Tabla3[[#This Row],[CODIGO PRODUCTO TERMINADO]]&amp;"','"&amp;L220&amp;"',"&amp;Tabla3[[#This Row],[CANTIDAD MATERIAL (M)]]&amp;");"</f>
        <v>insert into P_DFORM(CDG_PROD,CDG_CONP,CAN_PROD) VALUES('PF03','AVI0000025',2.13);</v>
      </c>
    </row>
    <row r="221" spans="1:14" x14ac:dyDescent="0.25">
      <c r="A221" t="s">
        <v>623</v>
      </c>
      <c r="B221" t="s">
        <v>63</v>
      </c>
      <c r="C221" t="s">
        <v>622</v>
      </c>
      <c r="D221" t="s">
        <v>51</v>
      </c>
      <c r="E221" s="8" t="s">
        <v>367</v>
      </c>
      <c r="F221">
        <v>1</v>
      </c>
      <c r="H221" t="str">
        <f>VLOOKUP(Tabla3[[#This Row],[DESCRIPCION MATERIAL]],'CODIGO MAT'!$C$2:$D$390,2,FALSE)</f>
        <v>AVI0000105</v>
      </c>
      <c r="J221">
        <v>1</v>
      </c>
      <c r="K221">
        <v>0</v>
      </c>
      <c r="L221" t="s">
        <v>837</v>
      </c>
      <c r="M221" t="s">
        <v>992</v>
      </c>
      <c r="N221" t="str">
        <f>M221&amp;Tabla3[[#This Row],[CODIGO PRODUCTO TERMINADO]]&amp;"','"&amp;L221&amp;"',"&amp;Tabla3[[#This Row],[CANTIDAD MATERIAL (M)]]&amp;");"</f>
        <v>insert into P_DFORM(CDG_PROD,CDG_CONP,CAN_PROD) VALUES('PF03','TEL0000043',1);</v>
      </c>
    </row>
    <row r="222" spans="1:14" x14ac:dyDescent="0.25">
      <c r="A222" t="s">
        <v>623</v>
      </c>
      <c r="B222" t="s">
        <v>63</v>
      </c>
      <c r="C222" t="s">
        <v>622</v>
      </c>
      <c r="D222" t="s">
        <v>51</v>
      </c>
      <c r="E222" s="8" t="s">
        <v>615</v>
      </c>
      <c r="F222">
        <v>3.2399999999999998E-2</v>
      </c>
      <c r="H222" t="str">
        <f>VLOOKUP(Tabla3[[#This Row],[DESCRIPCION MATERIAL]],'CODIGO MAT'!$C$2:$D$390,2,FALSE)</f>
        <v>AVI0000146</v>
      </c>
      <c r="L222" t="s">
        <v>907</v>
      </c>
      <c r="M222" t="s">
        <v>992</v>
      </c>
      <c r="N222" t="str">
        <f>M222&amp;Tabla3[[#This Row],[CODIGO PRODUCTO TERMINADO]]&amp;"','"&amp;L222&amp;"',"&amp;Tabla3[[#This Row],[CANTIDAD MATERIAL (M)]]&amp;");"</f>
        <v>insert into P_DFORM(CDG_PROD,CDG_CONP,CAN_PROD) VALUES('PF03','TEL0000113',0.0324);</v>
      </c>
    </row>
    <row r="223" spans="1:14" x14ac:dyDescent="0.25">
      <c r="A223" t="s">
        <v>623</v>
      </c>
      <c r="B223" t="s">
        <v>63</v>
      </c>
      <c r="C223" t="s">
        <v>622</v>
      </c>
      <c r="D223" t="s">
        <v>51</v>
      </c>
      <c r="E223" s="8" t="s">
        <v>272</v>
      </c>
      <c r="F223">
        <v>0</v>
      </c>
      <c r="H223" t="str">
        <f>VLOOKUP(Tabla3[[#This Row],[DESCRIPCION MATERIAL]],'CODIGO MAT'!$C$2:$D$390,2,FALSE)</f>
        <v>AVI0000014</v>
      </c>
      <c r="L223" t="s">
        <v>711</v>
      </c>
      <c r="M223" t="s">
        <v>992</v>
      </c>
      <c r="N223" t="str">
        <f>M223&amp;Tabla3[[#This Row],[CODIGO PRODUCTO TERMINADO]]&amp;"','"&amp;L223&amp;"',"&amp;Tabla3[[#This Row],[CANTIDAD MATERIAL (M)]]&amp;");"</f>
        <v>insert into P_DFORM(CDG_PROD,CDG_CONP,CAN_PROD) VALUES('PF03','AVI0000078',0);</v>
      </c>
    </row>
    <row r="224" spans="1:14" x14ac:dyDescent="0.25">
      <c r="A224" t="s">
        <v>623</v>
      </c>
      <c r="B224" t="s">
        <v>63</v>
      </c>
      <c r="C224" t="s">
        <v>622</v>
      </c>
      <c r="D224" t="s">
        <v>51</v>
      </c>
      <c r="E224" s="8" t="s">
        <v>269</v>
      </c>
      <c r="F224">
        <v>0</v>
      </c>
      <c r="H224" t="str">
        <f>VLOOKUP(Tabla3[[#This Row],[DESCRIPCION MATERIAL]],'CODIGO MAT'!$C$2:$D$390,2,FALSE)</f>
        <v>AVI0000011</v>
      </c>
      <c r="L224" t="s">
        <v>989</v>
      </c>
      <c r="M224" t="s">
        <v>992</v>
      </c>
      <c r="N224" t="str">
        <f>M224&amp;Tabla3[[#This Row],[CODIGO PRODUCTO TERMINADO]]&amp;"','"&amp;L224&amp;"',"&amp;Tabla3[[#This Row],[CANTIDAD MATERIAL (M)]]&amp;");"</f>
        <v>insert into P_DFORM(CDG_PROD,CDG_CONP,CAN_PROD) VALUES('PF03','AVI0000145',0);</v>
      </c>
    </row>
    <row r="225" spans="1:14" x14ac:dyDescent="0.25">
      <c r="A225" t="s">
        <v>623</v>
      </c>
      <c r="B225" t="s">
        <v>63</v>
      </c>
      <c r="C225" t="s">
        <v>622</v>
      </c>
      <c r="D225" t="s">
        <v>51</v>
      </c>
      <c r="E225" s="8" t="s">
        <v>67</v>
      </c>
      <c r="F225">
        <v>0</v>
      </c>
      <c r="H225" t="str">
        <f>VLOOKUP(Tabla3[[#This Row],[DESCRIPCION MATERIAL]],'CODIGO MAT'!$C$2:$D$390,2,FALSE)</f>
        <v>AVI0000007</v>
      </c>
      <c r="L225" t="s">
        <v>738</v>
      </c>
      <c r="M225" t="s">
        <v>992</v>
      </c>
      <c r="N225" t="str">
        <f>M225&amp;Tabla3[[#This Row],[CODIGO PRODUCTO TERMINADO]]&amp;"','"&amp;L225&amp;"',"&amp;Tabla3[[#This Row],[CANTIDAD MATERIAL (M)]]&amp;");"</f>
        <v>insert into P_DFORM(CDG_PROD,CDG_CONP,CAN_PROD) VALUES('PF03','AVI0000105',0);</v>
      </c>
    </row>
    <row r="226" spans="1:14" x14ac:dyDescent="0.25">
      <c r="A226" t="s">
        <v>623</v>
      </c>
      <c r="B226" t="s">
        <v>63</v>
      </c>
      <c r="C226" t="s">
        <v>622</v>
      </c>
      <c r="D226" t="s">
        <v>51</v>
      </c>
      <c r="E226" s="8" t="s">
        <v>68</v>
      </c>
      <c r="F226">
        <v>0</v>
      </c>
      <c r="H226" t="str">
        <f>VLOOKUP(Tabla3[[#This Row],[DESCRIPCION MATERIAL]],'CODIGO MAT'!$C$2:$D$390,2,FALSE)</f>
        <v>AVI0000005</v>
      </c>
      <c r="L226" t="s">
        <v>990</v>
      </c>
      <c r="M226" t="s">
        <v>992</v>
      </c>
      <c r="N226" t="str">
        <f>M226&amp;Tabla3[[#This Row],[CODIGO PRODUCTO TERMINADO]]&amp;"','"&amp;L226&amp;"',"&amp;Tabla3[[#This Row],[CANTIDAD MATERIAL (M)]]&amp;");"</f>
        <v>insert into P_DFORM(CDG_PROD,CDG_CONP,CAN_PROD) VALUES('PF03','AVI0000146',0);</v>
      </c>
    </row>
    <row r="227" spans="1:14" x14ac:dyDescent="0.25">
      <c r="A227" t="s">
        <v>623</v>
      </c>
      <c r="B227" t="s">
        <v>63</v>
      </c>
      <c r="C227" t="s">
        <v>622</v>
      </c>
      <c r="D227" t="s">
        <v>51</v>
      </c>
      <c r="E227" s="8" t="s">
        <v>69</v>
      </c>
      <c r="F227">
        <v>0</v>
      </c>
      <c r="H227" t="str">
        <f>VLOOKUP(Tabla3[[#This Row],[DESCRIPCION MATERIAL]],'CODIGO MAT'!$C$2:$D$390,2,FALSE)</f>
        <v>AVI0000147</v>
      </c>
      <c r="L227" t="s">
        <v>646</v>
      </c>
      <c r="M227" t="s">
        <v>992</v>
      </c>
      <c r="N227" t="str">
        <f>M227&amp;Tabla3[[#This Row],[CODIGO PRODUCTO TERMINADO]]&amp;"','"&amp;L227&amp;"',"&amp;Tabla3[[#This Row],[CANTIDAD MATERIAL (M)]]&amp;");"</f>
        <v>insert into P_DFORM(CDG_PROD,CDG_CONP,CAN_PROD) VALUES('PF03','AVI0000014',0);</v>
      </c>
    </row>
    <row r="228" spans="1:14" x14ac:dyDescent="0.25">
      <c r="A228" t="s">
        <v>623</v>
      </c>
      <c r="B228" t="s">
        <v>63</v>
      </c>
      <c r="C228" t="s">
        <v>622</v>
      </c>
      <c r="D228" t="s">
        <v>51</v>
      </c>
      <c r="E228" s="8" t="s">
        <v>282</v>
      </c>
      <c r="F228">
        <v>0</v>
      </c>
      <c r="H228" t="str">
        <f>VLOOKUP(Tabla3[[#This Row],[DESCRIPCION MATERIAL]],'CODIGO MAT'!$C$2:$D$390,2,FALSE)</f>
        <v>AVI0000025</v>
      </c>
      <c r="L228" t="s">
        <v>644</v>
      </c>
      <c r="M228" t="s">
        <v>992</v>
      </c>
      <c r="N228" t="str">
        <f>M228&amp;Tabla3[[#This Row],[CODIGO PRODUCTO TERMINADO]]&amp;"','"&amp;L228&amp;"',"&amp;Tabla3[[#This Row],[CANTIDAD MATERIAL (M)]]&amp;");"</f>
        <v>insert into P_DFORM(CDG_PROD,CDG_CONP,CAN_PROD) VALUES('PF03','AVI0000011',0);</v>
      </c>
    </row>
    <row r="229" spans="1:14" x14ac:dyDescent="0.25">
      <c r="A229" t="s">
        <v>625</v>
      </c>
      <c r="B229" t="s">
        <v>63</v>
      </c>
      <c r="C229" t="s">
        <v>624</v>
      </c>
      <c r="D229" t="s">
        <v>50</v>
      </c>
      <c r="E229" s="8" t="s">
        <v>33</v>
      </c>
      <c r="F229">
        <v>1.2075</v>
      </c>
      <c r="H229" t="str">
        <f>VLOOKUP(Tabla3[[#This Row],[DESCRIPCION MATERIAL]],'CODIGO MAT'!$C$2:$D$390,2,FALSE)</f>
        <v>TEL0000043</v>
      </c>
      <c r="J229">
        <v>1</v>
      </c>
      <c r="K229">
        <v>0</v>
      </c>
      <c r="L229" t="s">
        <v>642</v>
      </c>
      <c r="M229" t="s">
        <v>992</v>
      </c>
      <c r="N229" t="str">
        <f>M229&amp;Tabla3[[#This Row],[CODIGO PRODUCTO TERMINADO]]&amp;"','"&amp;L229&amp;"',"&amp;Tabla3[[#This Row],[CANTIDAD MATERIAL (M)]]&amp;");"</f>
        <v>insert into P_DFORM(CDG_PROD,CDG_CONP,CAN_PROD) VALUES('PF04','AVI0000007',1.2075);</v>
      </c>
    </row>
    <row r="230" spans="1:14" x14ac:dyDescent="0.25">
      <c r="A230" t="s">
        <v>625</v>
      </c>
      <c r="B230" t="s">
        <v>63</v>
      </c>
      <c r="C230" t="s">
        <v>624</v>
      </c>
      <c r="D230" t="s">
        <v>50</v>
      </c>
      <c r="E230" s="8" t="s">
        <v>186</v>
      </c>
      <c r="F230">
        <v>0.31</v>
      </c>
      <c r="H230" t="str">
        <f>VLOOKUP(Tabla3[[#This Row],[DESCRIPCION MATERIAL]],'CODIGO MAT'!$C$2:$D$390,2,FALSE)</f>
        <v>TEL0000113</v>
      </c>
      <c r="J230">
        <v>1</v>
      </c>
      <c r="K230">
        <v>0</v>
      </c>
      <c r="L230" t="s">
        <v>640</v>
      </c>
      <c r="M230" t="s">
        <v>992</v>
      </c>
      <c r="N230" t="str">
        <f>M230&amp;Tabla3[[#This Row],[CODIGO PRODUCTO TERMINADO]]&amp;"','"&amp;L230&amp;"',"&amp;Tabla3[[#This Row],[CANTIDAD MATERIAL (M)]]&amp;");"</f>
        <v>insert into P_DFORM(CDG_PROD,CDG_CONP,CAN_PROD) VALUES('PF04','AVI0000005',0.31);</v>
      </c>
    </row>
    <row r="231" spans="1:14" x14ac:dyDescent="0.25">
      <c r="A231" t="s">
        <v>625</v>
      </c>
      <c r="B231" t="s">
        <v>63</v>
      </c>
      <c r="C231" t="s">
        <v>624</v>
      </c>
      <c r="D231" t="s">
        <v>51</v>
      </c>
      <c r="E231" s="8" t="s">
        <v>340</v>
      </c>
      <c r="F231">
        <v>0.96</v>
      </c>
      <c r="H231" t="str">
        <f>VLOOKUP(Tabla3[[#This Row],[DESCRIPCION MATERIAL]],'CODIGO MAT'!$C$2:$D$390,2,FALSE)</f>
        <v>AVI0000078</v>
      </c>
      <c r="J231">
        <v>1</v>
      </c>
      <c r="K231">
        <v>0</v>
      </c>
      <c r="L231" t="s">
        <v>991</v>
      </c>
      <c r="M231" t="s">
        <v>992</v>
      </c>
      <c r="N231" t="str">
        <f>M231&amp;Tabla3[[#This Row],[CODIGO PRODUCTO TERMINADO]]&amp;"','"&amp;L231&amp;"',"&amp;Tabla3[[#This Row],[CANTIDAD MATERIAL (M)]]&amp;");"</f>
        <v>insert into P_DFORM(CDG_PROD,CDG_CONP,CAN_PROD) VALUES('PF04','AVI0000147',0.96);</v>
      </c>
    </row>
    <row r="232" spans="1:14" x14ac:dyDescent="0.25">
      <c r="A232" t="s">
        <v>625</v>
      </c>
      <c r="B232" t="s">
        <v>63</v>
      </c>
      <c r="C232" t="s">
        <v>624</v>
      </c>
      <c r="D232" t="s">
        <v>51</v>
      </c>
      <c r="E232" s="8" t="s">
        <v>614</v>
      </c>
      <c r="F232">
        <v>2.31</v>
      </c>
      <c r="H232" t="str">
        <f>VLOOKUP(Tabla3[[#This Row],[DESCRIPCION MATERIAL]],'CODIGO MAT'!$C$2:$D$390,2,FALSE)</f>
        <v>AVI0000145</v>
      </c>
      <c r="J232">
        <v>1</v>
      </c>
      <c r="K232">
        <v>0</v>
      </c>
      <c r="L232" t="s">
        <v>657</v>
      </c>
      <c r="M232" t="s">
        <v>992</v>
      </c>
      <c r="N232" t="str">
        <f>M232&amp;Tabla3[[#This Row],[CODIGO PRODUCTO TERMINADO]]&amp;"','"&amp;L232&amp;"',"&amp;Tabla3[[#This Row],[CANTIDAD MATERIAL (M)]]&amp;");"</f>
        <v>insert into P_DFORM(CDG_PROD,CDG_CONP,CAN_PROD) VALUES('PF04','AVI0000025',2.31);</v>
      </c>
    </row>
    <row r="233" spans="1:14" x14ac:dyDescent="0.25">
      <c r="A233" t="s">
        <v>625</v>
      </c>
      <c r="B233" t="s">
        <v>63</v>
      </c>
      <c r="C233" t="s">
        <v>624</v>
      </c>
      <c r="D233" t="s">
        <v>51</v>
      </c>
      <c r="E233" s="8" t="s">
        <v>367</v>
      </c>
      <c r="F233">
        <v>1</v>
      </c>
      <c r="H233" t="str">
        <f>VLOOKUP(Tabla3[[#This Row],[DESCRIPCION MATERIAL]],'CODIGO MAT'!$C$2:$D$390,2,FALSE)</f>
        <v>AVI0000105</v>
      </c>
      <c r="J233">
        <v>1</v>
      </c>
      <c r="K233">
        <v>0</v>
      </c>
      <c r="L233" t="s">
        <v>837</v>
      </c>
      <c r="M233" t="s">
        <v>992</v>
      </c>
      <c r="N233" t="str">
        <f>M233&amp;Tabla3[[#This Row],[CODIGO PRODUCTO TERMINADO]]&amp;"','"&amp;L233&amp;"',"&amp;Tabla3[[#This Row],[CANTIDAD MATERIAL (M)]]&amp;");"</f>
        <v>insert into P_DFORM(CDG_PROD,CDG_CONP,CAN_PROD) VALUES('PF04','TEL0000043',1);</v>
      </c>
    </row>
    <row r="234" spans="1:14" x14ac:dyDescent="0.25">
      <c r="A234" t="s">
        <v>625</v>
      </c>
      <c r="B234" t="s">
        <v>63</v>
      </c>
      <c r="C234" t="s">
        <v>624</v>
      </c>
      <c r="D234" t="s">
        <v>51</v>
      </c>
      <c r="E234" s="8" t="s">
        <v>615</v>
      </c>
      <c r="F234">
        <v>3.2399999999999998E-2</v>
      </c>
      <c r="H234" t="str">
        <f>VLOOKUP(Tabla3[[#This Row],[DESCRIPCION MATERIAL]],'CODIGO MAT'!$C$2:$D$390,2,FALSE)</f>
        <v>AVI0000146</v>
      </c>
      <c r="L234" t="s">
        <v>907</v>
      </c>
      <c r="M234" t="s">
        <v>992</v>
      </c>
      <c r="N234" t="str">
        <f>M234&amp;Tabla3[[#This Row],[CODIGO PRODUCTO TERMINADO]]&amp;"','"&amp;L234&amp;"',"&amp;Tabla3[[#This Row],[CANTIDAD MATERIAL (M)]]&amp;");"</f>
        <v>insert into P_DFORM(CDG_PROD,CDG_CONP,CAN_PROD) VALUES('PF04','TEL0000113',0.0324);</v>
      </c>
    </row>
    <row r="235" spans="1:14" x14ac:dyDescent="0.25">
      <c r="A235" t="s">
        <v>625</v>
      </c>
      <c r="B235" t="s">
        <v>63</v>
      </c>
      <c r="C235" t="s">
        <v>624</v>
      </c>
      <c r="D235" t="s">
        <v>51</v>
      </c>
      <c r="E235" s="8" t="s">
        <v>272</v>
      </c>
      <c r="F235">
        <v>0</v>
      </c>
      <c r="H235" t="str">
        <f>VLOOKUP(Tabla3[[#This Row],[DESCRIPCION MATERIAL]],'CODIGO MAT'!$C$2:$D$390,2,FALSE)</f>
        <v>AVI0000014</v>
      </c>
      <c r="L235" t="s">
        <v>711</v>
      </c>
      <c r="M235" t="s">
        <v>992</v>
      </c>
      <c r="N235" t="str">
        <f>M235&amp;Tabla3[[#This Row],[CODIGO PRODUCTO TERMINADO]]&amp;"','"&amp;L235&amp;"',"&amp;Tabla3[[#This Row],[CANTIDAD MATERIAL (M)]]&amp;");"</f>
        <v>insert into P_DFORM(CDG_PROD,CDG_CONP,CAN_PROD) VALUES('PF04','AVI0000078',0);</v>
      </c>
    </row>
    <row r="236" spans="1:14" x14ac:dyDescent="0.25">
      <c r="A236" t="s">
        <v>625</v>
      </c>
      <c r="B236" t="s">
        <v>63</v>
      </c>
      <c r="C236" t="s">
        <v>624</v>
      </c>
      <c r="D236" t="s">
        <v>51</v>
      </c>
      <c r="E236" s="8" t="s">
        <v>269</v>
      </c>
      <c r="F236">
        <v>0</v>
      </c>
      <c r="H236" t="str">
        <f>VLOOKUP(Tabla3[[#This Row],[DESCRIPCION MATERIAL]],'CODIGO MAT'!$C$2:$D$390,2,FALSE)</f>
        <v>AVI0000011</v>
      </c>
      <c r="L236" t="s">
        <v>989</v>
      </c>
      <c r="M236" t="s">
        <v>992</v>
      </c>
      <c r="N236" t="str">
        <f>M236&amp;Tabla3[[#This Row],[CODIGO PRODUCTO TERMINADO]]&amp;"','"&amp;L236&amp;"',"&amp;Tabla3[[#This Row],[CANTIDAD MATERIAL (M)]]&amp;");"</f>
        <v>insert into P_DFORM(CDG_PROD,CDG_CONP,CAN_PROD) VALUES('PF04','AVI0000145',0);</v>
      </c>
    </row>
    <row r="237" spans="1:14" x14ac:dyDescent="0.25">
      <c r="A237" t="s">
        <v>625</v>
      </c>
      <c r="B237" t="s">
        <v>63</v>
      </c>
      <c r="C237" t="s">
        <v>624</v>
      </c>
      <c r="D237" t="s">
        <v>51</v>
      </c>
      <c r="E237" s="8" t="s">
        <v>67</v>
      </c>
      <c r="F237">
        <v>0</v>
      </c>
      <c r="H237" t="str">
        <f>VLOOKUP(Tabla3[[#This Row],[DESCRIPCION MATERIAL]],'CODIGO MAT'!$C$2:$D$390,2,FALSE)</f>
        <v>AVI0000007</v>
      </c>
      <c r="L237" t="s">
        <v>738</v>
      </c>
      <c r="M237" t="s">
        <v>992</v>
      </c>
      <c r="N237" t="str">
        <f>M237&amp;Tabla3[[#This Row],[CODIGO PRODUCTO TERMINADO]]&amp;"','"&amp;L237&amp;"',"&amp;Tabla3[[#This Row],[CANTIDAD MATERIAL (M)]]&amp;");"</f>
        <v>insert into P_DFORM(CDG_PROD,CDG_CONP,CAN_PROD) VALUES('PF04','AVI0000105',0);</v>
      </c>
    </row>
    <row r="238" spans="1:14" x14ac:dyDescent="0.25">
      <c r="A238" t="s">
        <v>625</v>
      </c>
      <c r="B238" t="s">
        <v>63</v>
      </c>
      <c r="C238" t="s">
        <v>624</v>
      </c>
      <c r="D238" t="s">
        <v>51</v>
      </c>
      <c r="E238" s="8" t="s">
        <v>68</v>
      </c>
      <c r="F238">
        <v>0</v>
      </c>
      <c r="H238" t="str">
        <f>VLOOKUP(Tabla3[[#This Row],[DESCRIPCION MATERIAL]],'CODIGO MAT'!$C$2:$D$390,2,FALSE)</f>
        <v>AVI0000005</v>
      </c>
      <c r="L238" t="s">
        <v>990</v>
      </c>
      <c r="M238" t="s">
        <v>992</v>
      </c>
      <c r="N238" t="str">
        <f>M238&amp;Tabla3[[#This Row],[CODIGO PRODUCTO TERMINADO]]&amp;"','"&amp;L238&amp;"',"&amp;Tabla3[[#This Row],[CANTIDAD MATERIAL (M)]]&amp;");"</f>
        <v>insert into P_DFORM(CDG_PROD,CDG_CONP,CAN_PROD) VALUES('PF04','AVI0000146',0);</v>
      </c>
    </row>
    <row r="239" spans="1:14" x14ac:dyDescent="0.25">
      <c r="A239" t="s">
        <v>625</v>
      </c>
      <c r="B239" t="s">
        <v>63</v>
      </c>
      <c r="C239" t="s">
        <v>624</v>
      </c>
      <c r="D239" t="s">
        <v>51</v>
      </c>
      <c r="E239" s="8" t="s">
        <v>69</v>
      </c>
      <c r="F239">
        <v>0</v>
      </c>
      <c r="H239" t="str">
        <f>VLOOKUP(Tabla3[[#This Row],[DESCRIPCION MATERIAL]],'CODIGO MAT'!$C$2:$D$390,2,FALSE)</f>
        <v>AVI0000147</v>
      </c>
      <c r="L239" t="s">
        <v>646</v>
      </c>
      <c r="M239" t="s">
        <v>992</v>
      </c>
      <c r="N239" t="str">
        <f>M239&amp;Tabla3[[#This Row],[CODIGO PRODUCTO TERMINADO]]&amp;"','"&amp;L239&amp;"',"&amp;Tabla3[[#This Row],[CANTIDAD MATERIAL (M)]]&amp;");"</f>
        <v>insert into P_DFORM(CDG_PROD,CDG_CONP,CAN_PROD) VALUES('PF04','AVI0000014',0);</v>
      </c>
    </row>
    <row r="240" spans="1:14" x14ac:dyDescent="0.25">
      <c r="A240" t="s">
        <v>625</v>
      </c>
      <c r="B240" t="s">
        <v>63</v>
      </c>
      <c r="C240" t="s">
        <v>624</v>
      </c>
      <c r="D240" t="s">
        <v>51</v>
      </c>
      <c r="E240" s="8" t="s">
        <v>282</v>
      </c>
      <c r="F240">
        <v>0</v>
      </c>
      <c r="H240" t="str">
        <f>VLOOKUP(Tabla3[[#This Row],[DESCRIPCION MATERIAL]],'CODIGO MAT'!$C$2:$D$390,2,FALSE)</f>
        <v>AVI0000025</v>
      </c>
      <c r="L240" t="s">
        <v>644</v>
      </c>
      <c r="M240" t="s">
        <v>992</v>
      </c>
      <c r="N240" t="str">
        <f>M240&amp;Tabla3[[#This Row],[CODIGO PRODUCTO TERMINADO]]&amp;"','"&amp;L240&amp;"',"&amp;Tabla3[[#This Row],[CANTIDAD MATERIAL (M)]]&amp;");"</f>
        <v>insert into P_DFORM(CDG_PROD,CDG_CONP,CAN_PROD) VALUES('PF04','AVI0000011',0);</v>
      </c>
    </row>
    <row r="241" spans="1:14" x14ac:dyDescent="0.25">
      <c r="A241" t="s">
        <v>627</v>
      </c>
      <c r="B241" t="s">
        <v>63</v>
      </c>
      <c r="C241" t="s">
        <v>626</v>
      </c>
      <c r="D241" t="s">
        <v>50</v>
      </c>
      <c r="E241" s="8" t="s">
        <v>33</v>
      </c>
      <c r="F241">
        <v>1.3325</v>
      </c>
      <c r="H241" t="str">
        <f>VLOOKUP(Tabla3[[#This Row],[DESCRIPCION MATERIAL]],'CODIGO MAT'!$C$2:$D$390,2,FALSE)</f>
        <v>TEL0000043</v>
      </c>
      <c r="J241">
        <v>1</v>
      </c>
      <c r="K241">
        <v>0</v>
      </c>
      <c r="L241" t="s">
        <v>642</v>
      </c>
      <c r="M241" t="s">
        <v>992</v>
      </c>
      <c r="N241" t="str">
        <f>M241&amp;Tabla3[[#This Row],[CODIGO PRODUCTO TERMINADO]]&amp;"','"&amp;L241&amp;"',"&amp;Tabla3[[#This Row],[CANTIDAD MATERIAL (M)]]&amp;");"</f>
        <v>insert into P_DFORM(CDG_PROD,CDG_CONP,CAN_PROD) VALUES('PF05','AVI0000007',1.3325);</v>
      </c>
    </row>
    <row r="242" spans="1:14" x14ac:dyDescent="0.25">
      <c r="A242" t="s">
        <v>627</v>
      </c>
      <c r="B242" t="s">
        <v>63</v>
      </c>
      <c r="C242" t="s">
        <v>626</v>
      </c>
      <c r="D242" t="s">
        <v>50</v>
      </c>
      <c r="E242" s="8" t="s">
        <v>186</v>
      </c>
      <c r="F242">
        <v>0.31</v>
      </c>
      <c r="H242" t="str">
        <f>VLOOKUP(Tabla3[[#This Row],[DESCRIPCION MATERIAL]],'CODIGO MAT'!$C$2:$D$390,2,FALSE)</f>
        <v>TEL0000113</v>
      </c>
      <c r="J242">
        <v>1</v>
      </c>
      <c r="K242">
        <v>0</v>
      </c>
      <c r="L242" t="s">
        <v>640</v>
      </c>
      <c r="M242" t="s">
        <v>992</v>
      </c>
      <c r="N242" t="str">
        <f>M242&amp;Tabla3[[#This Row],[CODIGO PRODUCTO TERMINADO]]&amp;"','"&amp;L242&amp;"',"&amp;Tabla3[[#This Row],[CANTIDAD MATERIAL (M)]]&amp;");"</f>
        <v>insert into P_DFORM(CDG_PROD,CDG_CONP,CAN_PROD) VALUES('PF05','AVI0000005',0.31);</v>
      </c>
    </row>
    <row r="243" spans="1:14" x14ac:dyDescent="0.25">
      <c r="A243" t="s">
        <v>627</v>
      </c>
      <c r="B243" t="s">
        <v>63</v>
      </c>
      <c r="C243" t="s">
        <v>626</v>
      </c>
      <c r="D243" t="s">
        <v>51</v>
      </c>
      <c r="E243" s="8" t="s">
        <v>340</v>
      </c>
      <c r="F243">
        <v>1</v>
      </c>
      <c r="H243" t="str">
        <f>VLOOKUP(Tabla3[[#This Row],[DESCRIPCION MATERIAL]],'CODIGO MAT'!$C$2:$D$390,2,FALSE)</f>
        <v>AVI0000078</v>
      </c>
      <c r="J243">
        <v>1</v>
      </c>
      <c r="K243">
        <v>0</v>
      </c>
      <c r="L243" t="s">
        <v>991</v>
      </c>
      <c r="M243" t="s">
        <v>992</v>
      </c>
      <c r="N243" t="str">
        <f>M243&amp;Tabla3[[#This Row],[CODIGO PRODUCTO TERMINADO]]&amp;"','"&amp;L243&amp;"',"&amp;Tabla3[[#This Row],[CANTIDAD MATERIAL (M)]]&amp;");"</f>
        <v>insert into P_DFORM(CDG_PROD,CDG_CONP,CAN_PROD) VALUES('PF05','AVI0000147',1);</v>
      </c>
    </row>
    <row r="244" spans="1:14" x14ac:dyDescent="0.25">
      <c r="A244" t="s">
        <v>627</v>
      </c>
      <c r="B244" t="s">
        <v>63</v>
      </c>
      <c r="C244" t="s">
        <v>626</v>
      </c>
      <c r="D244" t="s">
        <v>51</v>
      </c>
      <c r="E244" s="8" t="s">
        <v>614</v>
      </c>
      <c r="F244">
        <v>2.48</v>
      </c>
      <c r="H244" t="str">
        <f>VLOOKUP(Tabla3[[#This Row],[DESCRIPCION MATERIAL]],'CODIGO MAT'!$C$2:$D$390,2,FALSE)</f>
        <v>AVI0000145</v>
      </c>
      <c r="J244">
        <v>1</v>
      </c>
      <c r="K244">
        <v>0</v>
      </c>
      <c r="L244" t="s">
        <v>657</v>
      </c>
      <c r="M244" t="s">
        <v>992</v>
      </c>
      <c r="N244" t="str">
        <f>M244&amp;Tabla3[[#This Row],[CODIGO PRODUCTO TERMINADO]]&amp;"','"&amp;L244&amp;"',"&amp;Tabla3[[#This Row],[CANTIDAD MATERIAL (M)]]&amp;");"</f>
        <v>insert into P_DFORM(CDG_PROD,CDG_CONP,CAN_PROD) VALUES('PF05','AVI0000025',2.48);</v>
      </c>
    </row>
    <row r="245" spans="1:14" x14ac:dyDescent="0.25">
      <c r="A245" t="s">
        <v>627</v>
      </c>
      <c r="B245" t="s">
        <v>63</v>
      </c>
      <c r="C245" t="s">
        <v>626</v>
      </c>
      <c r="D245" t="s">
        <v>51</v>
      </c>
      <c r="E245" s="8" t="s">
        <v>367</v>
      </c>
      <c r="F245">
        <v>1</v>
      </c>
      <c r="H245" t="str">
        <f>VLOOKUP(Tabla3[[#This Row],[DESCRIPCION MATERIAL]],'CODIGO MAT'!$C$2:$D$390,2,FALSE)</f>
        <v>AVI0000105</v>
      </c>
      <c r="J245">
        <v>1</v>
      </c>
      <c r="K245">
        <v>0</v>
      </c>
      <c r="L245" t="s">
        <v>837</v>
      </c>
      <c r="M245" t="s">
        <v>992</v>
      </c>
      <c r="N245" t="str">
        <f>M245&amp;Tabla3[[#This Row],[CODIGO PRODUCTO TERMINADO]]&amp;"','"&amp;L245&amp;"',"&amp;Tabla3[[#This Row],[CANTIDAD MATERIAL (M)]]&amp;");"</f>
        <v>insert into P_DFORM(CDG_PROD,CDG_CONP,CAN_PROD) VALUES('PF05','TEL0000043',1);</v>
      </c>
    </row>
    <row r="246" spans="1:14" x14ac:dyDescent="0.25">
      <c r="A246" t="s">
        <v>627</v>
      </c>
      <c r="B246" t="s">
        <v>63</v>
      </c>
      <c r="C246" t="s">
        <v>626</v>
      </c>
      <c r="D246" t="s">
        <v>51</v>
      </c>
      <c r="E246" s="8" t="s">
        <v>615</v>
      </c>
      <c r="F246">
        <v>3.2399999999999998E-2</v>
      </c>
      <c r="H246" t="str">
        <f>VLOOKUP(Tabla3[[#This Row],[DESCRIPCION MATERIAL]],'CODIGO MAT'!$C$2:$D$390,2,FALSE)</f>
        <v>AVI0000146</v>
      </c>
      <c r="L246" t="s">
        <v>907</v>
      </c>
      <c r="M246" t="s">
        <v>992</v>
      </c>
      <c r="N246" t="str">
        <f>M246&amp;Tabla3[[#This Row],[CODIGO PRODUCTO TERMINADO]]&amp;"','"&amp;L246&amp;"',"&amp;Tabla3[[#This Row],[CANTIDAD MATERIAL (M)]]&amp;");"</f>
        <v>insert into P_DFORM(CDG_PROD,CDG_CONP,CAN_PROD) VALUES('PF05','TEL0000113',0.0324);</v>
      </c>
    </row>
    <row r="247" spans="1:14" x14ac:dyDescent="0.25">
      <c r="A247" t="s">
        <v>627</v>
      </c>
      <c r="B247" t="s">
        <v>63</v>
      </c>
      <c r="C247" t="s">
        <v>626</v>
      </c>
      <c r="D247" t="s">
        <v>51</v>
      </c>
      <c r="E247" s="8" t="s">
        <v>272</v>
      </c>
      <c r="F247">
        <v>0</v>
      </c>
      <c r="H247" t="str">
        <f>VLOOKUP(Tabla3[[#This Row],[DESCRIPCION MATERIAL]],'CODIGO MAT'!$C$2:$D$390,2,FALSE)</f>
        <v>AVI0000014</v>
      </c>
      <c r="L247" t="s">
        <v>711</v>
      </c>
      <c r="M247" t="s">
        <v>992</v>
      </c>
      <c r="N247" t="str">
        <f>M247&amp;Tabla3[[#This Row],[CODIGO PRODUCTO TERMINADO]]&amp;"','"&amp;L247&amp;"',"&amp;Tabla3[[#This Row],[CANTIDAD MATERIAL (M)]]&amp;");"</f>
        <v>insert into P_DFORM(CDG_PROD,CDG_CONP,CAN_PROD) VALUES('PF05','AVI0000078',0);</v>
      </c>
    </row>
    <row r="248" spans="1:14" x14ac:dyDescent="0.25">
      <c r="A248" t="s">
        <v>627</v>
      </c>
      <c r="B248" t="s">
        <v>63</v>
      </c>
      <c r="C248" t="s">
        <v>626</v>
      </c>
      <c r="D248" t="s">
        <v>51</v>
      </c>
      <c r="E248" s="8" t="s">
        <v>269</v>
      </c>
      <c r="F248">
        <v>0</v>
      </c>
      <c r="H248" t="str">
        <f>VLOOKUP(Tabla3[[#This Row],[DESCRIPCION MATERIAL]],'CODIGO MAT'!$C$2:$D$390,2,FALSE)</f>
        <v>AVI0000011</v>
      </c>
      <c r="L248" t="s">
        <v>989</v>
      </c>
      <c r="M248" t="s">
        <v>992</v>
      </c>
      <c r="N248" t="str">
        <f>M248&amp;Tabla3[[#This Row],[CODIGO PRODUCTO TERMINADO]]&amp;"','"&amp;L248&amp;"',"&amp;Tabla3[[#This Row],[CANTIDAD MATERIAL (M)]]&amp;");"</f>
        <v>insert into P_DFORM(CDG_PROD,CDG_CONP,CAN_PROD) VALUES('PF05','AVI0000145',0);</v>
      </c>
    </row>
    <row r="249" spans="1:14" x14ac:dyDescent="0.25">
      <c r="A249" t="s">
        <v>627</v>
      </c>
      <c r="B249" t="s">
        <v>63</v>
      </c>
      <c r="C249" t="s">
        <v>626</v>
      </c>
      <c r="D249" t="s">
        <v>51</v>
      </c>
      <c r="E249" s="8" t="s">
        <v>67</v>
      </c>
      <c r="F249">
        <v>0</v>
      </c>
      <c r="H249" t="str">
        <f>VLOOKUP(Tabla3[[#This Row],[DESCRIPCION MATERIAL]],'CODIGO MAT'!$C$2:$D$390,2,FALSE)</f>
        <v>AVI0000007</v>
      </c>
      <c r="L249" t="s">
        <v>738</v>
      </c>
      <c r="M249" t="s">
        <v>992</v>
      </c>
      <c r="N249" t="str">
        <f>M249&amp;Tabla3[[#This Row],[CODIGO PRODUCTO TERMINADO]]&amp;"','"&amp;L249&amp;"',"&amp;Tabla3[[#This Row],[CANTIDAD MATERIAL (M)]]&amp;");"</f>
        <v>insert into P_DFORM(CDG_PROD,CDG_CONP,CAN_PROD) VALUES('PF05','AVI0000105',0);</v>
      </c>
    </row>
    <row r="250" spans="1:14" x14ac:dyDescent="0.25">
      <c r="A250" t="s">
        <v>627</v>
      </c>
      <c r="B250" t="s">
        <v>63</v>
      </c>
      <c r="C250" t="s">
        <v>626</v>
      </c>
      <c r="D250" t="s">
        <v>51</v>
      </c>
      <c r="E250" s="8" t="s">
        <v>68</v>
      </c>
      <c r="F250">
        <v>0</v>
      </c>
      <c r="H250" t="str">
        <f>VLOOKUP(Tabla3[[#This Row],[DESCRIPCION MATERIAL]],'CODIGO MAT'!$C$2:$D$390,2,FALSE)</f>
        <v>AVI0000005</v>
      </c>
      <c r="L250" t="s">
        <v>990</v>
      </c>
      <c r="M250" t="s">
        <v>992</v>
      </c>
      <c r="N250" t="str">
        <f>M250&amp;Tabla3[[#This Row],[CODIGO PRODUCTO TERMINADO]]&amp;"','"&amp;L250&amp;"',"&amp;Tabla3[[#This Row],[CANTIDAD MATERIAL (M)]]&amp;");"</f>
        <v>insert into P_DFORM(CDG_PROD,CDG_CONP,CAN_PROD) VALUES('PF05','AVI0000146',0);</v>
      </c>
    </row>
    <row r="251" spans="1:14" x14ac:dyDescent="0.25">
      <c r="A251" t="s">
        <v>627</v>
      </c>
      <c r="B251" t="s">
        <v>63</v>
      </c>
      <c r="C251" t="s">
        <v>626</v>
      </c>
      <c r="D251" t="s">
        <v>51</v>
      </c>
      <c r="E251" s="8" t="s">
        <v>69</v>
      </c>
      <c r="F251">
        <v>0</v>
      </c>
      <c r="H251" t="str">
        <f>VLOOKUP(Tabla3[[#This Row],[DESCRIPCION MATERIAL]],'CODIGO MAT'!$C$2:$D$390,2,FALSE)</f>
        <v>AVI0000147</v>
      </c>
      <c r="L251" t="s">
        <v>646</v>
      </c>
      <c r="M251" t="s">
        <v>992</v>
      </c>
      <c r="N251" t="str">
        <f>M251&amp;Tabla3[[#This Row],[CODIGO PRODUCTO TERMINADO]]&amp;"','"&amp;L251&amp;"',"&amp;Tabla3[[#This Row],[CANTIDAD MATERIAL (M)]]&amp;");"</f>
        <v>insert into P_DFORM(CDG_PROD,CDG_CONP,CAN_PROD) VALUES('PF05','AVI0000014',0);</v>
      </c>
    </row>
    <row r="252" spans="1:14" x14ac:dyDescent="0.25">
      <c r="A252" t="s">
        <v>627</v>
      </c>
      <c r="B252" t="s">
        <v>63</v>
      </c>
      <c r="C252" t="s">
        <v>626</v>
      </c>
      <c r="D252" t="s">
        <v>51</v>
      </c>
      <c r="E252" s="8" t="s">
        <v>282</v>
      </c>
      <c r="F252">
        <v>0</v>
      </c>
      <c r="H252" t="str">
        <f>VLOOKUP(Tabla3[[#This Row],[DESCRIPCION MATERIAL]],'CODIGO MAT'!$C$2:$D$390,2,FALSE)</f>
        <v>AVI0000025</v>
      </c>
      <c r="L252" t="s">
        <v>644</v>
      </c>
      <c r="M252" t="s">
        <v>992</v>
      </c>
      <c r="N252" t="str">
        <f>M252&amp;Tabla3[[#This Row],[CODIGO PRODUCTO TERMINADO]]&amp;"','"&amp;L252&amp;"',"&amp;Tabla3[[#This Row],[CANTIDAD MATERIAL (M)]]&amp;");"</f>
        <v>insert into P_DFORM(CDG_PROD,CDG_CONP,CAN_PROD) VALUES('PF05','AVI0000011',0);</v>
      </c>
    </row>
    <row r="253" spans="1:14" x14ac:dyDescent="0.25">
      <c r="A253" t="s">
        <v>629</v>
      </c>
      <c r="B253" t="s">
        <v>63</v>
      </c>
      <c r="C253" t="s">
        <v>628</v>
      </c>
      <c r="D253" t="s">
        <v>50</v>
      </c>
      <c r="E253" s="8" t="s">
        <v>33</v>
      </c>
      <c r="F253">
        <v>1.51</v>
      </c>
      <c r="H253" t="str">
        <f>VLOOKUP(Tabla3[[#This Row],[DESCRIPCION MATERIAL]],'CODIGO MAT'!$C$2:$D$390,2,FALSE)</f>
        <v>TEL0000043</v>
      </c>
      <c r="J253">
        <v>1</v>
      </c>
      <c r="K253">
        <v>0</v>
      </c>
      <c r="L253" t="s">
        <v>642</v>
      </c>
      <c r="M253" t="s">
        <v>992</v>
      </c>
      <c r="N253" t="str">
        <f>M253&amp;Tabla3[[#This Row],[CODIGO PRODUCTO TERMINADO]]&amp;"','"&amp;L253&amp;"',"&amp;Tabla3[[#This Row],[CANTIDAD MATERIAL (M)]]&amp;");"</f>
        <v>insert into P_DFORM(CDG_PROD,CDG_CONP,CAN_PROD) VALUES('PF06','AVI0000007',1.51);</v>
      </c>
    </row>
    <row r="254" spans="1:14" x14ac:dyDescent="0.25">
      <c r="A254" t="s">
        <v>629</v>
      </c>
      <c r="B254" t="s">
        <v>63</v>
      </c>
      <c r="C254" t="s">
        <v>628</v>
      </c>
      <c r="D254" t="s">
        <v>50</v>
      </c>
      <c r="E254" s="8" t="s">
        <v>186</v>
      </c>
      <c r="F254">
        <v>0.32</v>
      </c>
      <c r="H254" t="str">
        <f>VLOOKUP(Tabla3[[#This Row],[DESCRIPCION MATERIAL]],'CODIGO MAT'!$C$2:$D$390,2,FALSE)</f>
        <v>TEL0000113</v>
      </c>
      <c r="J254">
        <v>1</v>
      </c>
      <c r="K254">
        <v>0</v>
      </c>
      <c r="L254" t="s">
        <v>640</v>
      </c>
      <c r="M254" t="s">
        <v>992</v>
      </c>
      <c r="N254" t="str">
        <f>M254&amp;Tabla3[[#This Row],[CODIGO PRODUCTO TERMINADO]]&amp;"','"&amp;L254&amp;"',"&amp;Tabla3[[#This Row],[CANTIDAD MATERIAL (M)]]&amp;");"</f>
        <v>insert into P_DFORM(CDG_PROD,CDG_CONP,CAN_PROD) VALUES('PF06','AVI0000005',0.32);</v>
      </c>
    </row>
    <row r="255" spans="1:14" x14ac:dyDescent="0.25">
      <c r="A255" t="s">
        <v>629</v>
      </c>
      <c r="B255" t="s">
        <v>63</v>
      </c>
      <c r="C255" t="s">
        <v>628</v>
      </c>
      <c r="D255" t="s">
        <v>51</v>
      </c>
      <c r="E255" s="8" t="s">
        <v>340</v>
      </c>
      <c r="F255">
        <v>1.04</v>
      </c>
      <c r="H255" t="str">
        <f>VLOOKUP(Tabla3[[#This Row],[DESCRIPCION MATERIAL]],'CODIGO MAT'!$C$2:$D$390,2,FALSE)</f>
        <v>AVI0000078</v>
      </c>
      <c r="J255">
        <v>1</v>
      </c>
      <c r="K255">
        <v>0</v>
      </c>
      <c r="L255" t="s">
        <v>991</v>
      </c>
      <c r="M255" t="s">
        <v>992</v>
      </c>
      <c r="N255" t="str">
        <f>M255&amp;Tabla3[[#This Row],[CODIGO PRODUCTO TERMINADO]]&amp;"','"&amp;L255&amp;"',"&amp;Tabla3[[#This Row],[CANTIDAD MATERIAL (M)]]&amp;");"</f>
        <v>insert into P_DFORM(CDG_PROD,CDG_CONP,CAN_PROD) VALUES('PF06','AVI0000147',1.04);</v>
      </c>
    </row>
    <row r="256" spans="1:14" x14ac:dyDescent="0.25">
      <c r="A256" t="s">
        <v>629</v>
      </c>
      <c r="B256" t="s">
        <v>63</v>
      </c>
      <c r="C256" t="s">
        <v>628</v>
      </c>
      <c r="D256" t="s">
        <v>51</v>
      </c>
      <c r="E256" s="8" t="s">
        <v>614</v>
      </c>
      <c r="F256">
        <v>2.5299999999999998</v>
      </c>
      <c r="H256" t="str">
        <f>VLOOKUP(Tabla3[[#This Row],[DESCRIPCION MATERIAL]],'CODIGO MAT'!$C$2:$D$390,2,FALSE)</f>
        <v>AVI0000145</v>
      </c>
      <c r="J256">
        <v>1</v>
      </c>
      <c r="K256">
        <v>0</v>
      </c>
      <c r="L256" t="s">
        <v>657</v>
      </c>
      <c r="M256" t="s">
        <v>992</v>
      </c>
      <c r="N256" t="str">
        <f>M256&amp;Tabla3[[#This Row],[CODIGO PRODUCTO TERMINADO]]&amp;"','"&amp;L256&amp;"',"&amp;Tabla3[[#This Row],[CANTIDAD MATERIAL (M)]]&amp;");"</f>
        <v>insert into P_DFORM(CDG_PROD,CDG_CONP,CAN_PROD) VALUES('PF06','AVI0000025',2.53);</v>
      </c>
    </row>
    <row r="257" spans="1:17" s="3" customFormat="1" x14ac:dyDescent="0.25">
      <c r="A257" t="s">
        <v>629</v>
      </c>
      <c r="B257" t="s">
        <v>63</v>
      </c>
      <c r="C257" t="s">
        <v>628</v>
      </c>
      <c r="D257" t="s">
        <v>51</v>
      </c>
      <c r="E257" s="8" t="s">
        <v>367</v>
      </c>
      <c r="F257">
        <v>1</v>
      </c>
      <c r="G257"/>
      <c r="H257" t="str">
        <f>VLOOKUP(Tabla3[[#This Row],[DESCRIPCION MATERIAL]],'CODIGO MAT'!$C$2:$D$390,2,FALSE)</f>
        <v>AVI0000105</v>
      </c>
      <c r="I257" s="64"/>
      <c r="J257">
        <v>1</v>
      </c>
      <c r="K257">
        <v>0</v>
      </c>
      <c r="L257" s="3" t="e">
        <v>#N/A</v>
      </c>
      <c r="M257" s="3" t="s">
        <v>992</v>
      </c>
      <c r="N257" s="3" t="e">
        <f>M257&amp;Tabla3[[#This Row],[CODIGO PRODUCTO TERMINADO]]&amp;"','"&amp;L257&amp;"',"&amp;Tabla3[[#This Row],[CANTIDAD MATERIAL (M)]]&amp;");"</f>
        <v>#N/A</v>
      </c>
    </row>
    <row r="258" spans="1:17" x14ac:dyDescent="0.25">
      <c r="A258" t="s">
        <v>629</v>
      </c>
      <c r="B258" t="s">
        <v>63</v>
      </c>
      <c r="C258" t="s">
        <v>628</v>
      </c>
      <c r="D258" t="s">
        <v>51</v>
      </c>
      <c r="E258" s="8" t="s">
        <v>615</v>
      </c>
      <c r="F258">
        <v>3.2399999999999998E-2</v>
      </c>
      <c r="H258" t="str">
        <f>VLOOKUP(Tabla3[[#This Row],[DESCRIPCION MATERIAL]],'CODIGO MAT'!$C$2:$D$390,2,FALSE)</f>
        <v>AVI0000146</v>
      </c>
      <c r="L258" t="e">
        <v>#N/A</v>
      </c>
      <c r="M258" t="s">
        <v>992</v>
      </c>
      <c r="N258" t="e">
        <f>M258&amp;Tabla3[[#This Row],[CODIGO PRODUCTO TERMINADO]]&amp;"','"&amp;L258&amp;"',"&amp;Tabla3[[#This Row],[CANTIDAD MATERIAL (M)]]&amp;");"</f>
        <v>#N/A</v>
      </c>
    </row>
    <row r="259" spans="1:17" x14ac:dyDescent="0.25">
      <c r="A259" t="s">
        <v>629</v>
      </c>
      <c r="B259" t="s">
        <v>63</v>
      </c>
      <c r="C259" t="s">
        <v>628</v>
      </c>
      <c r="D259" t="s">
        <v>51</v>
      </c>
      <c r="E259" s="8" t="s">
        <v>272</v>
      </c>
      <c r="F259">
        <v>0</v>
      </c>
      <c r="H259" t="str">
        <f>VLOOKUP(Tabla3[[#This Row],[DESCRIPCION MATERIAL]],'CODIGO MAT'!$C$2:$D$390,2,FALSE)</f>
        <v>AVI0000014</v>
      </c>
      <c r="L259" t="e">
        <v>#N/A</v>
      </c>
      <c r="M259" t="s">
        <v>992</v>
      </c>
      <c r="N259" t="e">
        <f>M259&amp;Tabla3[[#This Row],[CODIGO PRODUCTO TERMINADO]]&amp;"','"&amp;L259&amp;"',"&amp;Tabla3[[#This Row],[CANTIDAD MATERIAL (M)]]&amp;");"</f>
        <v>#N/A</v>
      </c>
    </row>
    <row r="260" spans="1:17" x14ac:dyDescent="0.25">
      <c r="A260" t="s">
        <v>629</v>
      </c>
      <c r="B260" t="s">
        <v>63</v>
      </c>
      <c r="C260" t="s">
        <v>628</v>
      </c>
      <c r="D260" t="s">
        <v>51</v>
      </c>
      <c r="E260" s="8" t="s">
        <v>269</v>
      </c>
      <c r="F260">
        <v>0</v>
      </c>
      <c r="H260" t="str">
        <f>VLOOKUP(Tabla3[[#This Row],[DESCRIPCION MATERIAL]],'CODIGO MAT'!$C$2:$D$390,2,FALSE)</f>
        <v>AVI0000011</v>
      </c>
      <c r="L260" t="e">
        <v>#N/A</v>
      </c>
      <c r="M260" t="s">
        <v>992</v>
      </c>
      <c r="N260" t="e">
        <f>M260&amp;Tabla3[[#This Row],[CODIGO PRODUCTO TERMINADO]]&amp;"','"&amp;L260&amp;"',"&amp;Tabla3[[#This Row],[CANTIDAD MATERIAL (M)]]&amp;");"</f>
        <v>#N/A</v>
      </c>
    </row>
    <row r="261" spans="1:17" x14ac:dyDescent="0.25">
      <c r="A261" t="s">
        <v>629</v>
      </c>
      <c r="B261" t="s">
        <v>63</v>
      </c>
      <c r="C261" t="s">
        <v>628</v>
      </c>
      <c r="D261" t="s">
        <v>51</v>
      </c>
      <c r="E261" s="8" t="s">
        <v>67</v>
      </c>
      <c r="F261">
        <v>0</v>
      </c>
      <c r="H261" t="str">
        <f>VLOOKUP(Tabla3[[#This Row],[DESCRIPCION MATERIAL]],'CODIGO MAT'!$C$2:$D$390,2,FALSE)</f>
        <v>AVI0000007</v>
      </c>
      <c r="L261" t="e">
        <v>#N/A</v>
      </c>
      <c r="M261" t="s">
        <v>992</v>
      </c>
      <c r="N261" t="e">
        <f>M261&amp;Tabla3[[#This Row],[CODIGO PRODUCTO TERMINADO]]&amp;"','"&amp;L261&amp;"',"&amp;Tabla3[[#This Row],[CANTIDAD MATERIAL (M)]]&amp;");"</f>
        <v>#N/A</v>
      </c>
    </row>
    <row r="262" spans="1:17" x14ac:dyDescent="0.25">
      <c r="A262" t="s">
        <v>629</v>
      </c>
      <c r="B262" t="s">
        <v>63</v>
      </c>
      <c r="C262" t="s">
        <v>628</v>
      </c>
      <c r="D262" t="s">
        <v>51</v>
      </c>
      <c r="E262" s="8" t="s">
        <v>68</v>
      </c>
      <c r="F262">
        <v>0</v>
      </c>
      <c r="H262" t="str">
        <f>VLOOKUP(Tabla3[[#This Row],[DESCRIPCION MATERIAL]],'CODIGO MAT'!$C$2:$D$390,2,FALSE)</f>
        <v>AVI0000005</v>
      </c>
      <c r="L262" t="e">
        <v>#N/A</v>
      </c>
      <c r="M262" t="s">
        <v>992</v>
      </c>
      <c r="N262" t="e">
        <f>M262&amp;Tabla3[[#This Row],[CODIGO PRODUCTO TERMINADO]]&amp;"','"&amp;L262&amp;"',"&amp;Tabla3[[#This Row],[CANTIDAD MATERIAL (M)]]&amp;");"</f>
        <v>#N/A</v>
      </c>
    </row>
    <row r="263" spans="1:17" x14ac:dyDescent="0.25">
      <c r="A263" t="s">
        <v>629</v>
      </c>
      <c r="B263" t="s">
        <v>63</v>
      </c>
      <c r="C263" t="s">
        <v>628</v>
      </c>
      <c r="D263" t="s">
        <v>51</v>
      </c>
      <c r="E263" s="8" t="s">
        <v>69</v>
      </c>
      <c r="F263">
        <v>0</v>
      </c>
      <c r="H263" t="str">
        <f>VLOOKUP(Tabla3[[#This Row],[DESCRIPCION MATERIAL]],'CODIGO MAT'!$C$2:$D$390,2,FALSE)</f>
        <v>AVI0000147</v>
      </c>
      <c r="L263" t="e">
        <v>#N/A</v>
      </c>
      <c r="M263" t="s">
        <v>992</v>
      </c>
      <c r="N263" t="e">
        <f>M263&amp;Tabla3[[#This Row],[CODIGO PRODUCTO TERMINADO]]&amp;"','"&amp;L263&amp;"',"&amp;Tabla3[[#This Row],[CANTIDAD MATERIAL (M)]]&amp;");"</f>
        <v>#N/A</v>
      </c>
    </row>
    <row r="264" spans="1:17" x14ac:dyDescent="0.25">
      <c r="A264" t="s">
        <v>629</v>
      </c>
      <c r="B264" t="s">
        <v>63</v>
      </c>
      <c r="C264" t="s">
        <v>628</v>
      </c>
      <c r="D264" t="s">
        <v>51</v>
      </c>
      <c r="E264" s="8" t="s">
        <v>282</v>
      </c>
      <c r="F264">
        <v>0</v>
      </c>
      <c r="H264" t="str">
        <f>VLOOKUP(Tabla3[[#This Row],[DESCRIPCION MATERIAL]],'CODIGO MAT'!$C$2:$D$390,2,FALSE)</f>
        <v>AVI0000025</v>
      </c>
      <c r="L264" t="e">
        <v>#N/A</v>
      </c>
      <c r="M264" t="s">
        <v>992</v>
      </c>
      <c r="N264" t="e">
        <f>M264&amp;Tabla3[[#This Row],[CODIGO PRODUCTO TERMINADO]]&amp;"','"&amp;L264&amp;"',"&amp;Tabla3[[#This Row],[CANTIDAD MATERIAL (M)]]&amp;");"</f>
        <v>#N/A</v>
      </c>
    </row>
    <row r="265" spans="1:17" x14ac:dyDescent="0.25">
      <c r="A265" t="s">
        <v>631</v>
      </c>
      <c r="B265" t="s">
        <v>63</v>
      </c>
      <c r="C265" t="s">
        <v>630</v>
      </c>
      <c r="D265" t="s">
        <v>50</v>
      </c>
      <c r="E265" s="8" t="s">
        <v>33</v>
      </c>
      <c r="F265">
        <v>1.66</v>
      </c>
      <c r="H265" t="str">
        <f>VLOOKUP(Tabla3[[#This Row],[DESCRIPCION MATERIAL]],'CODIGO MAT'!$C$2:$D$390,2,FALSE)</f>
        <v>TEL0000043</v>
      </c>
      <c r="J265">
        <v>1</v>
      </c>
      <c r="K265">
        <v>0</v>
      </c>
      <c r="L265" t="e">
        <v>#N/A</v>
      </c>
      <c r="M265" t="s">
        <v>992</v>
      </c>
      <c r="N265" t="e">
        <f>M265&amp;Tabla3[[#This Row],[CODIGO PRODUCTO TERMINADO]]&amp;"','"&amp;L265&amp;"',"&amp;Tabla3[[#This Row],[CANTIDAD MATERIAL (M)]]&amp;");"</f>
        <v>#N/A</v>
      </c>
    </row>
    <row r="266" spans="1:17" x14ac:dyDescent="0.25">
      <c r="A266" t="s">
        <v>631</v>
      </c>
      <c r="B266" t="s">
        <v>63</v>
      </c>
      <c r="C266" t="s">
        <v>630</v>
      </c>
      <c r="D266" t="s">
        <v>50</v>
      </c>
      <c r="E266" s="8" t="s">
        <v>186</v>
      </c>
      <c r="F266">
        <v>0.32</v>
      </c>
      <c r="H266" t="str">
        <f>VLOOKUP(Tabla3[[#This Row],[DESCRIPCION MATERIAL]],'CODIGO MAT'!$C$2:$D$390,2,FALSE)</f>
        <v>TEL0000113</v>
      </c>
      <c r="J266">
        <v>1</v>
      </c>
      <c r="K266">
        <v>0</v>
      </c>
      <c r="L266" t="e">
        <v>#N/A</v>
      </c>
      <c r="M266" t="s">
        <v>992</v>
      </c>
      <c r="N266" t="e">
        <f>M266&amp;Tabla3[[#This Row],[CODIGO PRODUCTO TERMINADO]]&amp;"','"&amp;L266&amp;"',"&amp;Tabla3[[#This Row],[CANTIDAD MATERIAL (M)]]&amp;");"</f>
        <v>#N/A</v>
      </c>
    </row>
    <row r="267" spans="1:17" x14ac:dyDescent="0.25">
      <c r="A267" t="s">
        <v>631</v>
      </c>
      <c r="B267" t="s">
        <v>63</v>
      </c>
      <c r="C267" t="s">
        <v>630</v>
      </c>
      <c r="D267" t="s">
        <v>51</v>
      </c>
      <c r="E267" s="8" t="s">
        <v>340</v>
      </c>
      <c r="F267">
        <v>1.1200000000000001</v>
      </c>
      <c r="H267" t="str">
        <f>VLOOKUP(Tabla3[[#This Row],[DESCRIPCION MATERIAL]],'CODIGO MAT'!$C$2:$D$390,2,FALSE)</f>
        <v>AVI0000078</v>
      </c>
      <c r="J267">
        <v>1</v>
      </c>
      <c r="K267">
        <v>0</v>
      </c>
    </row>
    <row r="268" spans="1:17" x14ac:dyDescent="0.25">
      <c r="A268" t="s">
        <v>631</v>
      </c>
      <c r="B268" t="s">
        <v>63</v>
      </c>
      <c r="C268" t="s">
        <v>630</v>
      </c>
      <c r="D268" t="s">
        <v>51</v>
      </c>
      <c r="E268" s="8" t="s">
        <v>614</v>
      </c>
      <c r="F268">
        <v>2.64</v>
      </c>
      <c r="H268" t="str">
        <f>VLOOKUP(Tabla3[[#This Row],[DESCRIPCION MATERIAL]],'CODIGO MAT'!$C$2:$D$390,2,FALSE)</f>
        <v>AVI0000145</v>
      </c>
      <c r="J268">
        <v>1</v>
      </c>
      <c r="K268">
        <v>0</v>
      </c>
    </row>
    <row r="269" spans="1:17" x14ac:dyDescent="0.25">
      <c r="A269" t="s">
        <v>631</v>
      </c>
      <c r="B269" t="s">
        <v>63</v>
      </c>
      <c r="C269" t="s">
        <v>630</v>
      </c>
      <c r="D269" t="s">
        <v>51</v>
      </c>
      <c r="E269" s="8" t="s">
        <v>367</v>
      </c>
      <c r="F269">
        <v>1</v>
      </c>
      <c r="H269" t="str">
        <f>VLOOKUP(Tabla3[[#This Row],[DESCRIPCION MATERIAL]],'CODIGO MAT'!$C$2:$D$390,2,FALSE)</f>
        <v>AVI0000105</v>
      </c>
      <c r="J269">
        <v>1</v>
      </c>
      <c r="K269">
        <v>0</v>
      </c>
      <c r="L269" t="e">
        <v>#N/A</v>
      </c>
      <c r="M269" t="s">
        <v>992</v>
      </c>
      <c r="N269" t="e">
        <f>M269&amp;Tabla3[[#This Row],[CODIGO PRODUCTO TERMINADO]]&amp;"','"&amp;L269&amp;"',"&amp;Tabla3[[#This Row],[CANTIDAD MATERIAL (M)]]&amp;");"</f>
        <v>#N/A</v>
      </c>
      <c r="Q269">
        <v>85</v>
      </c>
    </row>
    <row r="270" spans="1:17" x14ac:dyDescent="0.25">
      <c r="A270" t="s">
        <v>631</v>
      </c>
      <c r="B270" t="s">
        <v>63</v>
      </c>
      <c r="C270" t="s">
        <v>630</v>
      </c>
      <c r="D270" t="s">
        <v>51</v>
      </c>
      <c r="E270" s="8" t="s">
        <v>615</v>
      </c>
      <c r="F270">
        <v>3.2399999999999998E-2</v>
      </c>
      <c r="H270" t="str">
        <f>VLOOKUP(Tabla3[[#This Row],[DESCRIPCION MATERIAL]],'CODIGO MAT'!$C$2:$D$390,2,FALSE)</f>
        <v>AVI0000146</v>
      </c>
      <c r="L270" t="e">
        <v>#N/A</v>
      </c>
      <c r="M270" t="s">
        <v>992</v>
      </c>
      <c r="N270" t="e">
        <f>M270&amp;Tabla3[[#This Row],[CODIGO PRODUCTO TERMINADO]]&amp;"','"&amp;L270&amp;"',"&amp;Tabla3[[#This Row],[CANTIDAD MATERIAL (M)]]&amp;");"</f>
        <v>#N/A</v>
      </c>
    </row>
    <row r="271" spans="1:17" x14ac:dyDescent="0.25">
      <c r="A271" t="s">
        <v>631</v>
      </c>
      <c r="B271" t="s">
        <v>63</v>
      </c>
      <c r="C271" t="s">
        <v>630</v>
      </c>
      <c r="D271" t="s">
        <v>51</v>
      </c>
      <c r="E271" s="8" t="s">
        <v>272</v>
      </c>
      <c r="F271">
        <v>0</v>
      </c>
      <c r="H271" t="str">
        <f>VLOOKUP(Tabla3[[#This Row],[DESCRIPCION MATERIAL]],'CODIGO MAT'!$C$2:$D$390,2,FALSE)</f>
        <v>AVI0000014</v>
      </c>
      <c r="L271" t="e">
        <v>#N/A</v>
      </c>
      <c r="M271" t="s">
        <v>992</v>
      </c>
      <c r="N271" t="e">
        <f>M271&amp;Tabla3[[#This Row],[CODIGO PRODUCTO TERMINADO]]&amp;"','"&amp;L271&amp;"',"&amp;Tabla3[[#This Row],[CANTIDAD MATERIAL (M)]]&amp;");"</f>
        <v>#N/A</v>
      </c>
    </row>
    <row r="272" spans="1:17" x14ac:dyDescent="0.25">
      <c r="A272" t="s">
        <v>631</v>
      </c>
      <c r="B272" t="s">
        <v>63</v>
      </c>
      <c r="C272" t="s">
        <v>630</v>
      </c>
      <c r="D272" t="s">
        <v>51</v>
      </c>
      <c r="E272" s="8" t="s">
        <v>269</v>
      </c>
      <c r="F272">
        <v>0</v>
      </c>
      <c r="H272" t="str">
        <f>VLOOKUP(Tabla3[[#This Row],[DESCRIPCION MATERIAL]],'CODIGO MAT'!$C$2:$D$390,2,FALSE)</f>
        <v>AVI0000011</v>
      </c>
      <c r="L272" t="e">
        <v>#N/A</v>
      </c>
      <c r="M272" t="s">
        <v>992</v>
      </c>
      <c r="N272" t="e">
        <f>M272&amp;Tabla3[[#This Row],[CODIGO PRODUCTO TERMINADO]]&amp;"','"&amp;L272&amp;"',"&amp;Tabla3[[#This Row],[CANTIDAD MATERIAL (M)]]&amp;");"</f>
        <v>#N/A</v>
      </c>
    </row>
    <row r="273" spans="1:17" x14ac:dyDescent="0.25">
      <c r="A273" t="s">
        <v>631</v>
      </c>
      <c r="B273" t="s">
        <v>63</v>
      </c>
      <c r="C273" t="s">
        <v>630</v>
      </c>
      <c r="D273" t="s">
        <v>51</v>
      </c>
      <c r="E273" s="8" t="s">
        <v>67</v>
      </c>
      <c r="F273">
        <v>0</v>
      </c>
      <c r="H273" t="str">
        <f>VLOOKUP(Tabla3[[#This Row],[DESCRIPCION MATERIAL]],'CODIGO MAT'!$C$2:$D$390,2,FALSE)</f>
        <v>AVI0000007</v>
      </c>
      <c r="L273" t="e">
        <v>#N/A</v>
      </c>
      <c r="M273" t="s">
        <v>992</v>
      </c>
      <c r="N273" t="e">
        <f>M273&amp;Tabla3[[#This Row],[CODIGO PRODUCTO TERMINADO]]&amp;"','"&amp;L273&amp;"',"&amp;Tabla3[[#This Row],[CANTIDAD MATERIAL (M)]]&amp;");"</f>
        <v>#N/A</v>
      </c>
    </row>
    <row r="274" spans="1:17" x14ac:dyDescent="0.25">
      <c r="A274" t="s">
        <v>631</v>
      </c>
      <c r="B274" t="s">
        <v>63</v>
      </c>
      <c r="C274" t="s">
        <v>630</v>
      </c>
      <c r="D274" t="s">
        <v>51</v>
      </c>
      <c r="E274" s="8" t="s">
        <v>68</v>
      </c>
      <c r="F274">
        <v>0</v>
      </c>
      <c r="H274" t="str">
        <f>VLOOKUP(Tabla3[[#This Row],[DESCRIPCION MATERIAL]],'CODIGO MAT'!$C$2:$D$390,2,FALSE)</f>
        <v>AVI0000005</v>
      </c>
      <c r="L274" t="e">
        <v>#N/A</v>
      </c>
      <c r="M274" t="s">
        <v>992</v>
      </c>
      <c r="N274" t="e">
        <f>M274&amp;Tabla3[[#This Row],[CODIGO PRODUCTO TERMINADO]]&amp;"','"&amp;L274&amp;"',"&amp;Tabla3[[#This Row],[CANTIDAD MATERIAL (M)]]&amp;");"</f>
        <v>#N/A</v>
      </c>
    </row>
    <row r="275" spans="1:17" x14ac:dyDescent="0.25">
      <c r="A275" t="s">
        <v>631</v>
      </c>
      <c r="B275" t="s">
        <v>63</v>
      </c>
      <c r="C275" t="s">
        <v>630</v>
      </c>
      <c r="D275" t="s">
        <v>51</v>
      </c>
      <c r="E275" s="8" t="s">
        <v>69</v>
      </c>
      <c r="F275">
        <v>0</v>
      </c>
      <c r="H275" t="str">
        <f>VLOOKUP(Tabla3[[#This Row],[DESCRIPCION MATERIAL]],'CODIGO MAT'!$C$2:$D$390,2,FALSE)</f>
        <v>AVI0000147</v>
      </c>
      <c r="L275" t="e">
        <v>#N/A</v>
      </c>
      <c r="M275" t="s">
        <v>992</v>
      </c>
      <c r="N275" t="e">
        <f>M275&amp;Tabla3[[#This Row],[CODIGO PRODUCTO TERMINADO]]&amp;"','"&amp;L275&amp;"',"&amp;Tabla3[[#This Row],[CANTIDAD MATERIAL (M)]]&amp;");"</f>
        <v>#N/A</v>
      </c>
    </row>
    <row r="276" spans="1:17" x14ac:dyDescent="0.25">
      <c r="A276" t="s">
        <v>631</v>
      </c>
      <c r="B276" t="s">
        <v>63</v>
      </c>
      <c r="C276" t="s">
        <v>630</v>
      </c>
      <c r="D276" t="s">
        <v>51</v>
      </c>
      <c r="E276" s="8" t="s">
        <v>282</v>
      </c>
      <c r="F276">
        <v>0</v>
      </c>
      <c r="H276" t="str">
        <f>VLOOKUP(Tabla3[[#This Row],[DESCRIPCION MATERIAL]],'CODIGO MAT'!$C$2:$D$390,2,FALSE)</f>
        <v>AVI0000025</v>
      </c>
      <c r="L276" t="e">
        <v>#N/A</v>
      </c>
      <c r="M276" t="s">
        <v>992</v>
      </c>
      <c r="N276" t="e">
        <f>M276&amp;Tabla3[[#This Row],[CODIGO PRODUCTO TERMINADO]]&amp;"','"&amp;L276&amp;"',"&amp;Tabla3[[#This Row],[CANTIDAD MATERIAL (M)]]&amp;");"</f>
        <v>#N/A</v>
      </c>
    </row>
    <row r="277" spans="1:17" x14ac:dyDescent="0.25">
      <c r="A277" t="s">
        <v>994</v>
      </c>
      <c r="B277" t="s">
        <v>63</v>
      </c>
      <c r="C277" t="s">
        <v>997</v>
      </c>
      <c r="D277" t="s">
        <v>50</v>
      </c>
      <c r="E277" s="8" t="s">
        <v>128</v>
      </c>
      <c r="F277">
        <v>0.85499999999999998</v>
      </c>
      <c r="G277" t="s">
        <v>78</v>
      </c>
      <c r="H277" t="str">
        <f>VLOOKUP(Tabla3[[#This Row],[DESCRIPCION MATERIAL]],'CODIGO MAT'!$C$2:$D$390,2,FALSE)</f>
        <v>TEL0000055</v>
      </c>
      <c r="J277">
        <v>1</v>
      </c>
      <c r="K277">
        <v>0</v>
      </c>
      <c r="L277" t="e">
        <v>#N/A</v>
      </c>
      <c r="M277" t="s">
        <v>992</v>
      </c>
      <c r="N277" t="e">
        <f>M277&amp;Tabla3[[#This Row],[CODIGO PRODUCTO TERMINADO]]&amp;"','"&amp;L277&amp;"',"&amp;Tabla3[[#This Row],[CANTIDAD MATERIAL (M)]]&amp;");"</f>
        <v>#N/A</v>
      </c>
      <c r="Q277">
        <v>140</v>
      </c>
    </row>
    <row r="278" spans="1:17" x14ac:dyDescent="0.25">
      <c r="A278" t="s">
        <v>994</v>
      </c>
      <c r="B278" t="s">
        <v>63</v>
      </c>
      <c r="C278" t="s">
        <v>997</v>
      </c>
      <c r="D278" t="s">
        <v>50</v>
      </c>
      <c r="E278" s="8" t="s">
        <v>139</v>
      </c>
      <c r="F278">
        <v>0.10249999999999999</v>
      </c>
      <c r="G278" t="s">
        <v>78</v>
      </c>
      <c r="H278" t="str">
        <f>VLOOKUP(Tabla3[[#This Row],[DESCRIPCION MATERIAL]],'CODIGO MAT'!$C$2:$D$390,2,FALSE)</f>
        <v>TEL0000066</v>
      </c>
      <c r="J278">
        <v>1</v>
      </c>
      <c r="K278">
        <v>0</v>
      </c>
      <c r="L278" t="e">
        <v>#N/A</v>
      </c>
      <c r="M278" t="s">
        <v>992</v>
      </c>
      <c r="N278" t="e">
        <f>M278&amp;Tabla3[[#This Row],[CODIGO PRODUCTO TERMINADO]]&amp;"','"&amp;L278&amp;"',"&amp;Tabla3[[#This Row],[CANTIDAD MATERIAL (M)]]&amp;");"</f>
        <v>#N/A</v>
      </c>
    </row>
    <row r="279" spans="1:17" x14ac:dyDescent="0.25">
      <c r="A279" t="s">
        <v>994</v>
      </c>
      <c r="B279" t="s">
        <v>63</v>
      </c>
      <c r="C279" t="s">
        <v>997</v>
      </c>
      <c r="D279" t="s">
        <v>50</v>
      </c>
      <c r="E279" s="8" t="s">
        <v>104</v>
      </c>
      <c r="F279">
        <v>2.69E-2</v>
      </c>
      <c r="G279" t="s">
        <v>78</v>
      </c>
      <c r="H279" t="str">
        <f>VLOOKUP(Tabla3[[#This Row],[DESCRIPCION MATERIAL]],'CODIGO MAT'!$C$2:$D$390,2,FALSE)</f>
        <v>TEL0000027</v>
      </c>
      <c r="J279">
        <v>1</v>
      </c>
      <c r="K279">
        <v>0</v>
      </c>
    </row>
    <row r="280" spans="1:17" x14ac:dyDescent="0.25">
      <c r="A280" t="s">
        <v>994</v>
      </c>
      <c r="B280" t="s">
        <v>63</v>
      </c>
      <c r="C280" t="s">
        <v>997</v>
      </c>
      <c r="D280" t="s">
        <v>50</v>
      </c>
      <c r="E280" s="8" t="s">
        <v>118</v>
      </c>
      <c r="F280">
        <v>6.8699999999999997E-2</v>
      </c>
      <c r="G280" t="s">
        <v>78</v>
      </c>
      <c r="H280" t="str">
        <f>VLOOKUP(Tabla3[[#This Row],[DESCRIPCION MATERIAL]],'CODIGO MAT'!$C$2:$D$390,2,FALSE)</f>
        <v>TEL0000045</v>
      </c>
      <c r="J280">
        <v>1</v>
      </c>
      <c r="K280">
        <v>0</v>
      </c>
      <c r="L280" t="e">
        <v>#N/A</v>
      </c>
      <c r="M280" t="s">
        <v>992</v>
      </c>
      <c r="N280" t="e">
        <f>M280&amp;Tabla3[[#This Row],[CODIGO PRODUCTO TERMINADO]]&amp;"','"&amp;L280&amp;"',"&amp;Tabla3[[#This Row],[CANTIDAD MATERIAL (M)]]&amp;");"</f>
        <v>#N/A</v>
      </c>
    </row>
    <row r="281" spans="1:17" x14ac:dyDescent="0.25">
      <c r="A281" t="s">
        <v>994</v>
      </c>
      <c r="B281" t="s">
        <v>63</v>
      </c>
      <c r="C281" t="s">
        <v>997</v>
      </c>
      <c r="D281" t="s">
        <v>51</v>
      </c>
      <c r="E281" s="8" t="s">
        <v>308</v>
      </c>
      <c r="F281">
        <v>1.8700000000000001E-2</v>
      </c>
      <c r="G281" t="s">
        <v>78</v>
      </c>
      <c r="H281" t="str">
        <f>VLOOKUP(Tabla3[[#This Row],[DESCRIPCION MATERIAL]],'CODIGO MAT'!$C$2:$D$390,2,FALSE)</f>
        <v>AVI0000053</v>
      </c>
      <c r="J281">
        <v>1</v>
      </c>
      <c r="K281">
        <v>0</v>
      </c>
    </row>
    <row r="282" spans="1:17" x14ac:dyDescent="0.25">
      <c r="A282" t="s">
        <v>994</v>
      </c>
      <c r="B282" t="s">
        <v>63</v>
      </c>
      <c r="C282" t="s">
        <v>997</v>
      </c>
      <c r="D282" t="s">
        <v>51</v>
      </c>
      <c r="E282" s="8" t="s">
        <v>261</v>
      </c>
      <c r="F282">
        <v>1</v>
      </c>
      <c r="G282" t="s">
        <v>396</v>
      </c>
      <c r="H282" t="str">
        <f>VLOOKUP(Tabla3[[#This Row],[DESCRIPCION MATERIAL]],'CODIGO MAT'!$C$2:$D$390,2,FALSE)</f>
        <v>AVI0000002</v>
      </c>
      <c r="J282">
        <v>1</v>
      </c>
      <c r="K282">
        <v>0</v>
      </c>
      <c r="L282" t="e">
        <v>#N/A</v>
      </c>
      <c r="M282" t="s">
        <v>992</v>
      </c>
      <c r="N282" t="e">
        <f>M282&amp;Tabla3[[#This Row],[CODIGO PRODUCTO TERMINADO]]&amp;"','"&amp;L282&amp;"',"&amp;Tabla3[[#This Row],[CANTIDAD MATERIAL (M)]]&amp;");"</f>
        <v>#N/A</v>
      </c>
    </row>
    <row r="283" spans="1:17" x14ac:dyDescent="0.25">
      <c r="A283" t="s">
        <v>994</v>
      </c>
      <c r="B283" t="s">
        <v>63</v>
      </c>
      <c r="C283" t="s">
        <v>997</v>
      </c>
      <c r="D283" t="s">
        <v>51</v>
      </c>
      <c r="E283" s="8" t="s">
        <v>35</v>
      </c>
      <c r="F283">
        <v>0.82</v>
      </c>
      <c r="G283" t="s">
        <v>78</v>
      </c>
      <c r="H283" t="str">
        <f>VLOOKUP(Tabla3[[#This Row],[DESCRIPCION MATERIAL]],'CODIGO MAT'!$C$2:$D$390,2,FALSE)</f>
        <v>AVI0000031</v>
      </c>
      <c r="J283">
        <v>1</v>
      </c>
      <c r="K283">
        <v>0.24</v>
      </c>
      <c r="L283" t="e">
        <v>#N/A</v>
      </c>
      <c r="M283" t="s">
        <v>992</v>
      </c>
      <c r="N283" t="e">
        <f>M283&amp;Tabla3[[#This Row],[CODIGO PRODUCTO TERMINADO]]&amp;"','"&amp;L283&amp;"',"&amp;Tabla3[[#This Row],[CANTIDAD MATERIAL (M)]]&amp;");"</f>
        <v>#N/A</v>
      </c>
    </row>
    <row r="284" spans="1:17" x14ac:dyDescent="0.25">
      <c r="A284" t="s">
        <v>994</v>
      </c>
      <c r="B284" t="s">
        <v>63</v>
      </c>
      <c r="C284" t="s">
        <v>997</v>
      </c>
      <c r="D284" t="s">
        <v>51</v>
      </c>
      <c r="E284" s="8" t="s">
        <v>996</v>
      </c>
      <c r="F284">
        <v>0.5</v>
      </c>
      <c r="G284" t="s">
        <v>78</v>
      </c>
      <c r="H284" t="str">
        <f>VLOOKUP(Tabla3[[#This Row],[DESCRIPCION MATERIAL]],'CODIGO MAT'!$C$2:$D$390,2,FALSE)</f>
        <v>AVI0000148</v>
      </c>
      <c r="J284">
        <v>1</v>
      </c>
      <c r="K284">
        <v>0</v>
      </c>
      <c r="L284" t="e">
        <v>#N/A</v>
      </c>
      <c r="M284" t="s">
        <v>992</v>
      </c>
      <c r="N284" t="e">
        <f>M284&amp;Tabla3[[#This Row],[CODIGO PRODUCTO TERMINADO]]&amp;"','"&amp;L284&amp;"',"&amp;Tabla3[[#This Row],[CANTIDAD MATERIAL (M)]]&amp;");"</f>
        <v>#N/A</v>
      </c>
    </row>
    <row r="285" spans="1:17" x14ac:dyDescent="0.25">
      <c r="A285" t="s">
        <v>994</v>
      </c>
      <c r="B285" t="s">
        <v>63</v>
      </c>
      <c r="C285" t="s">
        <v>997</v>
      </c>
      <c r="D285" t="s">
        <v>51</v>
      </c>
      <c r="E285" s="8" t="s">
        <v>398</v>
      </c>
      <c r="F285">
        <v>9</v>
      </c>
      <c r="G285" t="s">
        <v>396</v>
      </c>
      <c r="H285" t="str">
        <f>VLOOKUP(Tabla3[[#This Row],[DESCRIPCION MATERIAL]],'CODIGO MAT'!$C$2:$D$390,2,FALSE)</f>
        <v>AVI0000132</v>
      </c>
      <c r="L285" t="e">
        <v>#N/A</v>
      </c>
      <c r="M285" t="s">
        <v>992</v>
      </c>
      <c r="N285" t="e">
        <f>M285&amp;Tabla3[[#This Row],[CODIGO PRODUCTO TERMINADO]]&amp;"','"&amp;L285&amp;"',"&amp;Tabla3[[#This Row],[CANTIDAD MATERIAL (M)]]&amp;");"</f>
        <v>#N/A</v>
      </c>
    </row>
    <row r="286" spans="1:17" x14ac:dyDescent="0.25">
      <c r="A286" t="s">
        <v>994</v>
      </c>
      <c r="B286" t="s">
        <v>63</v>
      </c>
      <c r="C286" t="s">
        <v>997</v>
      </c>
      <c r="D286" t="s">
        <v>51</v>
      </c>
      <c r="E286" s="8" t="s">
        <v>36</v>
      </c>
      <c r="F286">
        <v>2</v>
      </c>
      <c r="G286" t="s">
        <v>396</v>
      </c>
      <c r="H286" t="str">
        <f>VLOOKUP(Tabla3[[#This Row],[DESCRIPCION MATERIAL]],'CODIGO MAT'!$C$2:$D$390,2,FALSE)</f>
        <v>AVI0000135</v>
      </c>
      <c r="L286" t="e">
        <v>#N/A</v>
      </c>
      <c r="M286" t="s">
        <v>992</v>
      </c>
      <c r="N286" t="e">
        <f>M286&amp;Tabla3[[#This Row],[CODIGO PRODUCTO TERMINADO]]&amp;"','"&amp;L286&amp;"',"&amp;Tabla3[[#This Row],[CANTIDAD MATERIAL (M)]]&amp;");"</f>
        <v>#N/A</v>
      </c>
    </row>
    <row r="287" spans="1:17" x14ac:dyDescent="0.25">
      <c r="A287" t="s">
        <v>994</v>
      </c>
      <c r="B287" t="s">
        <v>63</v>
      </c>
      <c r="C287" t="s">
        <v>997</v>
      </c>
      <c r="D287" t="s">
        <v>51</v>
      </c>
      <c r="E287" s="8" t="s">
        <v>1128</v>
      </c>
      <c r="F287">
        <v>5.0000000000000001E-3</v>
      </c>
      <c r="G287" t="s">
        <v>78</v>
      </c>
      <c r="H287" t="str">
        <f>VLOOKUP(Tabla3[[#This Row],[DESCRIPCION MATERIAL]],'CODIGO MAT'!$C$2:$D$390,2,FALSE)</f>
        <v>AVI0000149</v>
      </c>
      <c r="L287" t="e">
        <v>#N/A</v>
      </c>
      <c r="M287" t="s">
        <v>992</v>
      </c>
      <c r="N287" t="e">
        <f>M287&amp;Tabla3[[#This Row],[CODIGO PRODUCTO TERMINADO]]&amp;"','"&amp;L287&amp;"',"&amp;Tabla3[[#This Row],[CANTIDAD MATERIAL (M)]]&amp;");"</f>
        <v>#N/A</v>
      </c>
    </row>
    <row r="288" spans="1:17" x14ac:dyDescent="0.25">
      <c r="A288" t="s">
        <v>994</v>
      </c>
      <c r="B288" t="s">
        <v>63</v>
      </c>
      <c r="C288" t="s">
        <v>997</v>
      </c>
      <c r="D288" t="s">
        <v>51</v>
      </c>
      <c r="E288" s="8" t="s">
        <v>1125</v>
      </c>
      <c r="F288">
        <v>2E-3</v>
      </c>
      <c r="G288" t="s">
        <v>396</v>
      </c>
      <c r="H288" t="str">
        <f>VLOOKUP(Tabla3[[#This Row],[DESCRIPCION MATERIAL]],'CODIGO MAT'!$C$2:$D$390,2,FALSE)</f>
        <v>AVI0000150</v>
      </c>
      <c r="L288" t="e">
        <v>#N/A</v>
      </c>
      <c r="M288" t="s">
        <v>992</v>
      </c>
      <c r="N288" t="e">
        <f>M288&amp;Tabla3[[#This Row],[CODIGO PRODUCTO TERMINADO]]&amp;"','"&amp;L288&amp;"',"&amp;Tabla3[[#This Row],[CANTIDAD MATERIAL (M)]]&amp;");"</f>
        <v>#N/A</v>
      </c>
    </row>
    <row r="289" spans="1:17" x14ac:dyDescent="0.25">
      <c r="A289" t="s">
        <v>995</v>
      </c>
      <c r="B289" t="s">
        <v>63</v>
      </c>
      <c r="C289" t="s">
        <v>998</v>
      </c>
      <c r="D289" t="s">
        <v>50</v>
      </c>
      <c r="E289" s="8" t="s">
        <v>128</v>
      </c>
      <c r="F289">
        <v>0.99750000000000005</v>
      </c>
      <c r="G289" t="s">
        <v>78</v>
      </c>
      <c r="H289" t="str">
        <f>VLOOKUP(Tabla3[[#This Row],[DESCRIPCION MATERIAL]],'CODIGO MAT'!$C$2:$D$390,2,FALSE)</f>
        <v>TEL0000055</v>
      </c>
      <c r="J289">
        <v>1</v>
      </c>
      <c r="K289">
        <v>0</v>
      </c>
      <c r="L289" t="e">
        <v>#N/A</v>
      </c>
      <c r="M289" t="s">
        <v>992</v>
      </c>
      <c r="N289" t="e">
        <f>M289&amp;Tabla3[[#This Row],[CODIGO PRODUCTO TERMINADO]]&amp;"','"&amp;L289&amp;"',"&amp;Tabla3[[#This Row],[CANTIDAD MATERIAL (M)]]&amp;");"</f>
        <v>#N/A</v>
      </c>
    </row>
    <row r="290" spans="1:17" x14ac:dyDescent="0.25">
      <c r="A290" t="s">
        <v>995</v>
      </c>
      <c r="B290" t="s">
        <v>63</v>
      </c>
      <c r="C290" t="s">
        <v>998</v>
      </c>
      <c r="D290" t="s">
        <v>50</v>
      </c>
      <c r="E290" s="8" t="s">
        <v>139</v>
      </c>
      <c r="F290">
        <v>0.10249999999999999</v>
      </c>
      <c r="G290" t="s">
        <v>78</v>
      </c>
      <c r="H290" t="str">
        <f>VLOOKUP(Tabla3[[#This Row],[DESCRIPCION MATERIAL]],'CODIGO MAT'!$C$2:$D$390,2,FALSE)</f>
        <v>TEL0000066</v>
      </c>
      <c r="J290">
        <v>1</v>
      </c>
      <c r="K290">
        <v>0</v>
      </c>
      <c r="L290" t="e">
        <v>#N/A</v>
      </c>
      <c r="M290" t="s">
        <v>992</v>
      </c>
      <c r="N290" t="e">
        <f>M290&amp;Tabla3[[#This Row],[CODIGO PRODUCTO TERMINADO]]&amp;"','"&amp;L290&amp;"',"&amp;Tabla3[[#This Row],[CANTIDAD MATERIAL (M)]]&amp;");"</f>
        <v>#N/A</v>
      </c>
    </row>
    <row r="291" spans="1:17" x14ac:dyDescent="0.25">
      <c r="A291" t="s">
        <v>995</v>
      </c>
      <c r="B291" t="s">
        <v>63</v>
      </c>
      <c r="C291" t="s">
        <v>998</v>
      </c>
      <c r="D291" t="s">
        <v>50</v>
      </c>
      <c r="E291" s="8" t="s">
        <v>104</v>
      </c>
      <c r="F291">
        <v>2.69E-2</v>
      </c>
      <c r="G291" t="s">
        <v>78</v>
      </c>
      <c r="H291" t="str">
        <f>VLOOKUP(Tabla3[[#This Row],[DESCRIPCION MATERIAL]],'CODIGO MAT'!$C$2:$D$390,2,FALSE)</f>
        <v>TEL0000027</v>
      </c>
      <c r="J291">
        <v>1</v>
      </c>
      <c r="K291">
        <v>0</v>
      </c>
    </row>
    <row r="292" spans="1:17" x14ac:dyDescent="0.25">
      <c r="A292" t="s">
        <v>995</v>
      </c>
      <c r="B292" t="s">
        <v>63</v>
      </c>
      <c r="C292" t="s">
        <v>998</v>
      </c>
      <c r="D292" t="s">
        <v>50</v>
      </c>
      <c r="E292" s="8" t="s">
        <v>118</v>
      </c>
      <c r="F292">
        <v>6.8699999999999997E-2</v>
      </c>
      <c r="G292" t="s">
        <v>78</v>
      </c>
      <c r="H292" t="str">
        <f>VLOOKUP(Tabla3[[#This Row],[DESCRIPCION MATERIAL]],'CODIGO MAT'!$C$2:$D$390,2,FALSE)</f>
        <v>TEL0000045</v>
      </c>
      <c r="J292">
        <v>1</v>
      </c>
      <c r="K292">
        <v>0</v>
      </c>
      <c r="L292" t="e">
        <v>#N/A</v>
      </c>
      <c r="M292" t="s">
        <v>992</v>
      </c>
      <c r="N292" t="e">
        <f>M292&amp;Tabla3[[#This Row],[CODIGO PRODUCTO TERMINADO]]&amp;"','"&amp;L292&amp;"',"&amp;Tabla3[[#This Row],[CANTIDAD MATERIAL (M)]]&amp;");"</f>
        <v>#N/A</v>
      </c>
    </row>
    <row r="293" spans="1:17" x14ac:dyDescent="0.25">
      <c r="A293" t="s">
        <v>995</v>
      </c>
      <c r="B293" t="s">
        <v>63</v>
      </c>
      <c r="C293" t="s">
        <v>998</v>
      </c>
      <c r="D293" t="s">
        <v>51</v>
      </c>
      <c r="E293" s="8" t="s">
        <v>308</v>
      </c>
      <c r="F293">
        <v>1.8700000000000001E-2</v>
      </c>
      <c r="G293" t="s">
        <v>78</v>
      </c>
      <c r="H293" t="str">
        <f>VLOOKUP(Tabla3[[#This Row],[DESCRIPCION MATERIAL]],'CODIGO MAT'!$C$2:$D$390,2,FALSE)</f>
        <v>AVI0000053</v>
      </c>
      <c r="J293">
        <v>1</v>
      </c>
      <c r="K293">
        <v>0</v>
      </c>
    </row>
    <row r="294" spans="1:17" x14ac:dyDescent="0.25">
      <c r="A294" t="s">
        <v>995</v>
      </c>
      <c r="B294" t="s">
        <v>63</v>
      </c>
      <c r="C294" t="s">
        <v>998</v>
      </c>
      <c r="D294" t="s">
        <v>51</v>
      </c>
      <c r="E294" s="8" t="s">
        <v>261</v>
      </c>
      <c r="F294">
        <v>1</v>
      </c>
      <c r="G294" t="s">
        <v>396</v>
      </c>
      <c r="H294" t="str">
        <f>VLOOKUP(Tabla3[[#This Row],[DESCRIPCION MATERIAL]],'CODIGO MAT'!$C$2:$D$390,2,FALSE)</f>
        <v>AVI0000002</v>
      </c>
      <c r="J294">
        <v>1</v>
      </c>
      <c r="K294">
        <v>0</v>
      </c>
      <c r="L294" t="e">
        <v>#N/A</v>
      </c>
      <c r="M294" t="s">
        <v>992</v>
      </c>
      <c r="N294" t="e">
        <f>M294&amp;Tabla3[[#This Row],[CODIGO PRODUCTO TERMINADO]]&amp;"','"&amp;L294&amp;"',"&amp;Tabla3[[#This Row],[CANTIDAD MATERIAL (M)]]&amp;");"</f>
        <v>#N/A</v>
      </c>
    </row>
    <row r="295" spans="1:17" x14ac:dyDescent="0.25">
      <c r="A295" t="s">
        <v>995</v>
      </c>
      <c r="B295" t="s">
        <v>63</v>
      </c>
      <c r="C295" t="s">
        <v>998</v>
      </c>
      <c r="D295" t="s">
        <v>51</v>
      </c>
      <c r="E295" s="8" t="s">
        <v>35</v>
      </c>
      <c r="F295">
        <v>0.84</v>
      </c>
      <c r="G295" t="s">
        <v>78</v>
      </c>
      <c r="H295" t="str">
        <f>VLOOKUP(Tabla3[[#This Row],[DESCRIPCION MATERIAL]],'CODIGO MAT'!$C$2:$D$390,2,FALSE)</f>
        <v>AVI0000031</v>
      </c>
      <c r="J295">
        <v>1</v>
      </c>
      <c r="K295">
        <v>0.24</v>
      </c>
      <c r="L295" t="e">
        <v>#N/A</v>
      </c>
      <c r="M295" t="s">
        <v>992</v>
      </c>
      <c r="N295" t="e">
        <f>M295&amp;Tabla3[[#This Row],[CODIGO PRODUCTO TERMINADO]]&amp;"','"&amp;L295&amp;"',"&amp;Tabla3[[#This Row],[CANTIDAD MATERIAL (M)]]&amp;");"</f>
        <v>#N/A</v>
      </c>
    </row>
    <row r="296" spans="1:17" x14ac:dyDescent="0.25">
      <c r="A296" t="s">
        <v>995</v>
      </c>
      <c r="B296" t="s">
        <v>63</v>
      </c>
      <c r="C296" t="s">
        <v>998</v>
      </c>
      <c r="D296" t="s">
        <v>51</v>
      </c>
      <c r="E296" s="8" t="s">
        <v>996</v>
      </c>
      <c r="F296">
        <v>0.5</v>
      </c>
      <c r="G296" t="s">
        <v>78</v>
      </c>
      <c r="H296" t="str">
        <f>VLOOKUP(Tabla3[[#This Row],[DESCRIPCION MATERIAL]],'CODIGO MAT'!$C$2:$D$390,2,FALSE)</f>
        <v>AVI0000148</v>
      </c>
      <c r="J296">
        <v>1</v>
      </c>
      <c r="K296">
        <v>0</v>
      </c>
      <c r="L296" t="e">
        <v>#N/A</v>
      </c>
      <c r="M296" t="s">
        <v>992</v>
      </c>
      <c r="N296" t="e">
        <f>M296&amp;Tabla3[[#This Row],[CODIGO PRODUCTO TERMINADO]]&amp;"','"&amp;L296&amp;"',"&amp;Tabla3[[#This Row],[CANTIDAD MATERIAL (M)]]&amp;");"</f>
        <v>#N/A</v>
      </c>
    </row>
    <row r="297" spans="1:17" x14ac:dyDescent="0.25">
      <c r="A297" t="s">
        <v>995</v>
      </c>
      <c r="B297" t="s">
        <v>63</v>
      </c>
      <c r="C297" t="s">
        <v>998</v>
      </c>
      <c r="D297" t="s">
        <v>51</v>
      </c>
      <c r="E297" s="8" t="s">
        <v>398</v>
      </c>
      <c r="F297">
        <v>9</v>
      </c>
      <c r="G297" t="s">
        <v>396</v>
      </c>
      <c r="H297" t="str">
        <f>VLOOKUP(Tabla3[[#This Row],[DESCRIPCION MATERIAL]],'CODIGO MAT'!$C$2:$D$390,2,FALSE)</f>
        <v>AVI0000132</v>
      </c>
      <c r="L297" t="e">
        <v>#N/A</v>
      </c>
      <c r="M297" t="s">
        <v>992</v>
      </c>
      <c r="N297" t="e">
        <f>M297&amp;Tabla3[[#This Row],[CODIGO PRODUCTO TERMINADO]]&amp;"','"&amp;L297&amp;"',"&amp;Tabla3[[#This Row],[CANTIDAD MATERIAL (M)]]&amp;");"</f>
        <v>#N/A</v>
      </c>
    </row>
    <row r="298" spans="1:17" x14ac:dyDescent="0.25">
      <c r="A298" t="s">
        <v>995</v>
      </c>
      <c r="B298" t="s">
        <v>63</v>
      </c>
      <c r="C298" t="s">
        <v>998</v>
      </c>
      <c r="D298" t="s">
        <v>51</v>
      </c>
      <c r="E298" s="8" t="s">
        <v>36</v>
      </c>
      <c r="F298">
        <v>2</v>
      </c>
      <c r="G298" t="s">
        <v>396</v>
      </c>
      <c r="H298" t="str">
        <f>VLOOKUP(Tabla3[[#This Row],[DESCRIPCION MATERIAL]],'CODIGO MAT'!$C$2:$D$390,2,FALSE)</f>
        <v>AVI0000135</v>
      </c>
      <c r="L298" t="e">
        <v>#N/A</v>
      </c>
      <c r="M298" t="s">
        <v>992</v>
      </c>
      <c r="N298" t="e">
        <f>M298&amp;Tabla3[[#This Row],[CODIGO PRODUCTO TERMINADO]]&amp;"','"&amp;L298&amp;"',"&amp;Tabla3[[#This Row],[CANTIDAD MATERIAL (M)]]&amp;");"</f>
        <v>#N/A</v>
      </c>
    </row>
    <row r="299" spans="1:17" x14ac:dyDescent="0.25">
      <c r="A299" t="s">
        <v>995</v>
      </c>
      <c r="B299" t="s">
        <v>63</v>
      </c>
      <c r="C299" t="s">
        <v>998</v>
      </c>
      <c r="D299" t="s">
        <v>51</v>
      </c>
      <c r="E299" s="8" t="s">
        <v>1128</v>
      </c>
      <c r="F299">
        <v>5.0000000000000001E-3</v>
      </c>
      <c r="G299" t="s">
        <v>78</v>
      </c>
      <c r="H299" t="str">
        <f>VLOOKUP(Tabla3[[#This Row],[DESCRIPCION MATERIAL]],'CODIGO MAT'!$C$2:$D$390,2,FALSE)</f>
        <v>AVI0000149</v>
      </c>
      <c r="L299" t="e">
        <v>#N/A</v>
      </c>
      <c r="M299" t="s">
        <v>992</v>
      </c>
      <c r="N299" t="e">
        <f>M299&amp;Tabla3[[#This Row],[CODIGO PRODUCTO TERMINADO]]&amp;"','"&amp;L299&amp;"',"&amp;Tabla3[[#This Row],[CANTIDAD MATERIAL (M)]]&amp;");"</f>
        <v>#N/A</v>
      </c>
    </row>
    <row r="300" spans="1:17" x14ac:dyDescent="0.25">
      <c r="A300" t="s">
        <v>995</v>
      </c>
      <c r="B300" t="s">
        <v>63</v>
      </c>
      <c r="C300" t="s">
        <v>998</v>
      </c>
      <c r="D300" t="s">
        <v>51</v>
      </c>
      <c r="E300" s="8" t="s">
        <v>1125</v>
      </c>
      <c r="F300">
        <v>2E-3</v>
      </c>
      <c r="G300" t="s">
        <v>396</v>
      </c>
      <c r="H300" t="str">
        <f>VLOOKUP(Tabla3[[#This Row],[DESCRIPCION MATERIAL]],'CODIGO MAT'!$C$2:$D$390,2,FALSE)</f>
        <v>AVI0000150</v>
      </c>
      <c r="L300" t="e">
        <v>#N/A</v>
      </c>
      <c r="M300" t="s">
        <v>992</v>
      </c>
      <c r="N300" t="e">
        <f>M300&amp;Tabla3[[#This Row],[CODIGO PRODUCTO TERMINADO]]&amp;"','"&amp;L300&amp;"',"&amp;Tabla3[[#This Row],[CANTIDAD MATERIAL (M)]]&amp;");"</f>
        <v>#N/A</v>
      </c>
    </row>
    <row r="301" spans="1:17" x14ac:dyDescent="0.25">
      <c r="A301" t="s">
        <v>1000</v>
      </c>
      <c r="B301" t="s">
        <v>63</v>
      </c>
      <c r="C301" t="s">
        <v>999</v>
      </c>
      <c r="D301" t="s">
        <v>50</v>
      </c>
      <c r="E301" s="8" t="s">
        <v>128</v>
      </c>
      <c r="F301">
        <v>1.145</v>
      </c>
      <c r="G301" t="s">
        <v>78</v>
      </c>
      <c r="H301" t="str">
        <f>VLOOKUP(Tabla3[[#This Row],[DESCRIPCION MATERIAL]],'CODIGO MAT'!$C$2:$D$390,2,FALSE)</f>
        <v>TEL0000055</v>
      </c>
      <c r="J301">
        <v>1</v>
      </c>
      <c r="K301">
        <v>0</v>
      </c>
      <c r="L301" t="e">
        <v>#N/A</v>
      </c>
      <c r="M301" t="s">
        <v>992</v>
      </c>
      <c r="N301" t="e">
        <f>M301&amp;Tabla3[[#This Row],[CODIGO PRODUCTO TERMINADO]]&amp;"','"&amp;L301&amp;"',"&amp;Tabla3[[#This Row],[CANTIDAD MATERIAL (M)]]&amp;");"</f>
        <v>#N/A</v>
      </c>
      <c r="Q301">
        <f>1/500</f>
        <v>2E-3</v>
      </c>
    </row>
    <row r="302" spans="1:17" x14ac:dyDescent="0.25">
      <c r="A302" t="s">
        <v>1000</v>
      </c>
      <c r="B302" t="s">
        <v>63</v>
      </c>
      <c r="C302" t="s">
        <v>999</v>
      </c>
      <c r="D302" t="s">
        <v>50</v>
      </c>
      <c r="E302" s="8" t="s">
        <v>139</v>
      </c>
      <c r="F302">
        <v>0.10249999999999999</v>
      </c>
      <c r="G302" t="s">
        <v>78</v>
      </c>
      <c r="H302" t="str">
        <f>VLOOKUP(Tabla3[[#This Row],[DESCRIPCION MATERIAL]],'CODIGO MAT'!$C$2:$D$390,2,FALSE)</f>
        <v>TEL0000066</v>
      </c>
      <c r="J302">
        <v>1</v>
      </c>
      <c r="K302">
        <v>0</v>
      </c>
      <c r="L302" t="e">
        <v>#N/A</v>
      </c>
      <c r="M302" t="s">
        <v>992</v>
      </c>
      <c r="N302" t="e">
        <f>M302&amp;Tabla3[[#This Row],[CODIGO PRODUCTO TERMINADO]]&amp;"','"&amp;L302&amp;"',"&amp;Tabla3[[#This Row],[CANTIDAD MATERIAL (M)]]&amp;");"</f>
        <v>#N/A</v>
      </c>
    </row>
    <row r="303" spans="1:17" x14ac:dyDescent="0.25">
      <c r="A303" t="s">
        <v>1000</v>
      </c>
      <c r="B303" t="s">
        <v>63</v>
      </c>
      <c r="C303" t="s">
        <v>999</v>
      </c>
      <c r="D303" t="s">
        <v>50</v>
      </c>
      <c r="E303" s="8" t="s">
        <v>104</v>
      </c>
      <c r="F303">
        <v>2.69E-2</v>
      </c>
      <c r="G303" t="s">
        <v>78</v>
      </c>
      <c r="H303" t="str">
        <f>VLOOKUP(Tabla3[[#This Row],[DESCRIPCION MATERIAL]],'CODIGO MAT'!$C$2:$D$390,2,FALSE)</f>
        <v>TEL0000027</v>
      </c>
      <c r="J303">
        <v>1</v>
      </c>
      <c r="K303">
        <v>0</v>
      </c>
    </row>
    <row r="304" spans="1:17" x14ac:dyDescent="0.25">
      <c r="A304" t="s">
        <v>1000</v>
      </c>
      <c r="B304" t="s">
        <v>63</v>
      </c>
      <c r="C304" t="s">
        <v>999</v>
      </c>
      <c r="D304" t="s">
        <v>50</v>
      </c>
      <c r="E304" s="8" t="s">
        <v>118</v>
      </c>
      <c r="F304">
        <v>6.8699999999999997E-2</v>
      </c>
      <c r="G304" t="s">
        <v>78</v>
      </c>
      <c r="H304" t="str">
        <f>VLOOKUP(Tabla3[[#This Row],[DESCRIPCION MATERIAL]],'CODIGO MAT'!$C$2:$D$390,2,FALSE)</f>
        <v>TEL0000045</v>
      </c>
      <c r="J304">
        <v>1</v>
      </c>
      <c r="K304">
        <v>0</v>
      </c>
      <c r="L304" t="e">
        <v>#N/A</v>
      </c>
      <c r="M304" t="s">
        <v>992</v>
      </c>
      <c r="N304" t="e">
        <f>M304&amp;Tabla3[[#This Row],[CODIGO PRODUCTO TERMINADO]]&amp;"','"&amp;L304&amp;"',"&amp;Tabla3[[#This Row],[CANTIDAD MATERIAL (M)]]&amp;");"</f>
        <v>#N/A</v>
      </c>
    </row>
    <row r="305" spans="1:18" x14ac:dyDescent="0.25">
      <c r="A305" t="s">
        <v>1000</v>
      </c>
      <c r="B305" t="s">
        <v>63</v>
      </c>
      <c r="C305" t="s">
        <v>999</v>
      </c>
      <c r="D305" t="s">
        <v>51</v>
      </c>
      <c r="E305" s="8" t="s">
        <v>308</v>
      </c>
      <c r="F305">
        <v>1.8700000000000001E-2</v>
      </c>
      <c r="G305" t="s">
        <v>78</v>
      </c>
      <c r="H305" t="str">
        <f>VLOOKUP(Tabla3[[#This Row],[DESCRIPCION MATERIAL]],'CODIGO MAT'!$C$2:$D$390,2,FALSE)</f>
        <v>AVI0000053</v>
      </c>
      <c r="J305">
        <v>1</v>
      </c>
      <c r="K305">
        <v>0</v>
      </c>
    </row>
    <row r="306" spans="1:18" x14ac:dyDescent="0.25">
      <c r="A306" t="s">
        <v>1000</v>
      </c>
      <c r="B306" t="s">
        <v>63</v>
      </c>
      <c r="C306" t="s">
        <v>999</v>
      </c>
      <c r="D306" t="s">
        <v>51</v>
      </c>
      <c r="E306" s="8" t="s">
        <v>261</v>
      </c>
      <c r="F306">
        <v>1</v>
      </c>
      <c r="G306" t="s">
        <v>396</v>
      </c>
      <c r="H306" t="str">
        <f>VLOOKUP(Tabla3[[#This Row],[DESCRIPCION MATERIAL]],'CODIGO MAT'!$C$2:$D$390,2,FALSE)</f>
        <v>AVI0000002</v>
      </c>
      <c r="J306">
        <v>1</v>
      </c>
      <c r="K306">
        <v>0</v>
      </c>
      <c r="L306" t="e">
        <v>#N/A</v>
      </c>
      <c r="M306" t="s">
        <v>992</v>
      </c>
      <c r="N306" t="e">
        <f>M306&amp;Tabla3[[#This Row],[CODIGO PRODUCTO TERMINADO]]&amp;"','"&amp;L306&amp;"',"&amp;Tabla3[[#This Row],[CANTIDAD MATERIAL (M)]]&amp;");"</f>
        <v>#N/A</v>
      </c>
    </row>
    <row r="307" spans="1:18" x14ac:dyDescent="0.25">
      <c r="A307" t="s">
        <v>1000</v>
      </c>
      <c r="B307" t="s">
        <v>63</v>
      </c>
      <c r="C307" t="s">
        <v>999</v>
      </c>
      <c r="D307" t="s">
        <v>51</v>
      </c>
      <c r="E307" s="8" t="s">
        <v>35</v>
      </c>
      <c r="F307">
        <v>0.84</v>
      </c>
      <c r="G307" t="s">
        <v>78</v>
      </c>
      <c r="H307" t="str">
        <f>VLOOKUP(Tabla3[[#This Row],[DESCRIPCION MATERIAL]],'CODIGO MAT'!$C$2:$D$390,2,FALSE)</f>
        <v>AVI0000031</v>
      </c>
      <c r="J307">
        <v>1</v>
      </c>
      <c r="K307">
        <v>0.24</v>
      </c>
      <c r="L307" t="e">
        <v>#N/A</v>
      </c>
      <c r="M307" t="s">
        <v>992</v>
      </c>
      <c r="N307" t="e">
        <f>M307&amp;Tabla3[[#This Row],[CODIGO PRODUCTO TERMINADO]]&amp;"','"&amp;L307&amp;"',"&amp;Tabla3[[#This Row],[CANTIDAD MATERIAL (M)]]&amp;");"</f>
        <v>#N/A</v>
      </c>
    </row>
    <row r="308" spans="1:18" x14ac:dyDescent="0.25">
      <c r="A308" t="s">
        <v>1000</v>
      </c>
      <c r="B308" t="s">
        <v>63</v>
      </c>
      <c r="C308" t="s">
        <v>999</v>
      </c>
      <c r="D308" t="s">
        <v>51</v>
      </c>
      <c r="E308" s="8" t="s">
        <v>996</v>
      </c>
      <c r="F308">
        <v>0.5</v>
      </c>
      <c r="G308" t="s">
        <v>78</v>
      </c>
      <c r="H308" t="str">
        <f>VLOOKUP(Tabla3[[#This Row],[DESCRIPCION MATERIAL]],'CODIGO MAT'!$C$2:$D$390,2,FALSE)</f>
        <v>AVI0000148</v>
      </c>
      <c r="J308">
        <v>1</v>
      </c>
      <c r="K308">
        <v>0</v>
      </c>
      <c r="L308" t="e">
        <v>#N/A</v>
      </c>
      <c r="M308" t="s">
        <v>992</v>
      </c>
      <c r="N308" t="e">
        <f>M308&amp;Tabla3[[#This Row],[CODIGO PRODUCTO TERMINADO]]&amp;"','"&amp;L308&amp;"',"&amp;Tabla3[[#This Row],[CANTIDAD MATERIAL (M)]]&amp;");"</f>
        <v>#N/A</v>
      </c>
    </row>
    <row r="309" spans="1:18" x14ac:dyDescent="0.25">
      <c r="A309" t="s">
        <v>1000</v>
      </c>
      <c r="B309" t="s">
        <v>63</v>
      </c>
      <c r="C309" t="s">
        <v>999</v>
      </c>
      <c r="D309" t="s">
        <v>51</v>
      </c>
      <c r="E309" s="8" t="s">
        <v>398</v>
      </c>
      <c r="F309">
        <v>9</v>
      </c>
      <c r="G309" t="s">
        <v>396</v>
      </c>
      <c r="H309" t="str">
        <f>VLOOKUP(Tabla3[[#This Row],[DESCRIPCION MATERIAL]],'CODIGO MAT'!$C$2:$D$390,2,FALSE)</f>
        <v>AVI0000132</v>
      </c>
      <c r="L309" t="e">
        <v>#N/A</v>
      </c>
      <c r="M309" t="s">
        <v>992</v>
      </c>
      <c r="N309" t="e">
        <f>M309&amp;Tabla3[[#This Row],[CODIGO PRODUCTO TERMINADO]]&amp;"','"&amp;L309&amp;"',"&amp;Tabla3[[#This Row],[CANTIDAD MATERIAL (M)]]&amp;");"</f>
        <v>#N/A</v>
      </c>
    </row>
    <row r="310" spans="1:18" x14ac:dyDescent="0.25">
      <c r="A310" t="s">
        <v>1000</v>
      </c>
      <c r="B310" t="s">
        <v>63</v>
      </c>
      <c r="C310" t="s">
        <v>999</v>
      </c>
      <c r="D310" t="s">
        <v>51</v>
      </c>
      <c r="E310" s="8" t="s">
        <v>36</v>
      </c>
      <c r="F310">
        <v>2</v>
      </c>
      <c r="G310" t="s">
        <v>396</v>
      </c>
      <c r="H310" t="str">
        <f>VLOOKUP(Tabla3[[#This Row],[DESCRIPCION MATERIAL]],'CODIGO MAT'!$C$2:$D$390,2,FALSE)</f>
        <v>AVI0000135</v>
      </c>
      <c r="L310" t="e">
        <v>#N/A</v>
      </c>
      <c r="M310" t="s">
        <v>992</v>
      </c>
      <c r="N310" t="e">
        <f>M310&amp;Tabla3[[#This Row],[CODIGO PRODUCTO TERMINADO]]&amp;"','"&amp;L310&amp;"',"&amp;Tabla3[[#This Row],[CANTIDAD MATERIAL (M)]]&amp;");"</f>
        <v>#N/A</v>
      </c>
    </row>
    <row r="311" spans="1:18" x14ac:dyDescent="0.25">
      <c r="A311" t="s">
        <v>1000</v>
      </c>
      <c r="B311" t="s">
        <v>63</v>
      </c>
      <c r="C311" t="s">
        <v>999</v>
      </c>
      <c r="D311" t="s">
        <v>51</v>
      </c>
      <c r="E311" s="8" t="s">
        <v>1128</v>
      </c>
      <c r="F311">
        <v>5.0000000000000001E-3</v>
      </c>
      <c r="G311" t="s">
        <v>78</v>
      </c>
      <c r="H311" t="str">
        <f>VLOOKUP(Tabla3[[#This Row],[DESCRIPCION MATERIAL]],'CODIGO MAT'!$C$2:$D$390,2,FALSE)</f>
        <v>AVI0000149</v>
      </c>
      <c r="L311" t="e">
        <v>#N/A</v>
      </c>
      <c r="M311" t="s">
        <v>992</v>
      </c>
      <c r="N311" t="e">
        <f>M311&amp;Tabla3[[#This Row],[CODIGO PRODUCTO TERMINADO]]&amp;"','"&amp;L311&amp;"',"&amp;Tabla3[[#This Row],[CANTIDAD MATERIAL (M)]]&amp;");"</f>
        <v>#N/A</v>
      </c>
    </row>
    <row r="312" spans="1:18" x14ac:dyDescent="0.25">
      <c r="A312" t="s">
        <v>1000</v>
      </c>
      <c r="B312" t="s">
        <v>63</v>
      </c>
      <c r="C312" t="s">
        <v>999</v>
      </c>
      <c r="D312" t="s">
        <v>51</v>
      </c>
      <c r="E312" s="8" t="s">
        <v>1125</v>
      </c>
      <c r="F312">
        <v>2E-3</v>
      </c>
      <c r="G312" t="s">
        <v>396</v>
      </c>
      <c r="H312" t="str">
        <f>VLOOKUP(Tabla3[[#This Row],[DESCRIPCION MATERIAL]],'CODIGO MAT'!$C$2:$D$390,2,FALSE)</f>
        <v>AVI0000150</v>
      </c>
      <c r="L312" t="e">
        <v>#N/A</v>
      </c>
      <c r="M312" t="s">
        <v>992</v>
      </c>
      <c r="N312" t="e">
        <f>M312&amp;Tabla3[[#This Row],[CODIGO PRODUCTO TERMINADO]]&amp;"','"&amp;L312&amp;"',"&amp;Tabla3[[#This Row],[CANTIDAD MATERIAL (M)]]&amp;");"</f>
        <v>#N/A</v>
      </c>
    </row>
    <row r="313" spans="1:18" x14ac:dyDescent="0.25">
      <c r="A313" t="s">
        <v>1002</v>
      </c>
      <c r="B313" t="s">
        <v>63</v>
      </c>
      <c r="C313" t="s">
        <v>1001</v>
      </c>
      <c r="D313" t="s">
        <v>50</v>
      </c>
      <c r="E313" s="8" t="s">
        <v>128</v>
      </c>
      <c r="F313">
        <v>1.28</v>
      </c>
      <c r="G313" t="s">
        <v>78</v>
      </c>
      <c r="H313" t="str">
        <f>VLOOKUP(Tabla3[[#This Row],[DESCRIPCION MATERIAL]],'CODIGO MAT'!$C$2:$D$390,2,FALSE)</f>
        <v>TEL0000055</v>
      </c>
      <c r="J313">
        <v>1</v>
      </c>
      <c r="K313">
        <v>0</v>
      </c>
      <c r="L313" t="e">
        <v>#N/A</v>
      </c>
      <c r="M313" t="s">
        <v>992</v>
      </c>
      <c r="N313" t="e">
        <f>M313&amp;Tabla3[[#This Row],[CODIGO PRODUCTO TERMINADO]]&amp;"','"&amp;L313&amp;"',"&amp;Tabla3[[#This Row],[CANTIDAD MATERIAL (M)]]&amp;");"</f>
        <v>#N/A</v>
      </c>
    </row>
    <row r="314" spans="1:18" x14ac:dyDescent="0.25">
      <c r="A314" t="s">
        <v>1002</v>
      </c>
      <c r="B314" t="s">
        <v>63</v>
      </c>
      <c r="C314" t="s">
        <v>1001</v>
      </c>
      <c r="D314" t="s">
        <v>50</v>
      </c>
      <c r="E314" s="8" t="s">
        <v>139</v>
      </c>
      <c r="F314">
        <v>0.10249999999999999</v>
      </c>
      <c r="G314" t="s">
        <v>78</v>
      </c>
      <c r="H314" t="str">
        <f>VLOOKUP(Tabla3[[#This Row],[DESCRIPCION MATERIAL]],'CODIGO MAT'!$C$2:$D$390,2,FALSE)</f>
        <v>TEL0000066</v>
      </c>
      <c r="J314">
        <v>1</v>
      </c>
      <c r="K314">
        <v>0</v>
      </c>
      <c r="L314" t="e">
        <v>#N/A</v>
      </c>
      <c r="M314" t="s">
        <v>992</v>
      </c>
      <c r="N314" t="e">
        <f>M314&amp;Tabla3[[#This Row],[CODIGO PRODUCTO TERMINADO]]&amp;"','"&amp;L314&amp;"',"&amp;Tabla3[[#This Row],[CANTIDAD MATERIAL (M)]]&amp;");"</f>
        <v>#N/A</v>
      </c>
    </row>
    <row r="315" spans="1:18" x14ac:dyDescent="0.25">
      <c r="A315" t="s">
        <v>1002</v>
      </c>
      <c r="B315" t="s">
        <v>63</v>
      </c>
      <c r="C315" t="s">
        <v>1001</v>
      </c>
      <c r="D315" t="s">
        <v>50</v>
      </c>
      <c r="E315" s="8" t="s">
        <v>104</v>
      </c>
      <c r="F315">
        <v>2.69E-2</v>
      </c>
      <c r="G315" t="s">
        <v>78</v>
      </c>
      <c r="H315" t="str">
        <f>VLOOKUP(Tabla3[[#This Row],[DESCRIPCION MATERIAL]],'CODIGO MAT'!$C$2:$D$390,2,FALSE)</f>
        <v>TEL0000027</v>
      </c>
      <c r="J315">
        <v>1</v>
      </c>
      <c r="K315">
        <v>0</v>
      </c>
    </row>
    <row r="316" spans="1:18" x14ac:dyDescent="0.25">
      <c r="A316" t="s">
        <v>1002</v>
      </c>
      <c r="B316" t="s">
        <v>63</v>
      </c>
      <c r="C316" t="s">
        <v>1001</v>
      </c>
      <c r="D316" t="s">
        <v>50</v>
      </c>
      <c r="E316" s="8" t="s">
        <v>118</v>
      </c>
      <c r="F316">
        <v>6.8699999999999997E-2</v>
      </c>
      <c r="G316" t="s">
        <v>78</v>
      </c>
      <c r="H316" t="str">
        <f>VLOOKUP(Tabla3[[#This Row],[DESCRIPCION MATERIAL]],'CODIGO MAT'!$C$2:$D$390,2,FALSE)</f>
        <v>TEL0000045</v>
      </c>
      <c r="J316">
        <v>1</v>
      </c>
      <c r="K316">
        <v>0</v>
      </c>
      <c r="L316" t="e">
        <v>#N/A</v>
      </c>
      <c r="M316" t="s">
        <v>992</v>
      </c>
      <c r="N316" t="e">
        <f>M316&amp;Tabla3[[#This Row],[CODIGO PRODUCTO TERMINADO]]&amp;"','"&amp;L316&amp;"',"&amp;Tabla3[[#This Row],[CANTIDAD MATERIAL (M)]]&amp;");"</f>
        <v>#N/A</v>
      </c>
      <c r="R316">
        <f>1/Q301</f>
        <v>500</v>
      </c>
    </row>
    <row r="317" spans="1:18" x14ac:dyDescent="0.25">
      <c r="A317" t="s">
        <v>1002</v>
      </c>
      <c r="B317" t="s">
        <v>63</v>
      </c>
      <c r="C317" t="s">
        <v>1001</v>
      </c>
      <c r="D317" t="s">
        <v>51</v>
      </c>
      <c r="E317" s="8" t="s">
        <v>308</v>
      </c>
      <c r="F317">
        <v>1.8700000000000001E-2</v>
      </c>
      <c r="G317" t="s">
        <v>78</v>
      </c>
      <c r="H317" t="str">
        <f>VLOOKUP(Tabla3[[#This Row],[DESCRIPCION MATERIAL]],'CODIGO MAT'!$C$2:$D$390,2,FALSE)</f>
        <v>AVI0000053</v>
      </c>
      <c r="J317">
        <v>1</v>
      </c>
      <c r="K317">
        <v>0</v>
      </c>
    </row>
    <row r="318" spans="1:18" x14ac:dyDescent="0.25">
      <c r="A318" t="s">
        <v>1002</v>
      </c>
      <c r="B318" t="s">
        <v>63</v>
      </c>
      <c r="C318" t="s">
        <v>1001</v>
      </c>
      <c r="D318" t="s">
        <v>51</v>
      </c>
      <c r="E318" s="8" t="s">
        <v>261</v>
      </c>
      <c r="F318">
        <v>1</v>
      </c>
      <c r="G318" t="s">
        <v>396</v>
      </c>
      <c r="H318" t="str">
        <f>VLOOKUP(Tabla3[[#This Row],[DESCRIPCION MATERIAL]],'CODIGO MAT'!$C$2:$D$390,2,FALSE)</f>
        <v>AVI0000002</v>
      </c>
      <c r="J318">
        <v>1</v>
      </c>
      <c r="K318">
        <v>0</v>
      </c>
      <c r="L318" t="e">
        <v>#N/A</v>
      </c>
      <c r="M318" t="s">
        <v>992</v>
      </c>
      <c r="N318" t="e">
        <f>M318&amp;Tabla3[[#This Row],[CODIGO PRODUCTO TERMINADO]]&amp;"','"&amp;L318&amp;"',"&amp;Tabla3[[#This Row],[CANTIDAD MATERIAL (M)]]&amp;");"</f>
        <v>#N/A</v>
      </c>
    </row>
    <row r="319" spans="1:18" x14ac:dyDescent="0.25">
      <c r="A319" t="s">
        <v>1002</v>
      </c>
      <c r="B319" t="s">
        <v>63</v>
      </c>
      <c r="C319" t="s">
        <v>1001</v>
      </c>
      <c r="D319" t="s">
        <v>51</v>
      </c>
      <c r="E319" s="8" t="s">
        <v>35</v>
      </c>
      <c r="F319">
        <v>0.84</v>
      </c>
      <c r="G319" t="s">
        <v>78</v>
      </c>
      <c r="H319" t="str">
        <f>VLOOKUP(Tabla3[[#This Row],[DESCRIPCION MATERIAL]],'CODIGO MAT'!$C$2:$D$390,2,FALSE)</f>
        <v>AVI0000031</v>
      </c>
      <c r="J319">
        <v>1</v>
      </c>
      <c r="K319">
        <v>0.24</v>
      </c>
      <c r="L319" t="e">
        <v>#N/A</v>
      </c>
      <c r="M319" t="s">
        <v>992</v>
      </c>
      <c r="N319" t="e">
        <f>M319&amp;Tabla3[[#This Row],[CODIGO PRODUCTO TERMINADO]]&amp;"','"&amp;L319&amp;"',"&amp;Tabla3[[#This Row],[CANTIDAD MATERIAL (M)]]&amp;");"</f>
        <v>#N/A</v>
      </c>
    </row>
    <row r="320" spans="1:18" x14ac:dyDescent="0.25">
      <c r="A320" t="s">
        <v>1002</v>
      </c>
      <c r="B320" t="s">
        <v>63</v>
      </c>
      <c r="C320" t="s">
        <v>1001</v>
      </c>
      <c r="D320" t="s">
        <v>51</v>
      </c>
      <c r="E320" s="8" t="s">
        <v>996</v>
      </c>
      <c r="F320">
        <v>0.5</v>
      </c>
      <c r="G320" t="s">
        <v>78</v>
      </c>
      <c r="H320" t="str">
        <f>VLOOKUP(Tabla3[[#This Row],[DESCRIPCION MATERIAL]],'CODIGO MAT'!$C$2:$D$390,2,FALSE)</f>
        <v>AVI0000148</v>
      </c>
      <c r="J320">
        <v>1</v>
      </c>
      <c r="K320">
        <v>0</v>
      </c>
      <c r="L320" t="e">
        <v>#N/A</v>
      </c>
      <c r="M320" t="s">
        <v>992</v>
      </c>
      <c r="N320" t="e">
        <f>M320&amp;Tabla3[[#This Row],[CODIGO PRODUCTO TERMINADO]]&amp;"','"&amp;L320&amp;"',"&amp;Tabla3[[#This Row],[CANTIDAD MATERIAL (M)]]&amp;");"</f>
        <v>#N/A</v>
      </c>
    </row>
    <row r="321" spans="1:14" x14ac:dyDescent="0.25">
      <c r="A321" t="s">
        <v>1002</v>
      </c>
      <c r="B321" t="s">
        <v>63</v>
      </c>
      <c r="C321" t="s">
        <v>1001</v>
      </c>
      <c r="D321" t="s">
        <v>51</v>
      </c>
      <c r="E321" s="8" t="s">
        <v>398</v>
      </c>
      <c r="F321">
        <v>10</v>
      </c>
      <c r="G321" t="s">
        <v>396</v>
      </c>
      <c r="H321" t="str">
        <f>VLOOKUP(Tabla3[[#This Row],[DESCRIPCION MATERIAL]],'CODIGO MAT'!$C$2:$D$390,2,FALSE)</f>
        <v>AVI0000132</v>
      </c>
      <c r="L321" t="e">
        <v>#N/A</v>
      </c>
      <c r="M321" t="s">
        <v>992</v>
      </c>
      <c r="N321" t="e">
        <f>M321&amp;Tabla3[[#This Row],[CODIGO PRODUCTO TERMINADO]]&amp;"','"&amp;L321&amp;"',"&amp;Tabla3[[#This Row],[CANTIDAD MATERIAL (M)]]&amp;");"</f>
        <v>#N/A</v>
      </c>
    </row>
    <row r="322" spans="1:14" x14ac:dyDescent="0.25">
      <c r="A322" t="s">
        <v>1002</v>
      </c>
      <c r="B322" t="s">
        <v>63</v>
      </c>
      <c r="C322" t="s">
        <v>1001</v>
      </c>
      <c r="D322" t="s">
        <v>51</v>
      </c>
      <c r="E322" s="8" t="s">
        <v>36</v>
      </c>
      <c r="F322">
        <v>2</v>
      </c>
      <c r="G322" t="s">
        <v>396</v>
      </c>
      <c r="H322" t="str">
        <f>VLOOKUP(Tabla3[[#This Row],[DESCRIPCION MATERIAL]],'CODIGO MAT'!$C$2:$D$390,2,FALSE)</f>
        <v>AVI0000135</v>
      </c>
      <c r="L322" t="e">
        <v>#N/A</v>
      </c>
      <c r="M322" t="s">
        <v>992</v>
      </c>
      <c r="N322" t="e">
        <f>M322&amp;Tabla3[[#This Row],[CODIGO PRODUCTO TERMINADO]]&amp;"','"&amp;L322&amp;"',"&amp;Tabla3[[#This Row],[CANTIDAD MATERIAL (M)]]&amp;");"</f>
        <v>#N/A</v>
      </c>
    </row>
    <row r="323" spans="1:14" x14ac:dyDescent="0.25">
      <c r="A323" t="s">
        <v>1002</v>
      </c>
      <c r="B323" t="s">
        <v>63</v>
      </c>
      <c r="C323" t="s">
        <v>1001</v>
      </c>
      <c r="D323" t="s">
        <v>51</v>
      </c>
      <c r="E323" s="8" t="s">
        <v>1128</v>
      </c>
      <c r="F323">
        <v>5.0000000000000001E-3</v>
      </c>
      <c r="G323" t="s">
        <v>78</v>
      </c>
      <c r="H323" t="str">
        <f>VLOOKUP(Tabla3[[#This Row],[DESCRIPCION MATERIAL]],'CODIGO MAT'!$C$2:$D$390,2,FALSE)</f>
        <v>AVI0000149</v>
      </c>
      <c r="L323" t="e">
        <v>#N/A</v>
      </c>
      <c r="M323" t="s">
        <v>992</v>
      </c>
      <c r="N323" t="e">
        <f>M323&amp;Tabla3[[#This Row],[CODIGO PRODUCTO TERMINADO]]&amp;"','"&amp;L323&amp;"',"&amp;Tabla3[[#This Row],[CANTIDAD MATERIAL (M)]]&amp;");"</f>
        <v>#N/A</v>
      </c>
    </row>
    <row r="324" spans="1:14" x14ac:dyDescent="0.25">
      <c r="A324" t="s">
        <v>1002</v>
      </c>
      <c r="B324" t="s">
        <v>63</v>
      </c>
      <c r="C324" t="s">
        <v>1001</v>
      </c>
      <c r="D324" t="s">
        <v>51</v>
      </c>
      <c r="E324" s="8" t="s">
        <v>1125</v>
      </c>
      <c r="F324">
        <v>2E-3</v>
      </c>
      <c r="G324" t="s">
        <v>396</v>
      </c>
      <c r="H324" t="str">
        <f>VLOOKUP(Tabla3[[#This Row],[DESCRIPCION MATERIAL]],'CODIGO MAT'!$C$2:$D$390,2,FALSE)</f>
        <v>AVI0000150</v>
      </c>
      <c r="L324" t="e">
        <v>#N/A</v>
      </c>
      <c r="M324" t="s">
        <v>992</v>
      </c>
      <c r="N324" t="e">
        <f>M324&amp;Tabla3[[#This Row],[CODIGO PRODUCTO TERMINADO]]&amp;"','"&amp;L324&amp;"',"&amp;Tabla3[[#This Row],[CANTIDAD MATERIAL (M)]]&amp;");"</f>
        <v>#N/A</v>
      </c>
    </row>
    <row r="325" spans="1:14" x14ac:dyDescent="0.25">
      <c r="A325" t="s">
        <v>1004</v>
      </c>
      <c r="B325" t="s">
        <v>63</v>
      </c>
      <c r="C325" t="s">
        <v>1003</v>
      </c>
      <c r="D325" t="s">
        <v>50</v>
      </c>
      <c r="E325" s="8" t="s">
        <v>128</v>
      </c>
      <c r="F325">
        <v>1.43</v>
      </c>
      <c r="G325" t="s">
        <v>78</v>
      </c>
      <c r="H325" t="str">
        <f>VLOOKUP(Tabla3[[#This Row],[DESCRIPCION MATERIAL]],'CODIGO MAT'!$C$2:$D$390,2,FALSE)</f>
        <v>TEL0000055</v>
      </c>
      <c r="J325">
        <v>1</v>
      </c>
      <c r="K325">
        <v>0</v>
      </c>
      <c r="L325" t="e">
        <v>#N/A</v>
      </c>
      <c r="M325" t="s">
        <v>992</v>
      </c>
      <c r="N325" t="e">
        <f>M325&amp;Tabla3[[#This Row],[CODIGO PRODUCTO TERMINADO]]&amp;"','"&amp;L325&amp;"',"&amp;Tabla3[[#This Row],[CANTIDAD MATERIAL (M)]]&amp;");"</f>
        <v>#N/A</v>
      </c>
    </row>
    <row r="326" spans="1:14" x14ac:dyDescent="0.25">
      <c r="A326" t="s">
        <v>1004</v>
      </c>
      <c r="B326" t="s">
        <v>63</v>
      </c>
      <c r="C326" t="s">
        <v>1003</v>
      </c>
      <c r="D326" t="s">
        <v>50</v>
      </c>
      <c r="E326" s="8" t="s">
        <v>139</v>
      </c>
      <c r="F326">
        <v>0.10249999999999999</v>
      </c>
      <c r="G326" t="s">
        <v>78</v>
      </c>
      <c r="H326" t="str">
        <f>VLOOKUP(Tabla3[[#This Row],[DESCRIPCION MATERIAL]],'CODIGO MAT'!$C$2:$D$390,2,FALSE)</f>
        <v>TEL0000066</v>
      </c>
      <c r="J326">
        <v>1</v>
      </c>
      <c r="K326">
        <v>0</v>
      </c>
      <c r="L326" t="e">
        <v>#N/A</v>
      </c>
      <c r="M326" t="s">
        <v>992</v>
      </c>
      <c r="N326" t="e">
        <f>M326&amp;Tabla3[[#This Row],[CODIGO PRODUCTO TERMINADO]]&amp;"','"&amp;L326&amp;"',"&amp;Tabla3[[#This Row],[CANTIDAD MATERIAL (M)]]&amp;");"</f>
        <v>#N/A</v>
      </c>
    </row>
    <row r="327" spans="1:14" x14ac:dyDescent="0.25">
      <c r="A327" t="s">
        <v>1004</v>
      </c>
      <c r="B327" t="s">
        <v>63</v>
      </c>
      <c r="C327" t="s">
        <v>1003</v>
      </c>
      <c r="D327" t="s">
        <v>50</v>
      </c>
      <c r="E327" s="8" t="s">
        <v>104</v>
      </c>
      <c r="F327">
        <v>2.69E-2</v>
      </c>
      <c r="G327" t="s">
        <v>78</v>
      </c>
      <c r="H327" t="str">
        <f>VLOOKUP(Tabla3[[#This Row],[DESCRIPCION MATERIAL]],'CODIGO MAT'!$C$2:$D$390,2,FALSE)</f>
        <v>TEL0000027</v>
      </c>
      <c r="J327">
        <v>1</v>
      </c>
      <c r="K327">
        <v>0</v>
      </c>
    </row>
    <row r="328" spans="1:14" x14ac:dyDescent="0.25">
      <c r="A328" t="s">
        <v>1004</v>
      </c>
      <c r="B328" t="s">
        <v>63</v>
      </c>
      <c r="C328" t="s">
        <v>1003</v>
      </c>
      <c r="D328" t="s">
        <v>50</v>
      </c>
      <c r="E328" s="8" t="s">
        <v>118</v>
      </c>
      <c r="F328">
        <v>6.8699999999999997E-2</v>
      </c>
      <c r="G328" t="s">
        <v>78</v>
      </c>
      <c r="H328" t="str">
        <f>VLOOKUP(Tabla3[[#This Row],[DESCRIPCION MATERIAL]],'CODIGO MAT'!$C$2:$D$390,2,FALSE)</f>
        <v>TEL0000045</v>
      </c>
      <c r="J328">
        <v>1</v>
      </c>
      <c r="K328">
        <v>0</v>
      </c>
      <c r="L328" t="e">
        <v>#N/A</v>
      </c>
      <c r="M328" t="s">
        <v>992</v>
      </c>
      <c r="N328" t="e">
        <f>M328&amp;Tabla3[[#This Row],[CODIGO PRODUCTO TERMINADO]]&amp;"','"&amp;L328&amp;"',"&amp;Tabla3[[#This Row],[CANTIDAD MATERIAL (M)]]&amp;");"</f>
        <v>#N/A</v>
      </c>
    </row>
    <row r="329" spans="1:14" x14ac:dyDescent="0.25">
      <c r="A329" t="s">
        <v>1004</v>
      </c>
      <c r="B329" t="s">
        <v>63</v>
      </c>
      <c r="C329" t="s">
        <v>1003</v>
      </c>
      <c r="D329" t="s">
        <v>51</v>
      </c>
      <c r="E329" s="8" t="s">
        <v>308</v>
      </c>
      <c r="F329">
        <v>1.8700000000000001E-2</v>
      </c>
      <c r="G329" t="s">
        <v>78</v>
      </c>
      <c r="H329" t="str">
        <f>VLOOKUP(Tabla3[[#This Row],[DESCRIPCION MATERIAL]],'CODIGO MAT'!$C$2:$D$390,2,FALSE)</f>
        <v>AVI0000053</v>
      </c>
      <c r="J329">
        <v>1</v>
      </c>
      <c r="K329">
        <v>0</v>
      </c>
    </row>
    <row r="330" spans="1:14" x14ac:dyDescent="0.25">
      <c r="A330" t="s">
        <v>1004</v>
      </c>
      <c r="B330" t="s">
        <v>63</v>
      </c>
      <c r="C330" t="s">
        <v>1003</v>
      </c>
      <c r="D330" t="s">
        <v>51</v>
      </c>
      <c r="E330" s="8" t="s">
        <v>261</v>
      </c>
      <c r="F330">
        <v>1</v>
      </c>
      <c r="G330" t="s">
        <v>396</v>
      </c>
      <c r="H330" t="str">
        <f>VLOOKUP(Tabla3[[#This Row],[DESCRIPCION MATERIAL]],'CODIGO MAT'!$C$2:$D$390,2,FALSE)</f>
        <v>AVI0000002</v>
      </c>
      <c r="J330">
        <v>1</v>
      </c>
      <c r="K330">
        <v>0</v>
      </c>
      <c r="L330" t="e">
        <v>#N/A</v>
      </c>
      <c r="M330" t="s">
        <v>992</v>
      </c>
      <c r="N330" t="e">
        <f>M330&amp;Tabla3[[#This Row],[CODIGO PRODUCTO TERMINADO]]&amp;"','"&amp;L330&amp;"',"&amp;Tabla3[[#This Row],[CANTIDAD MATERIAL (M)]]&amp;");"</f>
        <v>#N/A</v>
      </c>
    </row>
    <row r="331" spans="1:14" x14ac:dyDescent="0.25">
      <c r="A331" t="s">
        <v>1004</v>
      </c>
      <c r="B331" t="s">
        <v>63</v>
      </c>
      <c r="C331" t="s">
        <v>1003</v>
      </c>
      <c r="D331" t="s">
        <v>51</v>
      </c>
      <c r="E331" s="8" t="s">
        <v>35</v>
      </c>
      <c r="F331">
        <v>0.84</v>
      </c>
      <c r="G331" t="s">
        <v>78</v>
      </c>
      <c r="H331" t="str">
        <f>VLOOKUP(Tabla3[[#This Row],[DESCRIPCION MATERIAL]],'CODIGO MAT'!$C$2:$D$390,2,FALSE)</f>
        <v>AVI0000031</v>
      </c>
      <c r="J331">
        <v>1</v>
      </c>
      <c r="K331">
        <v>0.24</v>
      </c>
      <c r="L331" t="e">
        <v>#N/A</v>
      </c>
      <c r="M331" t="s">
        <v>992</v>
      </c>
      <c r="N331" t="e">
        <f>M331&amp;Tabla3[[#This Row],[CODIGO PRODUCTO TERMINADO]]&amp;"','"&amp;L331&amp;"',"&amp;Tabla3[[#This Row],[CANTIDAD MATERIAL (M)]]&amp;");"</f>
        <v>#N/A</v>
      </c>
    </row>
    <row r="332" spans="1:14" x14ac:dyDescent="0.25">
      <c r="A332" t="s">
        <v>1004</v>
      </c>
      <c r="B332" t="s">
        <v>63</v>
      </c>
      <c r="C332" t="s">
        <v>1003</v>
      </c>
      <c r="D332" t="s">
        <v>51</v>
      </c>
      <c r="E332" s="8" t="s">
        <v>996</v>
      </c>
      <c r="F332">
        <v>0.5</v>
      </c>
      <c r="G332" t="s">
        <v>78</v>
      </c>
      <c r="H332" t="str">
        <f>VLOOKUP(Tabla3[[#This Row],[DESCRIPCION MATERIAL]],'CODIGO MAT'!$C$2:$D$390,2,FALSE)</f>
        <v>AVI0000148</v>
      </c>
      <c r="J332">
        <v>1</v>
      </c>
      <c r="K332">
        <v>0</v>
      </c>
      <c r="L332" t="e">
        <v>#N/A</v>
      </c>
      <c r="M332" t="s">
        <v>992</v>
      </c>
      <c r="N332" t="e">
        <f>M332&amp;Tabla3[[#This Row],[CODIGO PRODUCTO TERMINADO]]&amp;"','"&amp;L332&amp;"',"&amp;Tabla3[[#This Row],[CANTIDAD MATERIAL (M)]]&amp;");"</f>
        <v>#N/A</v>
      </c>
    </row>
    <row r="333" spans="1:14" x14ac:dyDescent="0.25">
      <c r="A333" t="s">
        <v>1004</v>
      </c>
      <c r="B333" t="s">
        <v>63</v>
      </c>
      <c r="C333" t="s">
        <v>1003</v>
      </c>
      <c r="D333" t="s">
        <v>51</v>
      </c>
      <c r="E333" s="8" t="s">
        <v>398</v>
      </c>
      <c r="F333">
        <v>10</v>
      </c>
      <c r="G333" t="s">
        <v>396</v>
      </c>
      <c r="H333" t="str">
        <f>VLOOKUP(Tabla3[[#This Row],[DESCRIPCION MATERIAL]],'CODIGO MAT'!$C$2:$D$390,2,FALSE)</f>
        <v>AVI0000132</v>
      </c>
      <c r="L333" t="e">
        <v>#N/A</v>
      </c>
      <c r="M333" t="s">
        <v>992</v>
      </c>
      <c r="N333" t="e">
        <f>M333&amp;Tabla3[[#This Row],[CODIGO PRODUCTO TERMINADO]]&amp;"','"&amp;L333&amp;"',"&amp;Tabla3[[#This Row],[CANTIDAD MATERIAL (M)]]&amp;");"</f>
        <v>#N/A</v>
      </c>
    </row>
    <row r="334" spans="1:14" x14ac:dyDescent="0.25">
      <c r="A334" t="s">
        <v>1004</v>
      </c>
      <c r="B334" t="s">
        <v>63</v>
      </c>
      <c r="C334" t="s">
        <v>1003</v>
      </c>
      <c r="D334" t="s">
        <v>51</v>
      </c>
      <c r="E334" s="8" t="s">
        <v>36</v>
      </c>
      <c r="F334">
        <v>2</v>
      </c>
      <c r="G334" t="s">
        <v>396</v>
      </c>
      <c r="H334" t="str">
        <f>VLOOKUP(Tabla3[[#This Row],[DESCRIPCION MATERIAL]],'CODIGO MAT'!$C$2:$D$390,2,FALSE)</f>
        <v>AVI0000135</v>
      </c>
      <c r="L334" t="e">
        <v>#N/A</v>
      </c>
      <c r="M334" t="s">
        <v>992</v>
      </c>
      <c r="N334" t="e">
        <f>M334&amp;Tabla3[[#This Row],[CODIGO PRODUCTO TERMINADO]]&amp;"','"&amp;L334&amp;"',"&amp;Tabla3[[#This Row],[CANTIDAD MATERIAL (M)]]&amp;");"</f>
        <v>#N/A</v>
      </c>
    </row>
    <row r="335" spans="1:14" x14ac:dyDescent="0.25">
      <c r="A335" t="s">
        <v>1004</v>
      </c>
      <c r="B335" t="s">
        <v>63</v>
      </c>
      <c r="C335" t="s">
        <v>1003</v>
      </c>
      <c r="D335" t="s">
        <v>51</v>
      </c>
      <c r="E335" s="8" t="s">
        <v>1128</v>
      </c>
      <c r="F335">
        <v>5.0000000000000001E-3</v>
      </c>
      <c r="G335" t="s">
        <v>78</v>
      </c>
      <c r="H335" t="str">
        <f>VLOOKUP(Tabla3[[#This Row],[DESCRIPCION MATERIAL]],'CODIGO MAT'!$C$2:$D$390,2,FALSE)</f>
        <v>AVI0000149</v>
      </c>
      <c r="L335" t="e">
        <v>#N/A</v>
      </c>
      <c r="M335" t="s">
        <v>992</v>
      </c>
      <c r="N335" t="e">
        <f>M335&amp;Tabla3[[#This Row],[CODIGO PRODUCTO TERMINADO]]&amp;"','"&amp;L335&amp;"',"&amp;Tabla3[[#This Row],[CANTIDAD MATERIAL (M)]]&amp;");"</f>
        <v>#N/A</v>
      </c>
    </row>
    <row r="336" spans="1:14" x14ac:dyDescent="0.25">
      <c r="A336" t="s">
        <v>1004</v>
      </c>
      <c r="B336" t="s">
        <v>63</v>
      </c>
      <c r="C336" t="s">
        <v>1003</v>
      </c>
      <c r="D336" t="s">
        <v>51</v>
      </c>
      <c r="E336" s="8" t="s">
        <v>1125</v>
      </c>
      <c r="F336">
        <v>2E-3</v>
      </c>
      <c r="G336" t="s">
        <v>396</v>
      </c>
      <c r="H336" t="str">
        <f>VLOOKUP(Tabla3[[#This Row],[DESCRIPCION MATERIAL]],'CODIGO MAT'!$C$2:$D$390,2,FALSE)</f>
        <v>AVI0000150</v>
      </c>
      <c r="L336" t="e">
        <v>#N/A</v>
      </c>
      <c r="M336" t="s">
        <v>992</v>
      </c>
      <c r="N336" t="e">
        <f>M336&amp;Tabla3[[#This Row],[CODIGO PRODUCTO TERMINADO]]&amp;"','"&amp;L336&amp;"',"&amp;Tabla3[[#This Row],[CANTIDAD MATERIAL (M)]]&amp;");"</f>
        <v>#N/A</v>
      </c>
    </row>
    <row r="337" spans="1:17" x14ac:dyDescent="0.25">
      <c r="A337" t="s">
        <v>1006</v>
      </c>
      <c r="B337" t="s">
        <v>63</v>
      </c>
      <c r="C337" t="s">
        <v>1005</v>
      </c>
      <c r="D337" t="s">
        <v>50</v>
      </c>
      <c r="E337" s="8" t="s">
        <v>128</v>
      </c>
      <c r="F337">
        <v>1.585</v>
      </c>
      <c r="G337" t="s">
        <v>78</v>
      </c>
      <c r="H337" t="str">
        <f>VLOOKUP(Tabla3[[#This Row],[DESCRIPCION MATERIAL]],'CODIGO MAT'!$C$2:$D$390,2,FALSE)</f>
        <v>TEL0000055</v>
      </c>
      <c r="J337">
        <v>1</v>
      </c>
      <c r="K337">
        <v>0</v>
      </c>
      <c r="L337" t="e">
        <v>#N/A</v>
      </c>
      <c r="M337" t="s">
        <v>992</v>
      </c>
      <c r="N337" t="e">
        <f>M337&amp;Tabla3[[#This Row],[CODIGO PRODUCTO TERMINADO]]&amp;"','"&amp;L337&amp;"',"&amp;Tabla3[[#This Row],[CANTIDAD MATERIAL (M)]]&amp;");"</f>
        <v>#N/A</v>
      </c>
      <c r="Q337">
        <f>3000*Q301</f>
        <v>6</v>
      </c>
    </row>
    <row r="338" spans="1:17" x14ac:dyDescent="0.25">
      <c r="A338" t="s">
        <v>1006</v>
      </c>
      <c r="B338" t="s">
        <v>63</v>
      </c>
      <c r="C338" t="s">
        <v>1005</v>
      </c>
      <c r="D338" t="s">
        <v>50</v>
      </c>
      <c r="E338" s="8" t="s">
        <v>139</v>
      </c>
      <c r="F338">
        <v>0.10249999999999999</v>
      </c>
      <c r="G338" t="s">
        <v>78</v>
      </c>
      <c r="H338" t="str">
        <f>VLOOKUP(Tabla3[[#This Row],[DESCRIPCION MATERIAL]],'CODIGO MAT'!$C$2:$D$390,2,FALSE)</f>
        <v>TEL0000066</v>
      </c>
      <c r="J338">
        <v>1</v>
      </c>
      <c r="K338">
        <v>0</v>
      </c>
      <c r="L338" t="e">
        <v>#N/A</v>
      </c>
      <c r="M338" t="s">
        <v>992</v>
      </c>
      <c r="N338" t="e">
        <f>M338&amp;Tabla3[[#This Row],[CODIGO PRODUCTO TERMINADO]]&amp;"','"&amp;L338&amp;"',"&amp;Tabla3[[#This Row],[CANTIDAD MATERIAL (M)]]&amp;");"</f>
        <v>#N/A</v>
      </c>
    </row>
    <row r="339" spans="1:17" x14ac:dyDescent="0.25">
      <c r="A339" t="s">
        <v>1006</v>
      </c>
      <c r="B339" t="s">
        <v>63</v>
      </c>
      <c r="C339" t="s">
        <v>1005</v>
      </c>
      <c r="D339" t="s">
        <v>50</v>
      </c>
      <c r="E339" s="8" t="s">
        <v>104</v>
      </c>
      <c r="F339">
        <v>2.69E-2</v>
      </c>
      <c r="G339" t="s">
        <v>78</v>
      </c>
      <c r="H339" t="str">
        <f>VLOOKUP(Tabla3[[#This Row],[DESCRIPCION MATERIAL]],'CODIGO MAT'!$C$2:$D$390,2,FALSE)</f>
        <v>TEL0000027</v>
      </c>
      <c r="J339">
        <v>1</v>
      </c>
      <c r="K339">
        <v>0</v>
      </c>
    </row>
    <row r="340" spans="1:17" x14ac:dyDescent="0.25">
      <c r="A340" t="s">
        <v>1006</v>
      </c>
      <c r="B340" t="s">
        <v>63</v>
      </c>
      <c r="C340" t="s">
        <v>1005</v>
      </c>
      <c r="D340" t="s">
        <v>50</v>
      </c>
      <c r="E340" s="8" t="s">
        <v>118</v>
      </c>
      <c r="F340">
        <v>6.8699999999999997E-2</v>
      </c>
      <c r="G340" t="s">
        <v>78</v>
      </c>
      <c r="H340" t="str">
        <f>VLOOKUP(Tabla3[[#This Row],[DESCRIPCION MATERIAL]],'CODIGO MAT'!$C$2:$D$390,2,FALSE)</f>
        <v>TEL0000045</v>
      </c>
      <c r="J340">
        <v>1</v>
      </c>
      <c r="K340">
        <v>0</v>
      </c>
    </row>
    <row r="341" spans="1:17" x14ac:dyDescent="0.25">
      <c r="A341" t="s">
        <v>1006</v>
      </c>
      <c r="B341" t="s">
        <v>63</v>
      </c>
      <c r="C341" t="s">
        <v>1005</v>
      </c>
      <c r="D341" t="s">
        <v>51</v>
      </c>
      <c r="E341" s="8" t="s">
        <v>308</v>
      </c>
      <c r="F341">
        <v>1.8700000000000001E-2</v>
      </c>
      <c r="G341" t="s">
        <v>78</v>
      </c>
      <c r="H341" t="str">
        <f>VLOOKUP(Tabla3[[#This Row],[DESCRIPCION MATERIAL]],'CODIGO MAT'!$C$2:$D$390,2,FALSE)</f>
        <v>AVI0000053</v>
      </c>
      <c r="J341">
        <v>1</v>
      </c>
      <c r="K341">
        <v>0</v>
      </c>
      <c r="L341" t="e">
        <v>#N/A</v>
      </c>
      <c r="M341" t="s">
        <v>992</v>
      </c>
      <c r="N341" t="e">
        <f>M341&amp;Tabla3[[#This Row],[CODIGO PRODUCTO TERMINADO]]&amp;"','"&amp;L341&amp;"',"&amp;Tabla3[[#This Row],[CANTIDAD MATERIAL (M)]]&amp;");"</f>
        <v>#N/A</v>
      </c>
      <c r="Q341">
        <f>1/200</f>
        <v>5.0000000000000001E-3</v>
      </c>
    </row>
    <row r="342" spans="1:17" x14ac:dyDescent="0.25">
      <c r="A342" t="s">
        <v>1006</v>
      </c>
      <c r="B342" t="s">
        <v>63</v>
      </c>
      <c r="C342" t="s">
        <v>1005</v>
      </c>
      <c r="D342" t="s">
        <v>51</v>
      </c>
      <c r="E342" s="8" t="s">
        <v>261</v>
      </c>
      <c r="F342">
        <v>1</v>
      </c>
      <c r="G342" t="s">
        <v>396</v>
      </c>
      <c r="H342" t="str">
        <f>VLOOKUP(Tabla3[[#This Row],[DESCRIPCION MATERIAL]],'CODIGO MAT'!$C$2:$D$390,2,FALSE)</f>
        <v>AVI0000002</v>
      </c>
      <c r="J342">
        <v>1</v>
      </c>
      <c r="K342">
        <v>0</v>
      </c>
      <c r="L342" t="e">
        <v>#N/A</v>
      </c>
      <c r="M342" t="s">
        <v>992</v>
      </c>
      <c r="N342" t="e">
        <f>M342&amp;Tabla3[[#This Row],[CODIGO PRODUCTO TERMINADO]]&amp;"','"&amp;L342&amp;"',"&amp;Tabla3[[#This Row],[CANTIDAD MATERIAL (M)]]&amp;");"</f>
        <v>#N/A</v>
      </c>
    </row>
    <row r="343" spans="1:17" x14ac:dyDescent="0.25">
      <c r="A343" t="s">
        <v>1006</v>
      </c>
      <c r="B343" t="s">
        <v>63</v>
      </c>
      <c r="C343" t="s">
        <v>1005</v>
      </c>
      <c r="D343" t="s">
        <v>51</v>
      </c>
      <c r="E343" s="8" t="s">
        <v>35</v>
      </c>
      <c r="F343">
        <v>0.84</v>
      </c>
      <c r="G343" t="s">
        <v>78</v>
      </c>
      <c r="H343" t="str">
        <f>VLOOKUP(Tabla3[[#This Row],[DESCRIPCION MATERIAL]],'CODIGO MAT'!$C$2:$D$390,2,FALSE)</f>
        <v>AVI0000031</v>
      </c>
      <c r="J343">
        <v>1</v>
      </c>
      <c r="K343">
        <v>0.24</v>
      </c>
      <c r="L343" t="e">
        <v>#N/A</v>
      </c>
      <c r="M343" t="s">
        <v>992</v>
      </c>
      <c r="N343" t="e">
        <f>M343&amp;Tabla3[[#This Row],[CODIGO PRODUCTO TERMINADO]]&amp;"','"&amp;L343&amp;"',"&amp;Tabla3[[#This Row],[CANTIDAD MATERIAL (M)]]&amp;");"</f>
        <v>#N/A</v>
      </c>
    </row>
    <row r="344" spans="1:17" x14ac:dyDescent="0.25">
      <c r="A344" t="s">
        <v>1006</v>
      </c>
      <c r="B344" t="s">
        <v>63</v>
      </c>
      <c r="C344" t="s">
        <v>1005</v>
      </c>
      <c r="D344" t="s">
        <v>51</v>
      </c>
      <c r="E344" s="8" t="s">
        <v>996</v>
      </c>
      <c r="F344">
        <v>0.5</v>
      </c>
      <c r="G344" t="s">
        <v>78</v>
      </c>
      <c r="H344" t="str">
        <f>VLOOKUP(Tabla3[[#This Row],[DESCRIPCION MATERIAL]],'CODIGO MAT'!$C$2:$D$390,2,FALSE)</f>
        <v>AVI0000148</v>
      </c>
      <c r="J344">
        <v>1</v>
      </c>
      <c r="K344">
        <v>0</v>
      </c>
      <c r="L344" t="e">
        <v>#N/A</v>
      </c>
      <c r="M344" t="s">
        <v>992</v>
      </c>
      <c r="N344" t="e">
        <f>M344&amp;Tabla3[[#This Row],[CODIGO PRODUCTO TERMINADO]]&amp;"','"&amp;L344&amp;"',"&amp;Tabla3[[#This Row],[CANTIDAD MATERIAL (M)]]&amp;");"</f>
        <v>#N/A</v>
      </c>
    </row>
    <row r="345" spans="1:17" x14ac:dyDescent="0.25">
      <c r="A345" t="s">
        <v>1006</v>
      </c>
      <c r="B345" t="s">
        <v>63</v>
      </c>
      <c r="C345" t="s">
        <v>1005</v>
      </c>
      <c r="D345" t="s">
        <v>51</v>
      </c>
      <c r="E345" s="8" t="s">
        <v>398</v>
      </c>
      <c r="F345">
        <v>10</v>
      </c>
      <c r="G345" t="s">
        <v>396</v>
      </c>
      <c r="H345" t="str">
        <f>VLOOKUP(Tabla3[[#This Row],[DESCRIPCION MATERIAL]],'CODIGO MAT'!$C$2:$D$390,2,FALSE)</f>
        <v>AVI0000132</v>
      </c>
      <c r="L345" t="e">
        <v>#N/A</v>
      </c>
      <c r="M345" t="s">
        <v>992</v>
      </c>
      <c r="N345" t="e">
        <f>M345&amp;Tabla3[[#This Row],[CODIGO PRODUCTO TERMINADO]]&amp;"','"&amp;L345&amp;"',"&amp;Tabla3[[#This Row],[CANTIDAD MATERIAL (M)]]&amp;");"</f>
        <v>#N/A</v>
      </c>
    </row>
    <row r="346" spans="1:17" x14ac:dyDescent="0.25">
      <c r="A346" t="s">
        <v>1006</v>
      </c>
      <c r="B346" t="s">
        <v>63</v>
      </c>
      <c r="C346" t="s">
        <v>1005</v>
      </c>
      <c r="D346" t="s">
        <v>51</v>
      </c>
      <c r="E346" s="8" t="s">
        <v>36</v>
      </c>
      <c r="F346">
        <v>2</v>
      </c>
      <c r="G346" t="s">
        <v>396</v>
      </c>
      <c r="H346" t="str">
        <f>VLOOKUP(Tabla3[[#This Row],[DESCRIPCION MATERIAL]],'CODIGO MAT'!$C$2:$D$390,2,FALSE)</f>
        <v>AVI0000135</v>
      </c>
      <c r="L346" t="e">
        <v>#N/A</v>
      </c>
      <c r="M346" t="s">
        <v>992</v>
      </c>
      <c r="N346" t="e">
        <f>M346&amp;Tabla3[[#This Row],[CODIGO PRODUCTO TERMINADO]]&amp;"','"&amp;L346&amp;"',"&amp;Tabla3[[#This Row],[CANTIDAD MATERIAL (M)]]&amp;");"</f>
        <v>#N/A</v>
      </c>
    </row>
    <row r="347" spans="1:17" x14ac:dyDescent="0.25">
      <c r="A347" t="s">
        <v>1006</v>
      </c>
      <c r="B347" t="s">
        <v>63</v>
      </c>
      <c r="C347" t="s">
        <v>1005</v>
      </c>
      <c r="D347" t="s">
        <v>51</v>
      </c>
      <c r="E347" s="8" t="s">
        <v>1128</v>
      </c>
      <c r="F347">
        <v>5.0000000000000001E-3</v>
      </c>
      <c r="G347" t="s">
        <v>78</v>
      </c>
      <c r="H347" t="str">
        <f>VLOOKUP(Tabla3[[#This Row],[DESCRIPCION MATERIAL]],'CODIGO MAT'!$C$2:$D$390,2,FALSE)</f>
        <v>AVI0000149</v>
      </c>
      <c r="L347" t="e">
        <v>#N/A</v>
      </c>
      <c r="M347" t="s">
        <v>992</v>
      </c>
      <c r="N347" t="e">
        <f>M347&amp;Tabla3[[#This Row],[CODIGO PRODUCTO TERMINADO]]&amp;"','"&amp;L347&amp;"',"&amp;Tabla3[[#This Row],[CANTIDAD MATERIAL (M)]]&amp;");"</f>
        <v>#N/A</v>
      </c>
    </row>
    <row r="348" spans="1:17" x14ac:dyDescent="0.25">
      <c r="A348" t="s">
        <v>1006</v>
      </c>
      <c r="B348" t="s">
        <v>63</v>
      </c>
      <c r="C348" t="s">
        <v>1005</v>
      </c>
      <c r="D348" t="s">
        <v>51</v>
      </c>
      <c r="E348" s="8" t="s">
        <v>1125</v>
      </c>
      <c r="F348">
        <v>2E-3</v>
      </c>
      <c r="G348" t="s">
        <v>396</v>
      </c>
      <c r="H348" t="str">
        <f>VLOOKUP(Tabla3[[#This Row],[DESCRIPCION MATERIAL]],'CODIGO MAT'!$C$2:$D$390,2,FALSE)</f>
        <v>AVI0000150</v>
      </c>
      <c r="L348" t="e">
        <v>#N/A</v>
      </c>
      <c r="M348" t="s">
        <v>992</v>
      </c>
      <c r="N348" t="e">
        <f>M348&amp;Tabla3[[#This Row],[CODIGO PRODUCTO TERMINADO]]&amp;"','"&amp;L348&amp;"',"&amp;Tabla3[[#This Row],[CANTIDAD MATERIAL (M)]]&amp;");"</f>
        <v>#N/A</v>
      </c>
    </row>
    <row r="349" spans="1:17" x14ac:dyDescent="0.25">
      <c r="A349" t="s">
        <v>1008</v>
      </c>
      <c r="B349" t="s">
        <v>63</v>
      </c>
      <c r="C349" t="s">
        <v>1007</v>
      </c>
      <c r="D349" t="s">
        <v>50</v>
      </c>
      <c r="E349" s="8" t="s">
        <v>128</v>
      </c>
      <c r="F349">
        <v>1.75</v>
      </c>
      <c r="G349" t="s">
        <v>78</v>
      </c>
      <c r="H349" t="str">
        <f>VLOOKUP(Tabla3[[#This Row],[DESCRIPCION MATERIAL]],'CODIGO MAT'!$C$2:$D$390,2,FALSE)</f>
        <v>TEL0000055</v>
      </c>
      <c r="J349">
        <v>1</v>
      </c>
      <c r="K349">
        <v>0</v>
      </c>
      <c r="L349" t="e">
        <v>#N/A</v>
      </c>
      <c r="M349" t="s">
        <v>992</v>
      </c>
      <c r="N349" t="e">
        <f>M349&amp;Tabla3[[#This Row],[CODIGO PRODUCTO TERMINADO]]&amp;"','"&amp;L349&amp;"',"&amp;Tabla3[[#This Row],[CANTIDAD MATERIAL (M)]]&amp;");"</f>
        <v>#N/A</v>
      </c>
      <c r="Q349">
        <f>200*Q301</f>
        <v>0.4</v>
      </c>
    </row>
    <row r="350" spans="1:17" x14ac:dyDescent="0.25">
      <c r="A350" t="s">
        <v>1008</v>
      </c>
      <c r="B350" t="s">
        <v>63</v>
      </c>
      <c r="C350" t="s">
        <v>1007</v>
      </c>
      <c r="D350" t="s">
        <v>50</v>
      </c>
      <c r="E350" s="8" t="s">
        <v>139</v>
      </c>
      <c r="F350">
        <v>0.10249999999999999</v>
      </c>
      <c r="G350" t="s">
        <v>78</v>
      </c>
      <c r="H350" t="str">
        <f>VLOOKUP(Tabla3[[#This Row],[DESCRIPCION MATERIAL]],'CODIGO MAT'!$C$2:$D$390,2,FALSE)</f>
        <v>TEL0000066</v>
      </c>
      <c r="J350">
        <v>1</v>
      </c>
      <c r="K350">
        <v>0</v>
      </c>
      <c r="L350" t="e">
        <v>#N/A</v>
      </c>
      <c r="M350" t="s">
        <v>992</v>
      </c>
      <c r="N350" t="e">
        <f>M350&amp;Tabla3[[#This Row],[CODIGO PRODUCTO TERMINADO]]&amp;"','"&amp;L350&amp;"',"&amp;Tabla3[[#This Row],[CANTIDAD MATERIAL (M)]]&amp;");"</f>
        <v>#N/A</v>
      </c>
    </row>
    <row r="351" spans="1:17" x14ac:dyDescent="0.25">
      <c r="A351" t="s">
        <v>1008</v>
      </c>
      <c r="B351" t="s">
        <v>63</v>
      </c>
      <c r="C351" t="s">
        <v>1007</v>
      </c>
      <c r="D351" t="s">
        <v>50</v>
      </c>
      <c r="E351" s="8" t="s">
        <v>104</v>
      </c>
      <c r="F351">
        <v>2.69E-2</v>
      </c>
      <c r="G351" t="s">
        <v>78</v>
      </c>
      <c r="H351" t="str">
        <f>VLOOKUP(Tabla3[[#This Row],[DESCRIPCION MATERIAL]],'CODIGO MAT'!$C$2:$D$390,2,FALSE)</f>
        <v>TEL0000027</v>
      </c>
      <c r="J351">
        <v>1</v>
      </c>
      <c r="K351">
        <v>0</v>
      </c>
    </row>
    <row r="352" spans="1:17" x14ac:dyDescent="0.25">
      <c r="A352" t="s">
        <v>1008</v>
      </c>
      <c r="B352" t="s">
        <v>63</v>
      </c>
      <c r="C352" t="s">
        <v>1007</v>
      </c>
      <c r="D352" t="s">
        <v>50</v>
      </c>
      <c r="E352" s="8" t="s">
        <v>118</v>
      </c>
      <c r="F352">
        <v>6.8699999999999997E-2</v>
      </c>
      <c r="G352" t="s">
        <v>78</v>
      </c>
      <c r="H352" t="str">
        <f>VLOOKUP(Tabla3[[#This Row],[DESCRIPCION MATERIAL]],'CODIGO MAT'!$C$2:$D$390,2,FALSE)</f>
        <v>TEL0000045</v>
      </c>
      <c r="J352">
        <v>1</v>
      </c>
      <c r="K352">
        <v>0</v>
      </c>
    </row>
    <row r="353" spans="1:14" x14ac:dyDescent="0.25">
      <c r="A353" t="s">
        <v>1008</v>
      </c>
      <c r="B353" t="s">
        <v>63</v>
      </c>
      <c r="C353" t="s">
        <v>1007</v>
      </c>
      <c r="D353" t="s">
        <v>51</v>
      </c>
      <c r="E353" s="8" t="s">
        <v>308</v>
      </c>
      <c r="F353">
        <v>1.8700000000000001E-2</v>
      </c>
      <c r="G353" t="s">
        <v>78</v>
      </c>
      <c r="H353" t="str">
        <f>VLOOKUP(Tabla3[[#This Row],[DESCRIPCION MATERIAL]],'CODIGO MAT'!$C$2:$D$390,2,FALSE)</f>
        <v>AVI0000053</v>
      </c>
      <c r="J353">
        <v>1</v>
      </c>
      <c r="K353">
        <v>0</v>
      </c>
      <c r="L353" t="e">
        <v>#N/A</v>
      </c>
      <c r="M353" t="s">
        <v>992</v>
      </c>
      <c r="N353" t="e">
        <f>M353&amp;Tabla3[[#This Row],[CODIGO PRODUCTO TERMINADO]]&amp;"','"&amp;L353&amp;"',"&amp;Tabla3[[#This Row],[CANTIDAD MATERIAL (M)]]&amp;");"</f>
        <v>#N/A</v>
      </c>
    </row>
    <row r="354" spans="1:14" x14ac:dyDescent="0.25">
      <c r="A354" t="s">
        <v>1008</v>
      </c>
      <c r="B354" t="s">
        <v>63</v>
      </c>
      <c r="C354" t="s">
        <v>1007</v>
      </c>
      <c r="D354" t="s">
        <v>51</v>
      </c>
      <c r="E354" s="8" t="s">
        <v>261</v>
      </c>
      <c r="F354">
        <v>1</v>
      </c>
      <c r="G354" t="s">
        <v>396</v>
      </c>
      <c r="H354" t="str">
        <f>VLOOKUP(Tabla3[[#This Row],[DESCRIPCION MATERIAL]],'CODIGO MAT'!$C$2:$D$390,2,FALSE)</f>
        <v>AVI0000002</v>
      </c>
      <c r="J354">
        <v>1</v>
      </c>
      <c r="K354">
        <v>0</v>
      </c>
      <c r="L354" t="e">
        <v>#N/A</v>
      </c>
      <c r="M354" t="s">
        <v>992</v>
      </c>
      <c r="N354" t="e">
        <f>M354&amp;Tabla3[[#This Row],[CODIGO PRODUCTO TERMINADO]]&amp;"','"&amp;L354&amp;"',"&amp;Tabla3[[#This Row],[CANTIDAD MATERIAL (M)]]&amp;");"</f>
        <v>#N/A</v>
      </c>
    </row>
    <row r="355" spans="1:14" x14ac:dyDescent="0.25">
      <c r="A355" t="s">
        <v>1008</v>
      </c>
      <c r="B355" t="s">
        <v>63</v>
      </c>
      <c r="C355" t="s">
        <v>1007</v>
      </c>
      <c r="D355" t="s">
        <v>51</v>
      </c>
      <c r="E355" s="8" t="s">
        <v>35</v>
      </c>
      <c r="F355">
        <v>0.84</v>
      </c>
      <c r="G355" t="s">
        <v>78</v>
      </c>
      <c r="H355" t="str">
        <f>VLOOKUP(Tabla3[[#This Row],[DESCRIPCION MATERIAL]],'CODIGO MAT'!$C$2:$D$390,2,FALSE)</f>
        <v>AVI0000031</v>
      </c>
      <c r="J355">
        <v>1</v>
      </c>
      <c r="K355">
        <v>0.24</v>
      </c>
      <c r="L355" t="e">
        <v>#N/A</v>
      </c>
      <c r="M355" t="s">
        <v>992</v>
      </c>
      <c r="N355" t="e">
        <f>M355&amp;Tabla3[[#This Row],[CODIGO PRODUCTO TERMINADO]]&amp;"','"&amp;L355&amp;"',"&amp;Tabla3[[#This Row],[CANTIDAD MATERIAL (M)]]&amp;");"</f>
        <v>#N/A</v>
      </c>
    </row>
    <row r="356" spans="1:14" x14ac:dyDescent="0.25">
      <c r="A356" t="s">
        <v>1008</v>
      </c>
      <c r="B356" t="s">
        <v>63</v>
      </c>
      <c r="C356" t="s">
        <v>1007</v>
      </c>
      <c r="D356" t="s">
        <v>51</v>
      </c>
      <c r="E356" s="8" t="s">
        <v>996</v>
      </c>
      <c r="F356">
        <v>0.5</v>
      </c>
      <c r="G356" t="s">
        <v>78</v>
      </c>
      <c r="H356" t="str">
        <f>VLOOKUP(Tabla3[[#This Row],[DESCRIPCION MATERIAL]],'CODIGO MAT'!$C$2:$D$390,2,FALSE)</f>
        <v>AVI0000148</v>
      </c>
      <c r="J356">
        <v>1</v>
      </c>
      <c r="K356">
        <v>0</v>
      </c>
      <c r="L356" t="e">
        <v>#N/A</v>
      </c>
      <c r="M356" t="s">
        <v>992</v>
      </c>
      <c r="N356" t="e">
        <f>M356&amp;Tabla3[[#This Row],[CODIGO PRODUCTO TERMINADO]]&amp;"','"&amp;L356&amp;"',"&amp;Tabla3[[#This Row],[CANTIDAD MATERIAL (M)]]&amp;");"</f>
        <v>#N/A</v>
      </c>
    </row>
    <row r="357" spans="1:14" x14ac:dyDescent="0.25">
      <c r="A357" t="s">
        <v>1008</v>
      </c>
      <c r="B357" t="s">
        <v>63</v>
      </c>
      <c r="C357" t="s">
        <v>1007</v>
      </c>
      <c r="D357" t="s">
        <v>51</v>
      </c>
      <c r="E357" s="8" t="s">
        <v>398</v>
      </c>
      <c r="F357">
        <v>10</v>
      </c>
      <c r="G357" t="s">
        <v>396</v>
      </c>
      <c r="H357" t="str">
        <f>VLOOKUP(Tabla3[[#This Row],[DESCRIPCION MATERIAL]],'CODIGO MAT'!$C$2:$D$390,2,FALSE)</f>
        <v>AVI0000132</v>
      </c>
      <c r="L357" t="e">
        <v>#N/A</v>
      </c>
      <c r="M357" t="s">
        <v>992</v>
      </c>
      <c r="N357" t="e">
        <f>M357&amp;Tabla3[[#This Row],[CODIGO PRODUCTO TERMINADO]]&amp;"','"&amp;L357&amp;"',"&amp;Tabla3[[#This Row],[CANTIDAD MATERIAL (M)]]&amp;");"</f>
        <v>#N/A</v>
      </c>
    </row>
    <row r="358" spans="1:14" x14ac:dyDescent="0.25">
      <c r="A358" t="s">
        <v>1008</v>
      </c>
      <c r="B358" t="s">
        <v>63</v>
      </c>
      <c r="C358" t="s">
        <v>1007</v>
      </c>
      <c r="D358" t="s">
        <v>51</v>
      </c>
      <c r="E358" s="8" t="s">
        <v>36</v>
      </c>
      <c r="F358">
        <v>2</v>
      </c>
      <c r="G358" t="s">
        <v>396</v>
      </c>
      <c r="H358" t="str">
        <f>VLOOKUP(Tabla3[[#This Row],[DESCRIPCION MATERIAL]],'CODIGO MAT'!$C$2:$D$390,2,FALSE)</f>
        <v>AVI0000135</v>
      </c>
      <c r="L358" t="e">
        <v>#N/A</v>
      </c>
      <c r="M358" t="s">
        <v>992</v>
      </c>
      <c r="N358" t="e">
        <f>M358&amp;Tabla3[[#This Row],[CODIGO PRODUCTO TERMINADO]]&amp;"','"&amp;L358&amp;"',"&amp;Tabla3[[#This Row],[CANTIDAD MATERIAL (M)]]&amp;");"</f>
        <v>#N/A</v>
      </c>
    </row>
    <row r="359" spans="1:14" x14ac:dyDescent="0.25">
      <c r="A359" t="s">
        <v>1008</v>
      </c>
      <c r="B359" t="s">
        <v>63</v>
      </c>
      <c r="C359" t="s">
        <v>1007</v>
      </c>
      <c r="D359" t="s">
        <v>51</v>
      </c>
      <c r="E359" s="8" t="s">
        <v>1128</v>
      </c>
      <c r="F359">
        <v>5.0000000000000001E-3</v>
      </c>
      <c r="G359" t="s">
        <v>78</v>
      </c>
      <c r="H359" t="str">
        <f>VLOOKUP(Tabla3[[#This Row],[DESCRIPCION MATERIAL]],'CODIGO MAT'!$C$2:$D$390,2,FALSE)</f>
        <v>AVI0000149</v>
      </c>
      <c r="L359" t="e">
        <v>#N/A</v>
      </c>
      <c r="M359" t="s">
        <v>992</v>
      </c>
      <c r="N359" t="e">
        <f>M359&amp;Tabla3[[#This Row],[CODIGO PRODUCTO TERMINADO]]&amp;"','"&amp;L359&amp;"',"&amp;Tabla3[[#This Row],[CANTIDAD MATERIAL (M)]]&amp;");"</f>
        <v>#N/A</v>
      </c>
    </row>
    <row r="360" spans="1:14" x14ac:dyDescent="0.25">
      <c r="A360" t="s">
        <v>1008</v>
      </c>
      <c r="B360" t="s">
        <v>63</v>
      </c>
      <c r="C360" t="s">
        <v>1007</v>
      </c>
      <c r="D360" t="s">
        <v>51</v>
      </c>
      <c r="E360" s="8" t="s">
        <v>1125</v>
      </c>
      <c r="F360">
        <v>2E-3</v>
      </c>
      <c r="G360" t="s">
        <v>396</v>
      </c>
      <c r="H360" t="str">
        <f>VLOOKUP(Tabla3[[#This Row],[DESCRIPCION MATERIAL]],'CODIGO MAT'!$C$2:$D$390,2,FALSE)</f>
        <v>AVI0000150</v>
      </c>
      <c r="L360" t="e">
        <v>#N/A</v>
      </c>
      <c r="M360" t="s">
        <v>992</v>
      </c>
      <c r="N360" t="e">
        <f>M360&amp;Tabla3[[#This Row],[CODIGO PRODUCTO TERMINADO]]&amp;"','"&amp;L360&amp;"',"&amp;Tabla3[[#This Row],[CANTIDAD MATERIAL (M)]]&amp;");"</f>
        <v>#N/A</v>
      </c>
    </row>
    <row r="361" spans="1:14" x14ac:dyDescent="0.25">
      <c r="A361" t="s">
        <v>1010</v>
      </c>
      <c r="B361" t="s">
        <v>63</v>
      </c>
      <c r="C361" t="s">
        <v>1009</v>
      </c>
      <c r="D361" t="s">
        <v>50</v>
      </c>
      <c r="E361" s="8" t="s">
        <v>128</v>
      </c>
      <c r="F361">
        <v>0</v>
      </c>
      <c r="G361" t="s">
        <v>78</v>
      </c>
      <c r="H361" t="str">
        <f>VLOOKUP(Tabla3[[#This Row],[DESCRIPCION MATERIAL]],'CODIGO MAT'!$C$2:$D$390,2,FALSE)</f>
        <v>TEL0000055</v>
      </c>
      <c r="J361">
        <v>1</v>
      </c>
      <c r="K361">
        <v>0</v>
      </c>
      <c r="L361" t="e">
        <v>#N/A</v>
      </c>
      <c r="M361" t="s">
        <v>992</v>
      </c>
      <c r="N361" t="e">
        <f>M361&amp;Tabla3[[#This Row],[CODIGO PRODUCTO TERMINADO]]&amp;"','"&amp;L361&amp;"',"&amp;Tabla3[[#This Row],[CANTIDAD MATERIAL (M)]]&amp;");"</f>
        <v>#N/A</v>
      </c>
    </row>
    <row r="362" spans="1:14" x14ac:dyDescent="0.25">
      <c r="A362" t="s">
        <v>1010</v>
      </c>
      <c r="B362" t="s">
        <v>63</v>
      </c>
      <c r="C362" t="s">
        <v>1009</v>
      </c>
      <c r="D362" t="s">
        <v>50</v>
      </c>
      <c r="E362" s="8" t="s">
        <v>139</v>
      </c>
      <c r="F362">
        <v>0</v>
      </c>
      <c r="G362" t="s">
        <v>78</v>
      </c>
      <c r="H362" t="str">
        <f>VLOOKUP(Tabla3[[#This Row],[DESCRIPCION MATERIAL]],'CODIGO MAT'!$C$2:$D$390,2,FALSE)</f>
        <v>TEL0000066</v>
      </c>
      <c r="J362">
        <v>1</v>
      </c>
      <c r="K362">
        <v>0</v>
      </c>
      <c r="L362" t="e">
        <v>#N/A</v>
      </c>
      <c r="M362" t="s">
        <v>992</v>
      </c>
      <c r="N362" t="e">
        <f>M362&amp;Tabla3[[#This Row],[CODIGO PRODUCTO TERMINADO]]&amp;"','"&amp;L362&amp;"',"&amp;Tabla3[[#This Row],[CANTIDAD MATERIAL (M)]]&amp;");"</f>
        <v>#N/A</v>
      </c>
    </row>
    <row r="363" spans="1:14" x14ac:dyDescent="0.25">
      <c r="A363" t="s">
        <v>1010</v>
      </c>
      <c r="B363" t="s">
        <v>63</v>
      </c>
      <c r="C363" t="s">
        <v>1009</v>
      </c>
      <c r="D363" t="s">
        <v>50</v>
      </c>
      <c r="E363" s="8" t="s">
        <v>104</v>
      </c>
      <c r="F363">
        <v>2.69E-2</v>
      </c>
      <c r="G363" t="s">
        <v>78</v>
      </c>
      <c r="H363" t="str">
        <f>VLOOKUP(Tabla3[[#This Row],[DESCRIPCION MATERIAL]],'CODIGO MAT'!$C$2:$D$390,2,FALSE)</f>
        <v>TEL0000027</v>
      </c>
      <c r="J363">
        <v>1</v>
      </c>
      <c r="K363">
        <v>0</v>
      </c>
    </row>
    <row r="364" spans="1:14" x14ac:dyDescent="0.25">
      <c r="A364" t="s">
        <v>1010</v>
      </c>
      <c r="B364" t="s">
        <v>63</v>
      </c>
      <c r="C364" t="s">
        <v>1009</v>
      </c>
      <c r="D364" t="s">
        <v>50</v>
      </c>
      <c r="E364" s="8" t="s">
        <v>118</v>
      </c>
      <c r="F364">
        <v>6.8699999999999997E-2</v>
      </c>
      <c r="G364" t="s">
        <v>78</v>
      </c>
      <c r="H364" t="str">
        <f>VLOOKUP(Tabla3[[#This Row],[DESCRIPCION MATERIAL]],'CODIGO MAT'!$C$2:$D$390,2,FALSE)</f>
        <v>TEL0000045</v>
      </c>
      <c r="J364">
        <v>1</v>
      </c>
      <c r="K364">
        <v>0</v>
      </c>
    </row>
    <row r="365" spans="1:14" x14ac:dyDescent="0.25">
      <c r="A365" t="s">
        <v>1010</v>
      </c>
      <c r="B365" t="s">
        <v>63</v>
      </c>
      <c r="C365" t="s">
        <v>1009</v>
      </c>
      <c r="D365" t="s">
        <v>51</v>
      </c>
      <c r="E365" s="8" t="s">
        <v>308</v>
      </c>
      <c r="F365">
        <v>1.8700000000000001E-2</v>
      </c>
      <c r="G365" t="s">
        <v>78</v>
      </c>
      <c r="H365" t="str">
        <f>VLOOKUP(Tabla3[[#This Row],[DESCRIPCION MATERIAL]],'CODIGO MAT'!$C$2:$D$390,2,FALSE)</f>
        <v>AVI0000053</v>
      </c>
      <c r="J365">
        <v>1</v>
      </c>
      <c r="K365">
        <v>0</v>
      </c>
      <c r="L365" t="e">
        <v>#N/A</v>
      </c>
      <c r="M365" t="s">
        <v>992</v>
      </c>
      <c r="N365" t="e">
        <f>M365&amp;Tabla3[[#This Row],[CODIGO PRODUCTO TERMINADO]]&amp;"','"&amp;L365&amp;"',"&amp;Tabla3[[#This Row],[CANTIDAD MATERIAL (M)]]&amp;");"</f>
        <v>#N/A</v>
      </c>
    </row>
    <row r="366" spans="1:14" x14ac:dyDescent="0.25">
      <c r="A366" t="s">
        <v>1010</v>
      </c>
      <c r="B366" t="s">
        <v>63</v>
      </c>
      <c r="C366" t="s">
        <v>1009</v>
      </c>
      <c r="D366" t="s">
        <v>51</v>
      </c>
      <c r="E366" s="8" t="s">
        <v>261</v>
      </c>
      <c r="F366">
        <v>1</v>
      </c>
      <c r="G366" t="s">
        <v>396</v>
      </c>
      <c r="H366" t="str">
        <f>VLOOKUP(Tabla3[[#This Row],[DESCRIPCION MATERIAL]],'CODIGO MAT'!$C$2:$D$390,2,FALSE)</f>
        <v>AVI0000002</v>
      </c>
      <c r="J366">
        <v>1</v>
      </c>
      <c r="K366">
        <v>0</v>
      </c>
      <c r="L366" t="e">
        <v>#N/A</v>
      </c>
      <c r="M366" t="s">
        <v>992</v>
      </c>
      <c r="N366" t="e">
        <f>M366&amp;Tabla3[[#This Row],[CODIGO PRODUCTO TERMINADO]]&amp;"','"&amp;L366&amp;"',"&amp;Tabla3[[#This Row],[CANTIDAD MATERIAL (M)]]&amp;");"</f>
        <v>#N/A</v>
      </c>
    </row>
    <row r="367" spans="1:14" x14ac:dyDescent="0.25">
      <c r="A367" t="s">
        <v>1010</v>
      </c>
      <c r="B367" t="s">
        <v>63</v>
      </c>
      <c r="C367" t="s">
        <v>1009</v>
      </c>
      <c r="D367" t="s">
        <v>51</v>
      </c>
      <c r="E367" s="8" t="s">
        <v>35</v>
      </c>
      <c r="F367">
        <v>0.84</v>
      </c>
      <c r="G367" t="s">
        <v>78</v>
      </c>
      <c r="H367" t="str">
        <f>VLOOKUP(Tabla3[[#This Row],[DESCRIPCION MATERIAL]],'CODIGO MAT'!$C$2:$D$390,2,FALSE)</f>
        <v>AVI0000031</v>
      </c>
      <c r="J367">
        <v>1</v>
      </c>
      <c r="K367">
        <v>0.24</v>
      </c>
      <c r="L367" t="e">
        <v>#N/A</v>
      </c>
      <c r="M367" t="s">
        <v>992</v>
      </c>
      <c r="N367" t="e">
        <f>M367&amp;Tabla3[[#This Row],[CODIGO PRODUCTO TERMINADO]]&amp;"','"&amp;L367&amp;"',"&amp;Tabla3[[#This Row],[CANTIDAD MATERIAL (M)]]&amp;");"</f>
        <v>#N/A</v>
      </c>
    </row>
    <row r="368" spans="1:14" x14ac:dyDescent="0.25">
      <c r="A368" t="s">
        <v>1010</v>
      </c>
      <c r="B368" t="s">
        <v>63</v>
      </c>
      <c r="C368" t="s">
        <v>1009</v>
      </c>
      <c r="D368" t="s">
        <v>51</v>
      </c>
      <c r="E368" s="8" t="s">
        <v>996</v>
      </c>
      <c r="F368">
        <v>0.5</v>
      </c>
      <c r="G368" t="s">
        <v>78</v>
      </c>
      <c r="H368" t="str">
        <f>VLOOKUP(Tabla3[[#This Row],[DESCRIPCION MATERIAL]],'CODIGO MAT'!$C$2:$D$390,2,FALSE)</f>
        <v>AVI0000148</v>
      </c>
      <c r="J368">
        <v>1</v>
      </c>
      <c r="K368">
        <v>0</v>
      </c>
      <c r="L368" t="e">
        <v>#N/A</v>
      </c>
      <c r="M368" t="s">
        <v>992</v>
      </c>
      <c r="N368" t="e">
        <f>M368&amp;Tabla3[[#This Row],[CODIGO PRODUCTO TERMINADO]]&amp;"','"&amp;L368&amp;"',"&amp;Tabla3[[#This Row],[CANTIDAD MATERIAL (M)]]&amp;");"</f>
        <v>#N/A</v>
      </c>
    </row>
    <row r="369" spans="1:14" x14ac:dyDescent="0.25">
      <c r="A369" t="s">
        <v>1010</v>
      </c>
      <c r="B369" t="s">
        <v>63</v>
      </c>
      <c r="C369" t="s">
        <v>1009</v>
      </c>
      <c r="D369" t="s">
        <v>51</v>
      </c>
      <c r="E369" s="8" t="s">
        <v>398</v>
      </c>
      <c r="F369">
        <v>9</v>
      </c>
      <c r="G369" t="s">
        <v>396</v>
      </c>
      <c r="H369" t="str">
        <f>VLOOKUP(Tabla3[[#This Row],[DESCRIPCION MATERIAL]],'CODIGO MAT'!$C$2:$D$390,2,FALSE)</f>
        <v>AVI0000132</v>
      </c>
      <c r="L369" t="e">
        <v>#N/A</v>
      </c>
      <c r="M369" t="s">
        <v>992</v>
      </c>
      <c r="N369" t="e">
        <f>M369&amp;Tabla3[[#This Row],[CODIGO PRODUCTO TERMINADO]]&amp;"','"&amp;L369&amp;"',"&amp;Tabla3[[#This Row],[CANTIDAD MATERIAL (M)]]&amp;");"</f>
        <v>#N/A</v>
      </c>
    </row>
    <row r="370" spans="1:14" x14ac:dyDescent="0.25">
      <c r="A370" t="s">
        <v>1010</v>
      </c>
      <c r="B370" t="s">
        <v>63</v>
      </c>
      <c r="C370" t="s">
        <v>1009</v>
      </c>
      <c r="D370" t="s">
        <v>51</v>
      </c>
      <c r="E370" s="8" t="s">
        <v>36</v>
      </c>
      <c r="F370">
        <v>2</v>
      </c>
      <c r="G370" t="s">
        <v>396</v>
      </c>
      <c r="H370" t="str">
        <f>VLOOKUP(Tabla3[[#This Row],[DESCRIPCION MATERIAL]],'CODIGO MAT'!$C$2:$D$390,2,FALSE)</f>
        <v>AVI0000135</v>
      </c>
      <c r="L370" t="e">
        <v>#N/A</v>
      </c>
      <c r="M370" t="s">
        <v>992</v>
      </c>
      <c r="N370" t="e">
        <f>M370&amp;Tabla3[[#This Row],[CODIGO PRODUCTO TERMINADO]]&amp;"','"&amp;L370&amp;"',"&amp;Tabla3[[#This Row],[CANTIDAD MATERIAL (M)]]&amp;");"</f>
        <v>#N/A</v>
      </c>
    </row>
    <row r="371" spans="1:14" x14ac:dyDescent="0.25">
      <c r="A371" t="s">
        <v>1010</v>
      </c>
      <c r="B371" t="s">
        <v>63</v>
      </c>
      <c r="C371" t="s">
        <v>1009</v>
      </c>
      <c r="D371" t="s">
        <v>51</v>
      </c>
      <c r="E371" s="8" t="s">
        <v>1128</v>
      </c>
      <c r="F371">
        <v>5.0000000000000001E-3</v>
      </c>
      <c r="G371" t="s">
        <v>78</v>
      </c>
      <c r="H371" t="str">
        <f>VLOOKUP(Tabla3[[#This Row],[DESCRIPCION MATERIAL]],'CODIGO MAT'!$C$2:$D$390,2,FALSE)</f>
        <v>AVI0000149</v>
      </c>
      <c r="L371" t="e">
        <v>#N/A</v>
      </c>
      <c r="M371" t="s">
        <v>992</v>
      </c>
      <c r="N371" t="e">
        <f>M371&amp;Tabla3[[#This Row],[CODIGO PRODUCTO TERMINADO]]&amp;"','"&amp;L371&amp;"',"&amp;Tabla3[[#This Row],[CANTIDAD MATERIAL (M)]]&amp;");"</f>
        <v>#N/A</v>
      </c>
    </row>
    <row r="372" spans="1:14" x14ac:dyDescent="0.25">
      <c r="A372" t="s">
        <v>1010</v>
      </c>
      <c r="B372" t="s">
        <v>63</v>
      </c>
      <c r="C372" t="s">
        <v>1009</v>
      </c>
      <c r="D372" t="s">
        <v>51</v>
      </c>
      <c r="E372" s="8" t="s">
        <v>1125</v>
      </c>
      <c r="F372">
        <v>2E-3</v>
      </c>
      <c r="G372" t="s">
        <v>396</v>
      </c>
      <c r="H372" t="str">
        <f>VLOOKUP(Tabla3[[#This Row],[DESCRIPCION MATERIAL]],'CODIGO MAT'!$C$2:$D$390,2,FALSE)</f>
        <v>AVI0000150</v>
      </c>
      <c r="L372" t="e">
        <v>#N/A</v>
      </c>
      <c r="M372" t="s">
        <v>992</v>
      </c>
      <c r="N372" t="e">
        <f>M372&amp;Tabla3[[#This Row],[CODIGO PRODUCTO TERMINADO]]&amp;"','"&amp;L372&amp;"',"&amp;Tabla3[[#This Row],[CANTIDAD MATERIAL (M)]]&amp;");"</f>
        <v>#N/A</v>
      </c>
    </row>
    <row r="373" spans="1:14" x14ac:dyDescent="0.25">
      <c r="A373" t="s">
        <v>1012</v>
      </c>
      <c r="B373" t="s">
        <v>63</v>
      </c>
      <c r="C373" t="s">
        <v>1011</v>
      </c>
      <c r="D373" t="s">
        <v>50</v>
      </c>
      <c r="E373" s="8" t="s">
        <v>128</v>
      </c>
      <c r="F373">
        <v>0</v>
      </c>
      <c r="G373" t="s">
        <v>78</v>
      </c>
      <c r="H373" t="str">
        <f>VLOOKUP(Tabla3[[#This Row],[DESCRIPCION MATERIAL]],'CODIGO MAT'!$C$2:$D$390,2,FALSE)</f>
        <v>TEL0000055</v>
      </c>
      <c r="J373">
        <v>1</v>
      </c>
      <c r="K373">
        <v>0</v>
      </c>
      <c r="L373" t="e">
        <v>#N/A</v>
      </c>
      <c r="M373" t="s">
        <v>992</v>
      </c>
      <c r="N373" t="e">
        <f>M373&amp;Tabla3[[#This Row],[CODIGO PRODUCTO TERMINADO]]&amp;"','"&amp;L373&amp;"',"&amp;Tabla3[[#This Row],[CANTIDAD MATERIAL (M)]]&amp;");"</f>
        <v>#N/A</v>
      </c>
    </row>
    <row r="374" spans="1:14" x14ac:dyDescent="0.25">
      <c r="A374" t="s">
        <v>1012</v>
      </c>
      <c r="B374" t="s">
        <v>63</v>
      </c>
      <c r="C374" t="s">
        <v>1011</v>
      </c>
      <c r="D374" t="s">
        <v>50</v>
      </c>
      <c r="E374" s="8" t="s">
        <v>139</v>
      </c>
      <c r="F374">
        <v>0</v>
      </c>
      <c r="G374" t="s">
        <v>78</v>
      </c>
      <c r="H374" t="str">
        <f>VLOOKUP(Tabla3[[#This Row],[DESCRIPCION MATERIAL]],'CODIGO MAT'!$C$2:$D$390,2,FALSE)</f>
        <v>TEL0000066</v>
      </c>
      <c r="J374">
        <v>1</v>
      </c>
      <c r="K374">
        <v>0</v>
      </c>
      <c r="L374" t="e">
        <v>#N/A</v>
      </c>
      <c r="M374" t="s">
        <v>992</v>
      </c>
      <c r="N374" t="e">
        <f>M374&amp;Tabla3[[#This Row],[CODIGO PRODUCTO TERMINADO]]&amp;"','"&amp;L374&amp;"',"&amp;Tabla3[[#This Row],[CANTIDAD MATERIAL (M)]]&amp;");"</f>
        <v>#N/A</v>
      </c>
    </row>
    <row r="375" spans="1:14" x14ac:dyDescent="0.25">
      <c r="A375" t="s">
        <v>1012</v>
      </c>
      <c r="B375" t="s">
        <v>63</v>
      </c>
      <c r="C375" t="s">
        <v>1011</v>
      </c>
      <c r="D375" t="s">
        <v>50</v>
      </c>
      <c r="E375" s="8" t="s">
        <v>104</v>
      </c>
      <c r="F375">
        <v>2.69E-2</v>
      </c>
      <c r="G375" t="s">
        <v>78</v>
      </c>
      <c r="H375" t="str">
        <f>VLOOKUP(Tabla3[[#This Row],[DESCRIPCION MATERIAL]],'CODIGO MAT'!$C$2:$D$390,2,FALSE)</f>
        <v>TEL0000027</v>
      </c>
      <c r="J375">
        <v>1</v>
      </c>
      <c r="K375">
        <v>0</v>
      </c>
      <c r="L375" t="e">
        <v>#N/A</v>
      </c>
      <c r="M375" t="s">
        <v>992</v>
      </c>
      <c r="N375" t="e">
        <f>M375&amp;Tabla3[[#This Row],[CODIGO PRODUCTO TERMINADO]]&amp;"','"&amp;L375&amp;"',"&amp;Tabla3[[#This Row],[CANTIDAD MATERIAL (M)]]&amp;");"</f>
        <v>#N/A</v>
      </c>
    </row>
    <row r="376" spans="1:14" x14ac:dyDescent="0.25">
      <c r="A376" t="s">
        <v>1012</v>
      </c>
      <c r="B376" t="s">
        <v>63</v>
      </c>
      <c r="C376" t="s">
        <v>1011</v>
      </c>
      <c r="D376" t="s">
        <v>50</v>
      </c>
      <c r="E376" s="8" t="s">
        <v>118</v>
      </c>
      <c r="F376">
        <v>6.8699999999999997E-2</v>
      </c>
      <c r="G376" t="s">
        <v>78</v>
      </c>
      <c r="H376" t="str">
        <f>VLOOKUP(Tabla3[[#This Row],[DESCRIPCION MATERIAL]],'CODIGO MAT'!$C$2:$D$390,2,FALSE)</f>
        <v>TEL0000045</v>
      </c>
      <c r="J376">
        <v>1</v>
      </c>
      <c r="K376">
        <v>0</v>
      </c>
      <c r="L376" t="e">
        <v>#N/A</v>
      </c>
      <c r="M376" t="s">
        <v>992</v>
      </c>
      <c r="N376" t="e">
        <f>M376&amp;Tabla3[[#This Row],[CODIGO PRODUCTO TERMINADO]]&amp;"','"&amp;L376&amp;"',"&amp;Tabla3[[#This Row],[CANTIDAD MATERIAL (M)]]&amp;");"</f>
        <v>#N/A</v>
      </c>
    </row>
    <row r="377" spans="1:14" x14ac:dyDescent="0.25">
      <c r="A377" t="s">
        <v>1012</v>
      </c>
      <c r="B377" t="s">
        <v>63</v>
      </c>
      <c r="C377" t="s">
        <v>1011</v>
      </c>
      <c r="D377" t="s">
        <v>51</v>
      </c>
      <c r="E377" s="8" t="s">
        <v>308</v>
      </c>
      <c r="F377">
        <v>1.8700000000000001E-2</v>
      </c>
      <c r="G377" t="s">
        <v>78</v>
      </c>
      <c r="H377" t="str">
        <f>VLOOKUP(Tabla3[[#This Row],[DESCRIPCION MATERIAL]],'CODIGO MAT'!$C$2:$D$390,2,FALSE)</f>
        <v>AVI0000053</v>
      </c>
      <c r="J377">
        <v>1</v>
      </c>
      <c r="K377">
        <v>0</v>
      </c>
      <c r="L377" t="e">
        <v>#N/A</v>
      </c>
      <c r="M377" t="s">
        <v>992</v>
      </c>
      <c r="N377" t="e">
        <f>M377&amp;Tabla3[[#This Row],[CODIGO PRODUCTO TERMINADO]]&amp;"','"&amp;L377&amp;"',"&amp;Tabla3[[#This Row],[CANTIDAD MATERIAL (M)]]&amp;");"</f>
        <v>#N/A</v>
      </c>
    </row>
    <row r="378" spans="1:14" x14ac:dyDescent="0.25">
      <c r="A378" t="s">
        <v>1012</v>
      </c>
      <c r="B378" t="s">
        <v>63</v>
      </c>
      <c r="C378" t="s">
        <v>1011</v>
      </c>
      <c r="D378" t="s">
        <v>51</v>
      </c>
      <c r="E378" s="8" t="s">
        <v>261</v>
      </c>
      <c r="F378">
        <v>1</v>
      </c>
      <c r="G378" t="s">
        <v>396</v>
      </c>
      <c r="H378" t="str">
        <f>VLOOKUP(Tabla3[[#This Row],[DESCRIPCION MATERIAL]],'CODIGO MAT'!$C$2:$D$390,2,FALSE)</f>
        <v>AVI0000002</v>
      </c>
      <c r="J378">
        <v>1</v>
      </c>
      <c r="K378">
        <v>0</v>
      </c>
      <c r="L378" t="e">
        <v>#N/A</v>
      </c>
      <c r="M378" t="s">
        <v>992</v>
      </c>
      <c r="N378" t="e">
        <f>M378&amp;Tabla3[[#This Row],[CODIGO PRODUCTO TERMINADO]]&amp;"','"&amp;L378&amp;"',"&amp;Tabla3[[#This Row],[CANTIDAD MATERIAL (M)]]&amp;");"</f>
        <v>#N/A</v>
      </c>
    </row>
    <row r="379" spans="1:14" x14ac:dyDescent="0.25">
      <c r="A379" t="s">
        <v>1012</v>
      </c>
      <c r="B379" t="s">
        <v>63</v>
      </c>
      <c r="C379" t="s">
        <v>1011</v>
      </c>
      <c r="D379" t="s">
        <v>51</v>
      </c>
      <c r="E379" s="8" t="s">
        <v>35</v>
      </c>
      <c r="F379">
        <v>0.84</v>
      </c>
      <c r="G379" t="s">
        <v>78</v>
      </c>
      <c r="H379" t="str">
        <f>VLOOKUP(Tabla3[[#This Row],[DESCRIPCION MATERIAL]],'CODIGO MAT'!$C$2:$D$390,2,FALSE)</f>
        <v>AVI0000031</v>
      </c>
      <c r="J379">
        <v>1</v>
      </c>
      <c r="K379">
        <v>0.24</v>
      </c>
      <c r="L379" t="e">
        <v>#N/A</v>
      </c>
      <c r="M379" t="s">
        <v>992</v>
      </c>
      <c r="N379" t="e">
        <f>M379&amp;Tabla3[[#This Row],[CODIGO PRODUCTO TERMINADO]]&amp;"','"&amp;L379&amp;"',"&amp;Tabla3[[#This Row],[CANTIDAD MATERIAL (M)]]&amp;");"</f>
        <v>#N/A</v>
      </c>
    </row>
    <row r="380" spans="1:14" x14ac:dyDescent="0.25">
      <c r="A380" t="s">
        <v>1012</v>
      </c>
      <c r="B380" t="s">
        <v>63</v>
      </c>
      <c r="C380" t="s">
        <v>1011</v>
      </c>
      <c r="D380" t="s">
        <v>51</v>
      </c>
      <c r="E380" s="8" t="s">
        <v>996</v>
      </c>
      <c r="F380">
        <v>0.5</v>
      </c>
      <c r="G380" t="s">
        <v>78</v>
      </c>
      <c r="H380" t="str">
        <f>VLOOKUP(Tabla3[[#This Row],[DESCRIPCION MATERIAL]],'CODIGO MAT'!$C$2:$D$390,2,FALSE)</f>
        <v>AVI0000148</v>
      </c>
      <c r="J380">
        <v>1</v>
      </c>
      <c r="K380">
        <v>0</v>
      </c>
      <c r="L380" t="e">
        <v>#N/A</v>
      </c>
      <c r="M380" t="s">
        <v>992</v>
      </c>
      <c r="N380" t="e">
        <f>M380&amp;Tabla3[[#This Row],[CODIGO PRODUCTO TERMINADO]]&amp;"','"&amp;L380&amp;"',"&amp;Tabla3[[#This Row],[CANTIDAD MATERIAL (M)]]&amp;");"</f>
        <v>#N/A</v>
      </c>
    </row>
    <row r="381" spans="1:14" x14ac:dyDescent="0.25">
      <c r="A381" t="s">
        <v>1012</v>
      </c>
      <c r="B381" t="s">
        <v>63</v>
      </c>
      <c r="C381" t="s">
        <v>1011</v>
      </c>
      <c r="D381" t="s">
        <v>51</v>
      </c>
      <c r="E381" s="8" t="s">
        <v>398</v>
      </c>
      <c r="F381">
        <v>11</v>
      </c>
      <c r="G381" t="s">
        <v>396</v>
      </c>
      <c r="H381" t="str">
        <f>VLOOKUP(Tabla3[[#This Row],[DESCRIPCION MATERIAL]],'CODIGO MAT'!$C$2:$D$390,2,FALSE)</f>
        <v>AVI0000132</v>
      </c>
      <c r="L381" t="e">
        <v>#N/A</v>
      </c>
      <c r="M381" t="s">
        <v>992</v>
      </c>
      <c r="N381" t="e">
        <f>M381&amp;Tabla3[[#This Row],[CODIGO PRODUCTO TERMINADO]]&amp;"','"&amp;L381&amp;"',"&amp;Tabla3[[#This Row],[CANTIDAD MATERIAL (M)]]&amp;");"</f>
        <v>#N/A</v>
      </c>
    </row>
    <row r="382" spans="1:14" x14ac:dyDescent="0.25">
      <c r="A382" t="s">
        <v>1012</v>
      </c>
      <c r="B382" t="s">
        <v>63</v>
      </c>
      <c r="C382" t="s">
        <v>1011</v>
      </c>
      <c r="D382" t="s">
        <v>51</v>
      </c>
      <c r="E382" s="8" t="s">
        <v>36</v>
      </c>
      <c r="F382">
        <v>2</v>
      </c>
      <c r="G382" t="s">
        <v>396</v>
      </c>
      <c r="H382" t="str">
        <f>VLOOKUP(Tabla3[[#This Row],[DESCRIPCION MATERIAL]],'CODIGO MAT'!$C$2:$D$390,2,FALSE)</f>
        <v>AVI0000135</v>
      </c>
      <c r="L382" t="e">
        <v>#N/A</v>
      </c>
      <c r="M382" t="s">
        <v>992</v>
      </c>
      <c r="N382" t="e">
        <f>M382&amp;Tabla3[[#This Row],[CODIGO PRODUCTO TERMINADO]]&amp;"','"&amp;L382&amp;"',"&amp;Tabla3[[#This Row],[CANTIDAD MATERIAL (M)]]&amp;");"</f>
        <v>#N/A</v>
      </c>
    </row>
    <row r="383" spans="1:14" x14ac:dyDescent="0.25">
      <c r="A383" t="s">
        <v>1012</v>
      </c>
      <c r="B383" t="s">
        <v>63</v>
      </c>
      <c r="C383" t="s">
        <v>1011</v>
      </c>
      <c r="D383" t="s">
        <v>51</v>
      </c>
      <c r="E383" s="8" t="s">
        <v>1128</v>
      </c>
      <c r="F383">
        <v>5.0000000000000001E-3</v>
      </c>
      <c r="G383" t="s">
        <v>78</v>
      </c>
      <c r="H383" t="str">
        <f>VLOOKUP(Tabla3[[#This Row],[DESCRIPCION MATERIAL]],'CODIGO MAT'!$C$2:$D$390,2,FALSE)</f>
        <v>AVI0000149</v>
      </c>
      <c r="L383" t="e">
        <v>#N/A</v>
      </c>
      <c r="M383" t="s">
        <v>992</v>
      </c>
      <c r="N383" t="e">
        <f>M383&amp;Tabla3[[#This Row],[CODIGO PRODUCTO TERMINADO]]&amp;"','"&amp;L383&amp;"',"&amp;Tabla3[[#This Row],[CANTIDAD MATERIAL (M)]]&amp;");"</f>
        <v>#N/A</v>
      </c>
    </row>
    <row r="384" spans="1:14" x14ac:dyDescent="0.25">
      <c r="A384" t="s">
        <v>1012</v>
      </c>
      <c r="B384" t="s">
        <v>63</v>
      </c>
      <c r="C384" t="s">
        <v>1011</v>
      </c>
      <c r="D384" t="s">
        <v>51</v>
      </c>
      <c r="E384" s="8" t="s">
        <v>1125</v>
      </c>
      <c r="F384">
        <v>2E-3</v>
      </c>
      <c r="G384" t="s">
        <v>396</v>
      </c>
      <c r="H384" t="str">
        <f>VLOOKUP(Tabla3[[#This Row],[DESCRIPCION MATERIAL]],'CODIGO MAT'!$C$2:$D$390,2,FALSE)</f>
        <v>AVI0000150</v>
      </c>
      <c r="L384" t="e">
        <v>#N/A</v>
      </c>
      <c r="M384" t="s">
        <v>992</v>
      </c>
      <c r="N384" t="e">
        <f>M384&amp;Tabla3[[#This Row],[CODIGO PRODUCTO TERMINADO]]&amp;"','"&amp;L384&amp;"',"&amp;Tabla3[[#This Row],[CANTIDAD MATERIAL (M)]]&amp;");"</f>
        <v>#N/A</v>
      </c>
    </row>
    <row r="385" spans="1:14" x14ac:dyDescent="0.25">
      <c r="A385" t="s">
        <v>1017</v>
      </c>
      <c r="B385" t="s">
        <v>63</v>
      </c>
      <c r="C385" t="s">
        <v>1016</v>
      </c>
      <c r="D385" t="s">
        <v>50</v>
      </c>
      <c r="E385" s="8" t="s">
        <v>32</v>
      </c>
      <c r="F385">
        <v>0.85499999999999998</v>
      </c>
      <c r="G385" t="s">
        <v>78</v>
      </c>
      <c r="H385" t="str">
        <f>VLOOKUP(Tabla3[[#This Row],[DESCRIPCION MATERIAL]],'CODIGO MAT'!$C$2:$D$390,2,FALSE)</f>
        <v>TEL0000041</v>
      </c>
      <c r="J385">
        <v>1</v>
      </c>
      <c r="K385">
        <v>0</v>
      </c>
      <c r="L385" t="e">
        <v>#N/A</v>
      </c>
      <c r="M385" t="s">
        <v>992</v>
      </c>
      <c r="N385" t="e">
        <f>M385&amp;Tabla3[[#This Row],[CODIGO PRODUCTO TERMINADO]]&amp;"','"&amp;L385&amp;"',"&amp;Tabla3[[#This Row],[CANTIDAD MATERIAL (M)]]&amp;");"</f>
        <v>#N/A</v>
      </c>
    </row>
    <row r="386" spans="1:14" x14ac:dyDescent="0.25">
      <c r="A386" t="s">
        <v>1017</v>
      </c>
      <c r="B386" t="s">
        <v>63</v>
      </c>
      <c r="C386" t="s">
        <v>1016</v>
      </c>
      <c r="D386" t="s">
        <v>50</v>
      </c>
      <c r="E386" s="8" t="s">
        <v>141</v>
      </c>
      <c r="F386">
        <v>0.10249999999999999</v>
      </c>
      <c r="G386" t="s">
        <v>78</v>
      </c>
      <c r="H386" t="str">
        <f>VLOOKUP(Tabla3[[#This Row],[DESCRIPCION MATERIAL]],'CODIGO MAT'!$C$2:$D$390,2,FALSE)</f>
        <v>TEL0000068</v>
      </c>
      <c r="J386">
        <v>1</v>
      </c>
      <c r="K386">
        <v>0</v>
      </c>
      <c r="L386" t="e">
        <v>#N/A</v>
      </c>
      <c r="M386" t="s">
        <v>992</v>
      </c>
      <c r="N386" t="e">
        <f>M386&amp;Tabla3[[#This Row],[CODIGO PRODUCTO TERMINADO]]&amp;"','"&amp;L386&amp;"',"&amp;Tabla3[[#This Row],[CANTIDAD MATERIAL (M)]]&amp;");"</f>
        <v>#N/A</v>
      </c>
    </row>
    <row r="387" spans="1:14" x14ac:dyDescent="0.25">
      <c r="A387" t="s">
        <v>1017</v>
      </c>
      <c r="B387" t="s">
        <v>63</v>
      </c>
      <c r="C387" t="s">
        <v>1016</v>
      </c>
      <c r="D387" t="s">
        <v>50</v>
      </c>
      <c r="E387" s="8" t="s">
        <v>104</v>
      </c>
      <c r="F387">
        <v>2.69E-2</v>
      </c>
      <c r="G387" t="s">
        <v>78</v>
      </c>
      <c r="H387" t="str">
        <f>VLOOKUP(Tabla3[[#This Row],[DESCRIPCION MATERIAL]],'CODIGO MAT'!$C$2:$D$390,2,FALSE)</f>
        <v>TEL0000027</v>
      </c>
      <c r="J387">
        <v>1</v>
      </c>
      <c r="K387">
        <v>0</v>
      </c>
      <c r="L387" t="e">
        <v>#N/A</v>
      </c>
      <c r="M387" t="s">
        <v>992</v>
      </c>
      <c r="N387" t="e">
        <f>M387&amp;Tabla3[[#This Row],[CODIGO PRODUCTO TERMINADO]]&amp;"','"&amp;L387&amp;"',"&amp;Tabla3[[#This Row],[CANTIDAD MATERIAL (M)]]&amp;");"</f>
        <v>#N/A</v>
      </c>
    </row>
    <row r="388" spans="1:14" x14ac:dyDescent="0.25">
      <c r="A388" t="s">
        <v>1017</v>
      </c>
      <c r="B388" t="s">
        <v>63</v>
      </c>
      <c r="C388" t="s">
        <v>1016</v>
      </c>
      <c r="D388" t="s">
        <v>50</v>
      </c>
      <c r="E388" s="8" t="s">
        <v>118</v>
      </c>
      <c r="F388">
        <v>6.8699999999999997E-2</v>
      </c>
      <c r="G388" t="s">
        <v>78</v>
      </c>
      <c r="H388" t="str">
        <f>VLOOKUP(Tabla3[[#This Row],[DESCRIPCION MATERIAL]],'CODIGO MAT'!$C$2:$D$390,2,FALSE)</f>
        <v>TEL0000045</v>
      </c>
      <c r="J388">
        <v>1</v>
      </c>
      <c r="K388">
        <v>0</v>
      </c>
      <c r="L388" t="e">
        <v>#N/A</v>
      </c>
      <c r="M388" t="s">
        <v>992</v>
      </c>
      <c r="N388" t="e">
        <f>M388&amp;Tabla3[[#This Row],[CODIGO PRODUCTO TERMINADO]]&amp;"','"&amp;L388&amp;"',"&amp;Tabla3[[#This Row],[CANTIDAD MATERIAL (M)]]&amp;");"</f>
        <v>#N/A</v>
      </c>
    </row>
    <row r="389" spans="1:14" x14ac:dyDescent="0.25">
      <c r="A389" t="s">
        <v>1017</v>
      </c>
      <c r="B389" t="s">
        <v>63</v>
      </c>
      <c r="C389" t="s">
        <v>1016</v>
      </c>
      <c r="D389" t="s">
        <v>51</v>
      </c>
      <c r="E389" s="8" t="s">
        <v>308</v>
      </c>
      <c r="F389">
        <v>1.8700000000000001E-2</v>
      </c>
      <c r="G389" t="s">
        <v>78</v>
      </c>
      <c r="H389" t="str">
        <f>VLOOKUP(Tabla3[[#This Row],[DESCRIPCION MATERIAL]],'CODIGO MAT'!$C$2:$D$390,2,FALSE)</f>
        <v>AVI0000053</v>
      </c>
      <c r="J389">
        <v>1</v>
      </c>
      <c r="K389">
        <v>0</v>
      </c>
      <c r="L389" t="e">
        <v>#N/A</v>
      </c>
      <c r="M389" t="s">
        <v>992</v>
      </c>
      <c r="N389" t="e">
        <f>M389&amp;Tabla3[[#This Row],[CODIGO PRODUCTO TERMINADO]]&amp;"','"&amp;L389&amp;"',"&amp;Tabla3[[#This Row],[CANTIDAD MATERIAL (M)]]&amp;");"</f>
        <v>#N/A</v>
      </c>
    </row>
    <row r="390" spans="1:14" x14ac:dyDescent="0.25">
      <c r="A390" t="s">
        <v>1017</v>
      </c>
      <c r="B390" t="s">
        <v>63</v>
      </c>
      <c r="C390" t="s">
        <v>1016</v>
      </c>
      <c r="D390" t="s">
        <v>51</v>
      </c>
      <c r="E390" s="8" t="s">
        <v>261</v>
      </c>
      <c r="F390">
        <v>1</v>
      </c>
      <c r="G390" t="s">
        <v>396</v>
      </c>
      <c r="H390" t="str">
        <f>VLOOKUP(Tabla3[[#This Row],[DESCRIPCION MATERIAL]],'CODIGO MAT'!$C$2:$D$390,2,FALSE)</f>
        <v>AVI0000002</v>
      </c>
      <c r="J390">
        <v>1</v>
      </c>
      <c r="K390">
        <v>0</v>
      </c>
      <c r="L390" t="e">
        <v>#N/A</v>
      </c>
      <c r="M390" t="s">
        <v>992</v>
      </c>
      <c r="N390" t="e">
        <f>M390&amp;Tabla3[[#This Row],[CODIGO PRODUCTO TERMINADO]]&amp;"','"&amp;L390&amp;"',"&amp;Tabla3[[#This Row],[CANTIDAD MATERIAL (M)]]&amp;");"</f>
        <v>#N/A</v>
      </c>
    </row>
    <row r="391" spans="1:14" x14ac:dyDescent="0.25">
      <c r="A391" t="s">
        <v>1017</v>
      </c>
      <c r="B391" t="s">
        <v>63</v>
      </c>
      <c r="C391" t="s">
        <v>1016</v>
      </c>
      <c r="D391" t="s">
        <v>51</v>
      </c>
      <c r="E391" s="8" t="s">
        <v>35</v>
      </c>
      <c r="F391">
        <v>0.82</v>
      </c>
      <c r="G391" t="s">
        <v>78</v>
      </c>
      <c r="H391" t="str">
        <f>VLOOKUP(Tabla3[[#This Row],[DESCRIPCION MATERIAL]],'CODIGO MAT'!$C$2:$D$390,2,FALSE)</f>
        <v>AVI0000031</v>
      </c>
      <c r="J391">
        <v>1</v>
      </c>
      <c r="K391">
        <v>0.24</v>
      </c>
      <c r="L391" t="e">
        <v>#N/A</v>
      </c>
      <c r="M391" t="s">
        <v>992</v>
      </c>
      <c r="N391" t="e">
        <f>M391&amp;Tabla3[[#This Row],[CODIGO PRODUCTO TERMINADO]]&amp;"','"&amp;L391&amp;"',"&amp;Tabla3[[#This Row],[CANTIDAD MATERIAL (M)]]&amp;");"</f>
        <v>#N/A</v>
      </c>
    </row>
    <row r="392" spans="1:14" x14ac:dyDescent="0.25">
      <c r="A392" t="s">
        <v>1017</v>
      </c>
      <c r="B392" t="s">
        <v>63</v>
      </c>
      <c r="C392" t="s">
        <v>1016</v>
      </c>
      <c r="D392" t="s">
        <v>51</v>
      </c>
      <c r="E392" s="8" t="s">
        <v>996</v>
      </c>
      <c r="F392">
        <v>0.5</v>
      </c>
      <c r="G392" t="s">
        <v>78</v>
      </c>
      <c r="H392" t="str">
        <f>VLOOKUP(Tabla3[[#This Row],[DESCRIPCION MATERIAL]],'CODIGO MAT'!$C$2:$D$390,2,FALSE)</f>
        <v>AVI0000148</v>
      </c>
      <c r="J392">
        <v>1</v>
      </c>
      <c r="K392">
        <v>0</v>
      </c>
      <c r="L392" t="e">
        <v>#N/A</v>
      </c>
      <c r="M392" t="s">
        <v>992</v>
      </c>
      <c r="N392" t="e">
        <f>M392&amp;Tabla3[[#This Row],[CODIGO PRODUCTO TERMINADO]]&amp;"','"&amp;L392&amp;"',"&amp;Tabla3[[#This Row],[CANTIDAD MATERIAL (M)]]&amp;");"</f>
        <v>#N/A</v>
      </c>
    </row>
    <row r="393" spans="1:14" x14ac:dyDescent="0.25">
      <c r="A393" t="s">
        <v>1017</v>
      </c>
      <c r="B393" t="s">
        <v>63</v>
      </c>
      <c r="C393" t="s">
        <v>1016</v>
      </c>
      <c r="D393" t="s">
        <v>51</v>
      </c>
      <c r="E393" s="8" t="s">
        <v>398</v>
      </c>
      <c r="F393">
        <v>9</v>
      </c>
      <c r="G393" t="s">
        <v>396</v>
      </c>
      <c r="H393" t="str">
        <f>VLOOKUP(Tabla3[[#This Row],[DESCRIPCION MATERIAL]],'CODIGO MAT'!$C$2:$D$390,2,FALSE)</f>
        <v>AVI0000132</v>
      </c>
      <c r="L393" t="e">
        <v>#N/A</v>
      </c>
      <c r="M393" t="s">
        <v>992</v>
      </c>
      <c r="N393" t="e">
        <f>M393&amp;Tabla3[[#This Row],[CODIGO PRODUCTO TERMINADO]]&amp;"','"&amp;L393&amp;"',"&amp;Tabla3[[#This Row],[CANTIDAD MATERIAL (M)]]&amp;");"</f>
        <v>#N/A</v>
      </c>
    </row>
    <row r="394" spans="1:14" x14ac:dyDescent="0.25">
      <c r="A394" t="s">
        <v>1017</v>
      </c>
      <c r="B394" t="s">
        <v>63</v>
      </c>
      <c r="C394" t="s">
        <v>1016</v>
      </c>
      <c r="D394" t="s">
        <v>51</v>
      </c>
      <c r="E394" s="8" t="s">
        <v>36</v>
      </c>
      <c r="F394">
        <v>2</v>
      </c>
      <c r="G394" t="s">
        <v>396</v>
      </c>
      <c r="H394" t="str">
        <f>VLOOKUP(Tabla3[[#This Row],[DESCRIPCION MATERIAL]],'CODIGO MAT'!$C$2:$D$390,2,FALSE)</f>
        <v>AVI0000135</v>
      </c>
      <c r="L394" t="e">
        <v>#N/A</v>
      </c>
      <c r="M394" t="s">
        <v>992</v>
      </c>
      <c r="N394" t="e">
        <f>M394&amp;Tabla3[[#This Row],[CODIGO PRODUCTO TERMINADO]]&amp;"','"&amp;L394&amp;"',"&amp;Tabla3[[#This Row],[CANTIDAD MATERIAL (M)]]&amp;");"</f>
        <v>#N/A</v>
      </c>
    </row>
    <row r="395" spans="1:14" x14ac:dyDescent="0.25">
      <c r="A395" t="s">
        <v>1017</v>
      </c>
      <c r="B395" t="s">
        <v>63</v>
      </c>
      <c r="C395" t="s">
        <v>1016</v>
      </c>
      <c r="D395" t="s">
        <v>51</v>
      </c>
      <c r="E395" s="8" t="s">
        <v>1126</v>
      </c>
      <c r="F395">
        <v>2E-3</v>
      </c>
      <c r="G395" t="s">
        <v>396</v>
      </c>
      <c r="H395" t="str">
        <f>VLOOKUP(Tabla3[[#This Row],[DESCRIPCION MATERIAL]],'CODIGO MAT'!$C$2:$D$390,2,FALSE)</f>
        <v>AVI0000151</v>
      </c>
      <c r="L395" t="e">
        <v>#N/A</v>
      </c>
      <c r="M395" t="s">
        <v>992</v>
      </c>
      <c r="N395" t="e">
        <f>M395&amp;Tabla3[[#This Row],[CODIGO PRODUCTO TERMINADO]]&amp;"','"&amp;L395&amp;"',"&amp;Tabla3[[#This Row],[CANTIDAD MATERIAL (M)]]&amp;");"</f>
        <v>#N/A</v>
      </c>
    </row>
    <row r="396" spans="1:14" x14ac:dyDescent="0.25">
      <c r="A396" t="s">
        <v>1026</v>
      </c>
      <c r="B396" t="s">
        <v>63</v>
      </c>
      <c r="C396" t="s">
        <v>1018</v>
      </c>
      <c r="D396" t="s">
        <v>50</v>
      </c>
      <c r="E396" s="8" t="s">
        <v>32</v>
      </c>
      <c r="F396">
        <v>0.99750000000000005</v>
      </c>
      <c r="G396" t="s">
        <v>78</v>
      </c>
      <c r="H396" t="str">
        <f>VLOOKUP(Tabla3[[#This Row],[DESCRIPCION MATERIAL]],'CODIGO MAT'!$C$2:$D$390,2,FALSE)</f>
        <v>TEL0000041</v>
      </c>
      <c r="J396">
        <v>1</v>
      </c>
      <c r="K396">
        <v>0</v>
      </c>
      <c r="L396" t="e">
        <v>#N/A</v>
      </c>
      <c r="M396" t="s">
        <v>992</v>
      </c>
      <c r="N396" t="e">
        <f>M396&amp;Tabla3[[#This Row],[CODIGO PRODUCTO TERMINADO]]&amp;"','"&amp;L396&amp;"',"&amp;Tabla3[[#This Row],[CANTIDAD MATERIAL (M)]]&amp;");"</f>
        <v>#N/A</v>
      </c>
    </row>
    <row r="397" spans="1:14" x14ac:dyDescent="0.25">
      <c r="A397" t="s">
        <v>1026</v>
      </c>
      <c r="B397" t="s">
        <v>63</v>
      </c>
      <c r="C397" t="s">
        <v>1018</v>
      </c>
      <c r="D397" t="s">
        <v>50</v>
      </c>
      <c r="E397" s="8" t="s">
        <v>141</v>
      </c>
      <c r="F397">
        <v>0.10249999999999999</v>
      </c>
      <c r="G397" t="s">
        <v>78</v>
      </c>
      <c r="H397" t="str">
        <f>VLOOKUP(Tabla3[[#This Row],[DESCRIPCION MATERIAL]],'CODIGO MAT'!$C$2:$D$390,2,FALSE)</f>
        <v>TEL0000068</v>
      </c>
      <c r="J397">
        <v>1</v>
      </c>
      <c r="K397">
        <v>0</v>
      </c>
      <c r="L397" t="e">
        <v>#N/A</v>
      </c>
      <c r="M397" t="s">
        <v>992</v>
      </c>
      <c r="N397" t="e">
        <f>M397&amp;Tabla3[[#This Row],[CODIGO PRODUCTO TERMINADO]]&amp;"','"&amp;L397&amp;"',"&amp;Tabla3[[#This Row],[CANTIDAD MATERIAL (M)]]&amp;");"</f>
        <v>#N/A</v>
      </c>
    </row>
    <row r="398" spans="1:14" x14ac:dyDescent="0.25">
      <c r="A398" t="s">
        <v>1026</v>
      </c>
      <c r="B398" t="s">
        <v>63</v>
      </c>
      <c r="C398" t="s">
        <v>1018</v>
      </c>
      <c r="D398" t="s">
        <v>50</v>
      </c>
      <c r="E398" s="8" t="s">
        <v>104</v>
      </c>
      <c r="F398">
        <v>2.69E-2</v>
      </c>
      <c r="G398" t="s">
        <v>78</v>
      </c>
      <c r="H398" t="str">
        <f>VLOOKUP(Tabla3[[#This Row],[DESCRIPCION MATERIAL]],'CODIGO MAT'!$C$2:$D$390,2,FALSE)</f>
        <v>TEL0000027</v>
      </c>
      <c r="J398">
        <v>1</v>
      </c>
      <c r="K398">
        <v>0</v>
      </c>
      <c r="L398" t="e">
        <v>#N/A</v>
      </c>
      <c r="M398" t="s">
        <v>992</v>
      </c>
      <c r="N398" t="e">
        <f>M398&amp;Tabla3[[#This Row],[CODIGO PRODUCTO TERMINADO]]&amp;"','"&amp;L398&amp;"',"&amp;Tabla3[[#This Row],[CANTIDAD MATERIAL (M)]]&amp;");"</f>
        <v>#N/A</v>
      </c>
    </row>
    <row r="399" spans="1:14" x14ac:dyDescent="0.25">
      <c r="A399" t="s">
        <v>1026</v>
      </c>
      <c r="B399" t="s">
        <v>63</v>
      </c>
      <c r="C399" t="s">
        <v>1018</v>
      </c>
      <c r="D399" t="s">
        <v>50</v>
      </c>
      <c r="E399" s="8" t="s">
        <v>118</v>
      </c>
      <c r="F399">
        <v>6.8699999999999997E-2</v>
      </c>
      <c r="G399" t="s">
        <v>78</v>
      </c>
      <c r="H399" t="str">
        <f>VLOOKUP(Tabla3[[#This Row],[DESCRIPCION MATERIAL]],'CODIGO MAT'!$C$2:$D$390,2,FALSE)</f>
        <v>TEL0000045</v>
      </c>
      <c r="J399">
        <v>1</v>
      </c>
      <c r="K399">
        <v>0</v>
      </c>
      <c r="L399" t="e">
        <v>#N/A</v>
      </c>
      <c r="M399" t="s">
        <v>992</v>
      </c>
      <c r="N399" t="e">
        <f>M399&amp;Tabla3[[#This Row],[CODIGO PRODUCTO TERMINADO]]&amp;"','"&amp;L399&amp;"',"&amp;Tabla3[[#This Row],[CANTIDAD MATERIAL (M)]]&amp;");"</f>
        <v>#N/A</v>
      </c>
    </row>
    <row r="400" spans="1:14" x14ac:dyDescent="0.25">
      <c r="A400" t="s">
        <v>1026</v>
      </c>
      <c r="B400" t="s">
        <v>63</v>
      </c>
      <c r="C400" t="s">
        <v>1018</v>
      </c>
      <c r="D400" t="s">
        <v>51</v>
      </c>
      <c r="E400" s="8" t="s">
        <v>308</v>
      </c>
      <c r="F400">
        <v>1.8700000000000001E-2</v>
      </c>
      <c r="G400" t="s">
        <v>78</v>
      </c>
      <c r="H400" t="str">
        <f>VLOOKUP(Tabla3[[#This Row],[DESCRIPCION MATERIAL]],'CODIGO MAT'!$C$2:$D$390,2,FALSE)</f>
        <v>AVI0000053</v>
      </c>
      <c r="J400">
        <v>1</v>
      </c>
      <c r="K400">
        <v>0</v>
      </c>
      <c r="L400" t="e">
        <v>#N/A</v>
      </c>
      <c r="M400" t="s">
        <v>992</v>
      </c>
      <c r="N400" t="e">
        <f>M400&amp;Tabla3[[#This Row],[CODIGO PRODUCTO TERMINADO]]&amp;"','"&amp;L400&amp;"',"&amp;Tabla3[[#This Row],[CANTIDAD MATERIAL (M)]]&amp;");"</f>
        <v>#N/A</v>
      </c>
    </row>
    <row r="401" spans="1:14" x14ac:dyDescent="0.25">
      <c r="A401" t="s">
        <v>1026</v>
      </c>
      <c r="B401" t="s">
        <v>63</v>
      </c>
      <c r="C401" t="s">
        <v>1018</v>
      </c>
      <c r="D401" t="s">
        <v>51</v>
      </c>
      <c r="E401" s="8" t="s">
        <v>261</v>
      </c>
      <c r="F401">
        <v>1</v>
      </c>
      <c r="G401" t="s">
        <v>396</v>
      </c>
      <c r="H401" t="str">
        <f>VLOOKUP(Tabla3[[#This Row],[DESCRIPCION MATERIAL]],'CODIGO MAT'!$C$2:$D$390,2,FALSE)</f>
        <v>AVI0000002</v>
      </c>
      <c r="J401">
        <v>1</v>
      </c>
      <c r="K401">
        <v>0</v>
      </c>
      <c r="L401" t="e">
        <v>#N/A</v>
      </c>
      <c r="M401" t="s">
        <v>992</v>
      </c>
      <c r="N401" t="e">
        <f>M401&amp;Tabla3[[#This Row],[CODIGO PRODUCTO TERMINADO]]&amp;"','"&amp;L401&amp;"',"&amp;Tabla3[[#This Row],[CANTIDAD MATERIAL (M)]]&amp;");"</f>
        <v>#N/A</v>
      </c>
    </row>
    <row r="402" spans="1:14" x14ac:dyDescent="0.25">
      <c r="A402" t="s">
        <v>1026</v>
      </c>
      <c r="B402" t="s">
        <v>63</v>
      </c>
      <c r="C402" t="s">
        <v>1018</v>
      </c>
      <c r="D402" t="s">
        <v>51</v>
      </c>
      <c r="E402" s="8" t="s">
        <v>35</v>
      </c>
      <c r="F402">
        <v>0.84</v>
      </c>
      <c r="G402" t="s">
        <v>78</v>
      </c>
      <c r="H402" t="str">
        <f>VLOOKUP(Tabla3[[#This Row],[DESCRIPCION MATERIAL]],'CODIGO MAT'!$C$2:$D$390,2,FALSE)</f>
        <v>AVI0000031</v>
      </c>
      <c r="J402">
        <v>1</v>
      </c>
      <c r="K402">
        <v>0.24</v>
      </c>
      <c r="L402" t="e">
        <v>#N/A</v>
      </c>
      <c r="M402" t="s">
        <v>992</v>
      </c>
      <c r="N402" t="e">
        <f>M402&amp;Tabla3[[#This Row],[CODIGO PRODUCTO TERMINADO]]&amp;"','"&amp;L402&amp;"',"&amp;Tabla3[[#This Row],[CANTIDAD MATERIAL (M)]]&amp;");"</f>
        <v>#N/A</v>
      </c>
    </row>
    <row r="403" spans="1:14" x14ac:dyDescent="0.25">
      <c r="A403" t="s">
        <v>1026</v>
      </c>
      <c r="B403" t="s">
        <v>63</v>
      </c>
      <c r="C403" t="s">
        <v>1018</v>
      </c>
      <c r="D403" t="s">
        <v>51</v>
      </c>
      <c r="E403" s="8" t="s">
        <v>996</v>
      </c>
      <c r="F403">
        <v>0.5</v>
      </c>
      <c r="G403" t="s">
        <v>78</v>
      </c>
      <c r="H403" t="str">
        <f>VLOOKUP(Tabla3[[#This Row],[DESCRIPCION MATERIAL]],'CODIGO MAT'!$C$2:$D$390,2,FALSE)</f>
        <v>AVI0000148</v>
      </c>
      <c r="J403">
        <v>1</v>
      </c>
      <c r="K403">
        <v>0</v>
      </c>
      <c r="L403" t="e">
        <v>#N/A</v>
      </c>
      <c r="M403" t="s">
        <v>992</v>
      </c>
      <c r="N403" t="e">
        <f>M403&amp;Tabla3[[#This Row],[CODIGO PRODUCTO TERMINADO]]&amp;"','"&amp;L403&amp;"',"&amp;Tabla3[[#This Row],[CANTIDAD MATERIAL (M)]]&amp;");"</f>
        <v>#N/A</v>
      </c>
    </row>
    <row r="404" spans="1:14" x14ac:dyDescent="0.25">
      <c r="A404" t="s">
        <v>1026</v>
      </c>
      <c r="B404" t="s">
        <v>63</v>
      </c>
      <c r="C404" t="s">
        <v>1018</v>
      </c>
      <c r="D404" t="s">
        <v>51</v>
      </c>
      <c r="E404" s="8" t="s">
        <v>398</v>
      </c>
      <c r="F404">
        <v>9</v>
      </c>
      <c r="G404" t="s">
        <v>396</v>
      </c>
      <c r="H404" t="str">
        <f>VLOOKUP(Tabla3[[#This Row],[DESCRIPCION MATERIAL]],'CODIGO MAT'!$C$2:$D$390,2,FALSE)</f>
        <v>AVI0000132</v>
      </c>
      <c r="L404" t="e">
        <v>#N/A</v>
      </c>
      <c r="M404" t="s">
        <v>992</v>
      </c>
      <c r="N404" t="e">
        <f>M404&amp;Tabla3[[#This Row],[CODIGO PRODUCTO TERMINADO]]&amp;"','"&amp;L404&amp;"',"&amp;Tabla3[[#This Row],[CANTIDAD MATERIAL (M)]]&amp;");"</f>
        <v>#N/A</v>
      </c>
    </row>
    <row r="405" spans="1:14" x14ac:dyDescent="0.25">
      <c r="A405" t="s">
        <v>1026</v>
      </c>
      <c r="B405" t="s">
        <v>63</v>
      </c>
      <c r="C405" t="s">
        <v>1018</v>
      </c>
      <c r="D405" t="s">
        <v>51</v>
      </c>
      <c r="E405" s="8" t="s">
        <v>36</v>
      </c>
      <c r="F405">
        <v>2</v>
      </c>
      <c r="G405" t="s">
        <v>396</v>
      </c>
      <c r="H405" t="str">
        <f>VLOOKUP(Tabla3[[#This Row],[DESCRIPCION MATERIAL]],'CODIGO MAT'!$C$2:$D$390,2,FALSE)</f>
        <v>AVI0000135</v>
      </c>
      <c r="L405" t="e">
        <v>#N/A</v>
      </c>
      <c r="M405" t="s">
        <v>992</v>
      </c>
      <c r="N405" t="e">
        <f>M405&amp;Tabla3[[#This Row],[CODIGO PRODUCTO TERMINADO]]&amp;"','"&amp;L405&amp;"',"&amp;Tabla3[[#This Row],[CANTIDAD MATERIAL (M)]]&amp;");"</f>
        <v>#N/A</v>
      </c>
    </row>
    <row r="406" spans="1:14" x14ac:dyDescent="0.25">
      <c r="A406" t="s">
        <v>1026</v>
      </c>
      <c r="B406" t="s">
        <v>63</v>
      </c>
      <c r="C406" t="s">
        <v>1018</v>
      </c>
      <c r="D406" t="s">
        <v>51</v>
      </c>
      <c r="E406" s="8" t="s">
        <v>1126</v>
      </c>
      <c r="F406">
        <v>2E-3</v>
      </c>
      <c r="G406" t="s">
        <v>396</v>
      </c>
      <c r="H406" t="str">
        <f>VLOOKUP(Tabla3[[#This Row],[DESCRIPCION MATERIAL]],'CODIGO MAT'!$C$2:$D$390,2,FALSE)</f>
        <v>AVI0000151</v>
      </c>
      <c r="L406" t="e">
        <v>#N/A</v>
      </c>
      <c r="M406" t="s">
        <v>992</v>
      </c>
      <c r="N406" t="e">
        <f>M406&amp;Tabla3[[#This Row],[CODIGO PRODUCTO TERMINADO]]&amp;"','"&amp;L406&amp;"',"&amp;Tabla3[[#This Row],[CANTIDAD MATERIAL (M)]]&amp;");"</f>
        <v>#N/A</v>
      </c>
    </row>
    <row r="407" spans="1:14" x14ac:dyDescent="0.25">
      <c r="A407" t="s">
        <v>1027</v>
      </c>
      <c r="B407" t="s">
        <v>63</v>
      </c>
      <c r="C407" t="s">
        <v>1019</v>
      </c>
      <c r="D407" t="s">
        <v>50</v>
      </c>
      <c r="E407" s="8" t="s">
        <v>32</v>
      </c>
      <c r="F407">
        <v>1.145</v>
      </c>
      <c r="G407" t="s">
        <v>78</v>
      </c>
      <c r="H407" t="str">
        <f>VLOOKUP(Tabla3[[#This Row],[DESCRIPCION MATERIAL]],'CODIGO MAT'!$C$2:$D$390,2,FALSE)</f>
        <v>TEL0000041</v>
      </c>
      <c r="J407">
        <v>1</v>
      </c>
      <c r="K407">
        <v>0</v>
      </c>
      <c r="L407" t="e">
        <v>#N/A</v>
      </c>
      <c r="M407" t="s">
        <v>992</v>
      </c>
      <c r="N407" t="e">
        <f>M407&amp;Tabla3[[#This Row],[CODIGO PRODUCTO TERMINADO]]&amp;"','"&amp;L407&amp;"',"&amp;Tabla3[[#This Row],[CANTIDAD MATERIAL (M)]]&amp;");"</f>
        <v>#N/A</v>
      </c>
    </row>
    <row r="408" spans="1:14" x14ac:dyDescent="0.25">
      <c r="A408" t="s">
        <v>1027</v>
      </c>
      <c r="B408" t="s">
        <v>63</v>
      </c>
      <c r="C408" t="s">
        <v>1019</v>
      </c>
      <c r="D408" t="s">
        <v>50</v>
      </c>
      <c r="E408" s="8" t="s">
        <v>141</v>
      </c>
      <c r="F408">
        <v>0.10249999999999999</v>
      </c>
      <c r="G408" t="s">
        <v>78</v>
      </c>
      <c r="H408" t="str">
        <f>VLOOKUP(Tabla3[[#This Row],[DESCRIPCION MATERIAL]],'CODIGO MAT'!$C$2:$D$390,2,FALSE)</f>
        <v>TEL0000068</v>
      </c>
      <c r="J408">
        <v>1</v>
      </c>
      <c r="K408">
        <v>0</v>
      </c>
      <c r="L408" t="e">
        <v>#N/A</v>
      </c>
      <c r="M408" t="s">
        <v>992</v>
      </c>
      <c r="N408" t="e">
        <f>M408&amp;Tabla3[[#This Row],[CODIGO PRODUCTO TERMINADO]]&amp;"','"&amp;L408&amp;"',"&amp;Tabla3[[#This Row],[CANTIDAD MATERIAL (M)]]&amp;");"</f>
        <v>#N/A</v>
      </c>
    </row>
    <row r="409" spans="1:14" x14ac:dyDescent="0.25">
      <c r="A409" t="s">
        <v>1027</v>
      </c>
      <c r="B409" t="s">
        <v>63</v>
      </c>
      <c r="C409" t="s">
        <v>1019</v>
      </c>
      <c r="D409" t="s">
        <v>50</v>
      </c>
      <c r="E409" s="8" t="s">
        <v>104</v>
      </c>
      <c r="F409">
        <v>2.69E-2</v>
      </c>
      <c r="G409" t="s">
        <v>78</v>
      </c>
      <c r="H409" t="str">
        <f>VLOOKUP(Tabla3[[#This Row],[DESCRIPCION MATERIAL]],'CODIGO MAT'!$C$2:$D$390,2,FALSE)</f>
        <v>TEL0000027</v>
      </c>
      <c r="J409">
        <v>1</v>
      </c>
      <c r="K409">
        <v>0</v>
      </c>
      <c r="L409" t="e">
        <v>#N/A</v>
      </c>
      <c r="M409" t="s">
        <v>992</v>
      </c>
      <c r="N409" t="e">
        <f>M409&amp;Tabla3[[#This Row],[CODIGO PRODUCTO TERMINADO]]&amp;"','"&amp;L409&amp;"',"&amp;Tabla3[[#This Row],[CANTIDAD MATERIAL (M)]]&amp;");"</f>
        <v>#N/A</v>
      </c>
    </row>
    <row r="410" spans="1:14" x14ac:dyDescent="0.25">
      <c r="A410" t="s">
        <v>1027</v>
      </c>
      <c r="B410" t="s">
        <v>63</v>
      </c>
      <c r="C410" t="s">
        <v>1019</v>
      </c>
      <c r="D410" t="s">
        <v>50</v>
      </c>
      <c r="E410" s="8" t="s">
        <v>118</v>
      </c>
      <c r="F410">
        <v>6.8699999999999997E-2</v>
      </c>
      <c r="G410" t="s">
        <v>78</v>
      </c>
      <c r="H410" t="str">
        <f>VLOOKUP(Tabla3[[#This Row],[DESCRIPCION MATERIAL]],'CODIGO MAT'!$C$2:$D$390,2,FALSE)</f>
        <v>TEL0000045</v>
      </c>
      <c r="J410">
        <v>1</v>
      </c>
      <c r="K410">
        <v>0</v>
      </c>
      <c r="L410" t="e">
        <v>#N/A</v>
      </c>
      <c r="M410" t="s">
        <v>992</v>
      </c>
      <c r="N410" t="e">
        <f>M410&amp;Tabla3[[#This Row],[CODIGO PRODUCTO TERMINADO]]&amp;"','"&amp;L410&amp;"',"&amp;Tabla3[[#This Row],[CANTIDAD MATERIAL (M)]]&amp;");"</f>
        <v>#N/A</v>
      </c>
    </row>
    <row r="411" spans="1:14" x14ac:dyDescent="0.25">
      <c r="A411" t="s">
        <v>1027</v>
      </c>
      <c r="B411" t="s">
        <v>63</v>
      </c>
      <c r="C411" t="s">
        <v>1019</v>
      </c>
      <c r="D411" t="s">
        <v>51</v>
      </c>
      <c r="E411" s="8" t="s">
        <v>308</v>
      </c>
      <c r="F411">
        <v>1.8700000000000001E-2</v>
      </c>
      <c r="G411" t="s">
        <v>78</v>
      </c>
      <c r="H411" t="str">
        <f>VLOOKUP(Tabla3[[#This Row],[DESCRIPCION MATERIAL]],'CODIGO MAT'!$C$2:$D$390,2,FALSE)</f>
        <v>AVI0000053</v>
      </c>
      <c r="J411">
        <v>1</v>
      </c>
      <c r="K411">
        <v>0</v>
      </c>
      <c r="L411" t="e">
        <v>#N/A</v>
      </c>
      <c r="M411" t="s">
        <v>992</v>
      </c>
      <c r="N411" t="e">
        <f>M411&amp;Tabla3[[#This Row],[CODIGO PRODUCTO TERMINADO]]&amp;"','"&amp;L411&amp;"',"&amp;Tabla3[[#This Row],[CANTIDAD MATERIAL (M)]]&amp;");"</f>
        <v>#N/A</v>
      </c>
    </row>
    <row r="412" spans="1:14" x14ac:dyDescent="0.25">
      <c r="A412" t="s">
        <v>1027</v>
      </c>
      <c r="B412" t="s">
        <v>63</v>
      </c>
      <c r="C412" t="s">
        <v>1019</v>
      </c>
      <c r="D412" t="s">
        <v>51</v>
      </c>
      <c r="E412" s="8" t="s">
        <v>261</v>
      </c>
      <c r="F412">
        <v>1</v>
      </c>
      <c r="G412" t="s">
        <v>396</v>
      </c>
      <c r="H412" t="str">
        <f>VLOOKUP(Tabla3[[#This Row],[DESCRIPCION MATERIAL]],'CODIGO MAT'!$C$2:$D$390,2,FALSE)</f>
        <v>AVI0000002</v>
      </c>
      <c r="J412">
        <v>1</v>
      </c>
      <c r="K412">
        <v>0</v>
      </c>
      <c r="L412" t="e">
        <v>#N/A</v>
      </c>
      <c r="M412" t="s">
        <v>992</v>
      </c>
      <c r="N412" t="e">
        <f>M412&amp;Tabla3[[#This Row],[CODIGO PRODUCTO TERMINADO]]&amp;"','"&amp;L412&amp;"',"&amp;Tabla3[[#This Row],[CANTIDAD MATERIAL (M)]]&amp;");"</f>
        <v>#N/A</v>
      </c>
    </row>
    <row r="413" spans="1:14" x14ac:dyDescent="0.25">
      <c r="A413" t="s">
        <v>1027</v>
      </c>
      <c r="B413" t="s">
        <v>63</v>
      </c>
      <c r="C413" t="s">
        <v>1019</v>
      </c>
      <c r="D413" t="s">
        <v>51</v>
      </c>
      <c r="E413" s="8" t="s">
        <v>35</v>
      </c>
      <c r="F413">
        <v>0.84</v>
      </c>
      <c r="G413" t="s">
        <v>78</v>
      </c>
      <c r="H413" t="str">
        <f>VLOOKUP(Tabla3[[#This Row],[DESCRIPCION MATERIAL]],'CODIGO MAT'!$C$2:$D$390,2,FALSE)</f>
        <v>AVI0000031</v>
      </c>
      <c r="J413">
        <v>1</v>
      </c>
      <c r="K413">
        <v>0.24</v>
      </c>
      <c r="L413" t="e">
        <v>#N/A</v>
      </c>
      <c r="M413" t="s">
        <v>992</v>
      </c>
      <c r="N413" t="e">
        <f>M413&amp;Tabla3[[#This Row],[CODIGO PRODUCTO TERMINADO]]&amp;"','"&amp;L413&amp;"',"&amp;Tabla3[[#This Row],[CANTIDAD MATERIAL (M)]]&amp;");"</f>
        <v>#N/A</v>
      </c>
    </row>
    <row r="414" spans="1:14" x14ac:dyDescent="0.25">
      <c r="A414" t="s">
        <v>1027</v>
      </c>
      <c r="B414" t="s">
        <v>63</v>
      </c>
      <c r="C414" t="s">
        <v>1019</v>
      </c>
      <c r="D414" t="s">
        <v>51</v>
      </c>
      <c r="E414" s="8" t="s">
        <v>996</v>
      </c>
      <c r="F414">
        <v>0.5</v>
      </c>
      <c r="G414" t="s">
        <v>78</v>
      </c>
      <c r="H414" t="str">
        <f>VLOOKUP(Tabla3[[#This Row],[DESCRIPCION MATERIAL]],'CODIGO MAT'!$C$2:$D$390,2,FALSE)</f>
        <v>AVI0000148</v>
      </c>
      <c r="J414">
        <v>1</v>
      </c>
      <c r="K414">
        <v>0</v>
      </c>
      <c r="L414" t="e">
        <v>#N/A</v>
      </c>
      <c r="M414" t="s">
        <v>992</v>
      </c>
      <c r="N414" t="e">
        <f>M414&amp;Tabla3[[#This Row],[CODIGO PRODUCTO TERMINADO]]&amp;"','"&amp;L414&amp;"',"&amp;Tabla3[[#This Row],[CANTIDAD MATERIAL (M)]]&amp;");"</f>
        <v>#N/A</v>
      </c>
    </row>
    <row r="415" spans="1:14" x14ac:dyDescent="0.25">
      <c r="A415" t="s">
        <v>1027</v>
      </c>
      <c r="B415" t="s">
        <v>63</v>
      </c>
      <c r="C415" t="s">
        <v>1019</v>
      </c>
      <c r="D415" t="s">
        <v>51</v>
      </c>
      <c r="E415" s="8" t="s">
        <v>398</v>
      </c>
      <c r="F415">
        <v>9</v>
      </c>
      <c r="G415" t="s">
        <v>396</v>
      </c>
      <c r="H415" t="str">
        <f>VLOOKUP(Tabla3[[#This Row],[DESCRIPCION MATERIAL]],'CODIGO MAT'!$C$2:$D$390,2,FALSE)</f>
        <v>AVI0000132</v>
      </c>
      <c r="L415" t="e">
        <v>#N/A</v>
      </c>
      <c r="M415" t="s">
        <v>992</v>
      </c>
      <c r="N415" t="e">
        <f>M415&amp;Tabla3[[#This Row],[CODIGO PRODUCTO TERMINADO]]&amp;"','"&amp;L415&amp;"',"&amp;Tabla3[[#This Row],[CANTIDAD MATERIAL (M)]]&amp;");"</f>
        <v>#N/A</v>
      </c>
    </row>
    <row r="416" spans="1:14" x14ac:dyDescent="0.25">
      <c r="A416" t="s">
        <v>1027</v>
      </c>
      <c r="B416" t="s">
        <v>63</v>
      </c>
      <c r="C416" t="s">
        <v>1019</v>
      </c>
      <c r="D416" t="s">
        <v>51</v>
      </c>
      <c r="E416" s="8" t="s">
        <v>36</v>
      </c>
      <c r="F416">
        <v>2</v>
      </c>
      <c r="G416" t="s">
        <v>396</v>
      </c>
      <c r="H416" t="str">
        <f>VLOOKUP(Tabla3[[#This Row],[DESCRIPCION MATERIAL]],'CODIGO MAT'!$C$2:$D$390,2,FALSE)</f>
        <v>AVI0000135</v>
      </c>
      <c r="L416" t="e">
        <v>#N/A</v>
      </c>
      <c r="M416" t="s">
        <v>992</v>
      </c>
      <c r="N416" t="e">
        <f>M416&amp;Tabla3[[#This Row],[CODIGO PRODUCTO TERMINADO]]&amp;"','"&amp;L416&amp;"',"&amp;Tabla3[[#This Row],[CANTIDAD MATERIAL (M)]]&amp;");"</f>
        <v>#N/A</v>
      </c>
    </row>
    <row r="417" spans="1:14" x14ac:dyDescent="0.25">
      <c r="A417" t="s">
        <v>1027</v>
      </c>
      <c r="B417" t="s">
        <v>63</v>
      </c>
      <c r="C417" t="s">
        <v>1019</v>
      </c>
      <c r="D417" t="s">
        <v>51</v>
      </c>
      <c r="E417" s="8" t="s">
        <v>1126</v>
      </c>
      <c r="F417">
        <v>2E-3</v>
      </c>
      <c r="G417" t="s">
        <v>396</v>
      </c>
      <c r="H417" t="str">
        <f>VLOOKUP(Tabla3[[#This Row],[DESCRIPCION MATERIAL]],'CODIGO MAT'!$C$2:$D$390,2,FALSE)</f>
        <v>AVI0000151</v>
      </c>
      <c r="L417" t="e">
        <v>#N/A</v>
      </c>
      <c r="M417" t="s">
        <v>992</v>
      </c>
      <c r="N417" t="e">
        <f>M417&amp;Tabla3[[#This Row],[CODIGO PRODUCTO TERMINADO]]&amp;"','"&amp;L417&amp;"',"&amp;Tabla3[[#This Row],[CANTIDAD MATERIAL (M)]]&amp;");"</f>
        <v>#N/A</v>
      </c>
    </row>
    <row r="418" spans="1:14" x14ac:dyDescent="0.25">
      <c r="A418" t="s">
        <v>1028</v>
      </c>
      <c r="B418" t="s">
        <v>63</v>
      </c>
      <c r="C418" t="s">
        <v>1020</v>
      </c>
      <c r="D418" t="s">
        <v>50</v>
      </c>
      <c r="E418" s="8" t="s">
        <v>32</v>
      </c>
      <c r="F418">
        <v>1.28</v>
      </c>
      <c r="G418" t="s">
        <v>78</v>
      </c>
      <c r="H418" t="str">
        <f>VLOOKUP(Tabla3[[#This Row],[DESCRIPCION MATERIAL]],'CODIGO MAT'!$C$2:$D$390,2,FALSE)</f>
        <v>TEL0000041</v>
      </c>
      <c r="J418">
        <v>1</v>
      </c>
      <c r="K418">
        <v>0</v>
      </c>
      <c r="L418" t="e">
        <v>#N/A</v>
      </c>
      <c r="M418" t="s">
        <v>992</v>
      </c>
      <c r="N418" t="e">
        <f>M418&amp;Tabla3[[#This Row],[CODIGO PRODUCTO TERMINADO]]&amp;"','"&amp;L418&amp;"',"&amp;Tabla3[[#This Row],[CANTIDAD MATERIAL (M)]]&amp;");"</f>
        <v>#N/A</v>
      </c>
    </row>
    <row r="419" spans="1:14" x14ac:dyDescent="0.25">
      <c r="A419" t="s">
        <v>1028</v>
      </c>
      <c r="B419" t="s">
        <v>63</v>
      </c>
      <c r="C419" t="s">
        <v>1020</v>
      </c>
      <c r="D419" t="s">
        <v>50</v>
      </c>
      <c r="E419" s="8" t="s">
        <v>141</v>
      </c>
      <c r="F419">
        <v>0.10249999999999999</v>
      </c>
      <c r="G419" t="s">
        <v>78</v>
      </c>
      <c r="H419" t="str">
        <f>VLOOKUP(Tabla3[[#This Row],[DESCRIPCION MATERIAL]],'CODIGO MAT'!$C$2:$D$390,2,FALSE)</f>
        <v>TEL0000068</v>
      </c>
      <c r="J419">
        <v>1</v>
      </c>
      <c r="K419">
        <v>0</v>
      </c>
      <c r="L419" t="e">
        <v>#N/A</v>
      </c>
      <c r="M419" t="s">
        <v>992</v>
      </c>
      <c r="N419" t="e">
        <f>M419&amp;Tabla3[[#This Row],[CODIGO PRODUCTO TERMINADO]]&amp;"','"&amp;L419&amp;"',"&amp;Tabla3[[#This Row],[CANTIDAD MATERIAL (M)]]&amp;");"</f>
        <v>#N/A</v>
      </c>
    </row>
    <row r="420" spans="1:14" x14ac:dyDescent="0.25">
      <c r="A420" t="s">
        <v>1028</v>
      </c>
      <c r="B420" t="s">
        <v>63</v>
      </c>
      <c r="C420" t="s">
        <v>1020</v>
      </c>
      <c r="D420" t="s">
        <v>50</v>
      </c>
      <c r="E420" s="8" t="s">
        <v>104</v>
      </c>
      <c r="F420">
        <v>2.69E-2</v>
      </c>
      <c r="G420" t="s">
        <v>78</v>
      </c>
      <c r="H420" t="str">
        <f>VLOOKUP(Tabla3[[#This Row],[DESCRIPCION MATERIAL]],'CODIGO MAT'!$C$2:$D$390,2,FALSE)</f>
        <v>TEL0000027</v>
      </c>
      <c r="J420">
        <v>1</v>
      </c>
      <c r="K420">
        <v>0</v>
      </c>
      <c r="L420" t="e">
        <v>#N/A</v>
      </c>
      <c r="M420" t="s">
        <v>992</v>
      </c>
      <c r="N420" t="e">
        <f>M420&amp;Tabla3[[#This Row],[CODIGO PRODUCTO TERMINADO]]&amp;"','"&amp;L420&amp;"',"&amp;Tabla3[[#This Row],[CANTIDAD MATERIAL (M)]]&amp;");"</f>
        <v>#N/A</v>
      </c>
    </row>
    <row r="421" spans="1:14" x14ac:dyDescent="0.25">
      <c r="A421" t="s">
        <v>1028</v>
      </c>
      <c r="B421" t="s">
        <v>63</v>
      </c>
      <c r="C421" t="s">
        <v>1020</v>
      </c>
      <c r="D421" t="s">
        <v>50</v>
      </c>
      <c r="E421" s="8" t="s">
        <v>118</v>
      </c>
      <c r="F421">
        <v>6.8699999999999997E-2</v>
      </c>
      <c r="G421" t="s">
        <v>78</v>
      </c>
      <c r="H421" t="str">
        <f>VLOOKUP(Tabla3[[#This Row],[DESCRIPCION MATERIAL]],'CODIGO MAT'!$C$2:$D$390,2,FALSE)</f>
        <v>TEL0000045</v>
      </c>
      <c r="J421">
        <v>1</v>
      </c>
      <c r="K421">
        <v>0</v>
      </c>
      <c r="L421" t="e">
        <v>#N/A</v>
      </c>
      <c r="M421" t="s">
        <v>992</v>
      </c>
      <c r="N421" t="e">
        <f>M421&amp;Tabla3[[#This Row],[CODIGO PRODUCTO TERMINADO]]&amp;"','"&amp;L421&amp;"',"&amp;Tabla3[[#This Row],[CANTIDAD MATERIAL (M)]]&amp;");"</f>
        <v>#N/A</v>
      </c>
    </row>
    <row r="422" spans="1:14" x14ac:dyDescent="0.25">
      <c r="A422" t="s">
        <v>1028</v>
      </c>
      <c r="B422" t="s">
        <v>63</v>
      </c>
      <c r="C422" t="s">
        <v>1020</v>
      </c>
      <c r="D422" t="s">
        <v>51</v>
      </c>
      <c r="E422" s="8" t="s">
        <v>308</v>
      </c>
      <c r="F422">
        <v>1.8700000000000001E-2</v>
      </c>
      <c r="G422" t="s">
        <v>78</v>
      </c>
      <c r="H422" t="str">
        <f>VLOOKUP(Tabla3[[#This Row],[DESCRIPCION MATERIAL]],'CODIGO MAT'!$C$2:$D$390,2,FALSE)</f>
        <v>AVI0000053</v>
      </c>
      <c r="J422">
        <v>1</v>
      </c>
      <c r="K422">
        <v>0</v>
      </c>
      <c r="L422" t="e">
        <v>#N/A</v>
      </c>
      <c r="M422" t="s">
        <v>992</v>
      </c>
      <c r="N422" t="e">
        <f>M422&amp;Tabla3[[#This Row],[CODIGO PRODUCTO TERMINADO]]&amp;"','"&amp;L422&amp;"',"&amp;Tabla3[[#This Row],[CANTIDAD MATERIAL (M)]]&amp;");"</f>
        <v>#N/A</v>
      </c>
    </row>
    <row r="423" spans="1:14" x14ac:dyDescent="0.25">
      <c r="A423" t="s">
        <v>1028</v>
      </c>
      <c r="B423" t="s">
        <v>63</v>
      </c>
      <c r="C423" t="s">
        <v>1020</v>
      </c>
      <c r="D423" t="s">
        <v>51</v>
      </c>
      <c r="E423" s="8" t="s">
        <v>261</v>
      </c>
      <c r="F423">
        <v>1</v>
      </c>
      <c r="G423" t="s">
        <v>396</v>
      </c>
      <c r="H423" t="str">
        <f>VLOOKUP(Tabla3[[#This Row],[DESCRIPCION MATERIAL]],'CODIGO MAT'!$C$2:$D$390,2,FALSE)</f>
        <v>AVI0000002</v>
      </c>
      <c r="J423">
        <v>1</v>
      </c>
      <c r="K423">
        <v>0</v>
      </c>
      <c r="L423" t="e">
        <v>#N/A</v>
      </c>
      <c r="M423" t="s">
        <v>992</v>
      </c>
      <c r="N423" t="e">
        <f>M423&amp;Tabla3[[#This Row],[CODIGO PRODUCTO TERMINADO]]&amp;"','"&amp;L423&amp;"',"&amp;Tabla3[[#This Row],[CANTIDAD MATERIAL (M)]]&amp;");"</f>
        <v>#N/A</v>
      </c>
    </row>
    <row r="424" spans="1:14" x14ac:dyDescent="0.25">
      <c r="A424" t="s">
        <v>1028</v>
      </c>
      <c r="B424" t="s">
        <v>63</v>
      </c>
      <c r="C424" t="s">
        <v>1020</v>
      </c>
      <c r="D424" t="s">
        <v>51</v>
      </c>
      <c r="E424" s="8" t="s">
        <v>35</v>
      </c>
      <c r="F424">
        <v>0.84</v>
      </c>
      <c r="G424" t="s">
        <v>78</v>
      </c>
      <c r="H424" t="str">
        <f>VLOOKUP(Tabla3[[#This Row],[DESCRIPCION MATERIAL]],'CODIGO MAT'!$C$2:$D$390,2,FALSE)</f>
        <v>AVI0000031</v>
      </c>
      <c r="J424">
        <v>1</v>
      </c>
      <c r="K424">
        <v>0.24</v>
      </c>
      <c r="L424" t="e">
        <v>#N/A</v>
      </c>
      <c r="M424" t="s">
        <v>992</v>
      </c>
      <c r="N424" t="e">
        <f>M424&amp;Tabla3[[#This Row],[CODIGO PRODUCTO TERMINADO]]&amp;"','"&amp;L424&amp;"',"&amp;Tabla3[[#This Row],[CANTIDAD MATERIAL (M)]]&amp;");"</f>
        <v>#N/A</v>
      </c>
    </row>
    <row r="425" spans="1:14" x14ac:dyDescent="0.25">
      <c r="A425" t="s">
        <v>1028</v>
      </c>
      <c r="B425" t="s">
        <v>63</v>
      </c>
      <c r="C425" t="s">
        <v>1020</v>
      </c>
      <c r="D425" t="s">
        <v>51</v>
      </c>
      <c r="E425" s="8" t="s">
        <v>996</v>
      </c>
      <c r="F425">
        <v>0.5</v>
      </c>
      <c r="G425" t="s">
        <v>78</v>
      </c>
      <c r="H425" t="str">
        <f>VLOOKUP(Tabla3[[#This Row],[DESCRIPCION MATERIAL]],'CODIGO MAT'!$C$2:$D$390,2,FALSE)</f>
        <v>AVI0000148</v>
      </c>
      <c r="J425">
        <v>1</v>
      </c>
      <c r="K425">
        <v>0</v>
      </c>
      <c r="L425" t="e">
        <v>#N/A</v>
      </c>
      <c r="M425" t="s">
        <v>992</v>
      </c>
      <c r="N425" t="e">
        <f>M425&amp;Tabla3[[#This Row],[CODIGO PRODUCTO TERMINADO]]&amp;"','"&amp;L425&amp;"',"&amp;Tabla3[[#This Row],[CANTIDAD MATERIAL (M)]]&amp;");"</f>
        <v>#N/A</v>
      </c>
    </row>
    <row r="426" spans="1:14" x14ac:dyDescent="0.25">
      <c r="A426" t="s">
        <v>1028</v>
      </c>
      <c r="B426" t="s">
        <v>63</v>
      </c>
      <c r="C426" t="s">
        <v>1020</v>
      </c>
      <c r="D426" t="s">
        <v>51</v>
      </c>
      <c r="E426" s="8" t="s">
        <v>398</v>
      </c>
      <c r="F426">
        <v>10</v>
      </c>
      <c r="G426" t="s">
        <v>396</v>
      </c>
      <c r="H426" t="str">
        <f>VLOOKUP(Tabla3[[#This Row],[DESCRIPCION MATERIAL]],'CODIGO MAT'!$C$2:$D$390,2,FALSE)</f>
        <v>AVI0000132</v>
      </c>
      <c r="L426" t="e">
        <v>#N/A</v>
      </c>
      <c r="M426" t="s">
        <v>992</v>
      </c>
      <c r="N426" t="e">
        <f>M426&amp;Tabla3[[#This Row],[CODIGO PRODUCTO TERMINADO]]&amp;"','"&amp;L426&amp;"',"&amp;Tabla3[[#This Row],[CANTIDAD MATERIAL (M)]]&amp;");"</f>
        <v>#N/A</v>
      </c>
    </row>
    <row r="427" spans="1:14" x14ac:dyDescent="0.25">
      <c r="A427" t="s">
        <v>1028</v>
      </c>
      <c r="B427" t="s">
        <v>63</v>
      </c>
      <c r="C427" t="s">
        <v>1020</v>
      </c>
      <c r="D427" t="s">
        <v>51</v>
      </c>
      <c r="E427" s="8" t="s">
        <v>36</v>
      </c>
      <c r="F427">
        <v>2</v>
      </c>
      <c r="G427" t="s">
        <v>396</v>
      </c>
      <c r="H427" t="str">
        <f>VLOOKUP(Tabla3[[#This Row],[DESCRIPCION MATERIAL]],'CODIGO MAT'!$C$2:$D$390,2,FALSE)</f>
        <v>AVI0000135</v>
      </c>
      <c r="L427" t="e">
        <v>#N/A</v>
      </c>
      <c r="M427" t="s">
        <v>992</v>
      </c>
      <c r="N427" t="e">
        <f>M427&amp;Tabla3[[#This Row],[CODIGO PRODUCTO TERMINADO]]&amp;"','"&amp;L427&amp;"',"&amp;Tabla3[[#This Row],[CANTIDAD MATERIAL (M)]]&amp;");"</f>
        <v>#N/A</v>
      </c>
    </row>
    <row r="428" spans="1:14" x14ac:dyDescent="0.25">
      <c r="A428" t="s">
        <v>1028</v>
      </c>
      <c r="B428" t="s">
        <v>63</v>
      </c>
      <c r="C428" t="s">
        <v>1020</v>
      </c>
      <c r="D428" t="s">
        <v>51</v>
      </c>
      <c r="E428" s="8" t="s">
        <v>1126</v>
      </c>
      <c r="F428">
        <v>2E-3</v>
      </c>
      <c r="G428" t="s">
        <v>396</v>
      </c>
      <c r="H428" t="str">
        <f>VLOOKUP(Tabla3[[#This Row],[DESCRIPCION MATERIAL]],'CODIGO MAT'!$C$2:$D$390,2,FALSE)</f>
        <v>AVI0000151</v>
      </c>
      <c r="L428" t="e">
        <v>#N/A</v>
      </c>
      <c r="M428" t="s">
        <v>992</v>
      </c>
      <c r="N428" t="e">
        <f>M428&amp;Tabla3[[#This Row],[CODIGO PRODUCTO TERMINADO]]&amp;"','"&amp;L428&amp;"',"&amp;Tabla3[[#This Row],[CANTIDAD MATERIAL (M)]]&amp;");"</f>
        <v>#N/A</v>
      </c>
    </row>
    <row r="429" spans="1:14" x14ac:dyDescent="0.25">
      <c r="A429" t="s">
        <v>1029</v>
      </c>
      <c r="B429" t="s">
        <v>63</v>
      </c>
      <c r="C429" t="s">
        <v>1021</v>
      </c>
      <c r="D429" t="s">
        <v>50</v>
      </c>
      <c r="E429" s="8" t="s">
        <v>32</v>
      </c>
      <c r="F429">
        <v>1.43</v>
      </c>
      <c r="G429" t="s">
        <v>78</v>
      </c>
      <c r="H429" t="str">
        <f>VLOOKUP(Tabla3[[#This Row],[DESCRIPCION MATERIAL]],'CODIGO MAT'!$C$2:$D$390,2,FALSE)</f>
        <v>TEL0000041</v>
      </c>
      <c r="J429">
        <v>1</v>
      </c>
      <c r="K429">
        <v>0</v>
      </c>
      <c r="L429" t="e">
        <v>#N/A</v>
      </c>
      <c r="M429" t="s">
        <v>992</v>
      </c>
      <c r="N429" t="e">
        <f>M429&amp;Tabla3[[#This Row],[CODIGO PRODUCTO TERMINADO]]&amp;"','"&amp;L429&amp;"',"&amp;Tabla3[[#This Row],[CANTIDAD MATERIAL (M)]]&amp;");"</f>
        <v>#N/A</v>
      </c>
    </row>
    <row r="430" spans="1:14" x14ac:dyDescent="0.25">
      <c r="A430" t="s">
        <v>1029</v>
      </c>
      <c r="B430" t="s">
        <v>63</v>
      </c>
      <c r="C430" t="s">
        <v>1021</v>
      </c>
      <c r="D430" t="s">
        <v>50</v>
      </c>
      <c r="E430" s="8" t="s">
        <v>141</v>
      </c>
      <c r="F430">
        <v>0.10249999999999999</v>
      </c>
      <c r="G430" t="s">
        <v>78</v>
      </c>
      <c r="H430" t="str">
        <f>VLOOKUP(Tabla3[[#This Row],[DESCRIPCION MATERIAL]],'CODIGO MAT'!$C$2:$D$390,2,FALSE)</f>
        <v>TEL0000068</v>
      </c>
      <c r="J430">
        <v>1</v>
      </c>
      <c r="K430">
        <v>0</v>
      </c>
      <c r="L430" t="e">
        <v>#N/A</v>
      </c>
      <c r="M430" t="s">
        <v>992</v>
      </c>
      <c r="N430" t="e">
        <f>M430&amp;Tabla3[[#This Row],[CODIGO PRODUCTO TERMINADO]]&amp;"','"&amp;L430&amp;"',"&amp;Tabla3[[#This Row],[CANTIDAD MATERIAL (M)]]&amp;");"</f>
        <v>#N/A</v>
      </c>
    </row>
    <row r="431" spans="1:14" x14ac:dyDescent="0.25">
      <c r="A431" t="s">
        <v>1029</v>
      </c>
      <c r="B431" t="s">
        <v>63</v>
      </c>
      <c r="C431" t="s">
        <v>1021</v>
      </c>
      <c r="D431" t="s">
        <v>50</v>
      </c>
      <c r="E431" s="8" t="s">
        <v>104</v>
      </c>
      <c r="F431">
        <v>2.69E-2</v>
      </c>
      <c r="G431" t="s">
        <v>78</v>
      </c>
      <c r="H431" t="str">
        <f>VLOOKUP(Tabla3[[#This Row],[DESCRIPCION MATERIAL]],'CODIGO MAT'!$C$2:$D$390,2,FALSE)</f>
        <v>TEL0000027</v>
      </c>
      <c r="J431">
        <v>1</v>
      </c>
      <c r="K431">
        <v>0</v>
      </c>
      <c r="L431" t="e">
        <v>#N/A</v>
      </c>
      <c r="M431" t="s">
        <v>992</v>
      </c>
      <c r="N431" t="e">
        <f>M431&amp;Tabla3[[#This Row],[CODIGO PRODUCTO TERMINADO]]&amp;"','"&amp;L431&amp;"',"&amp;Tabla3[[#This Row],[CANTIDAD MATERIAL (M)]]&amp;");"</f>
        <v>#N/A</v>
      </c>
    </row>
    <row r="432" spans="1:14" x14ac:dyDescent="0.25">
      <c r="A432" t="s">
        <v>1029</v>
      </c>
      <c r="B432" t="s">
        <v>63</v>
      </c>
      <c r="C432" t="s">
        <v>1021</v>
      </c>
      <c r="D432" t="s">
        <v>50</v>
      </c>
      <c r="E432" s="8" t="s">
        <v>118</v>
      </c>
      <c r="F432">
        <v>6.8699999999999997E-2</v>
      </c>
      <c r="G432" t="s">
        <v>78</v>
      </c>
      <c r="H432" t="str">
        <f>VLOOKUP(Tabla3[[#This Row],[DESCRIPCION MATERIAL]],'CODIGO MAT'!$C$2:$D$390,2,FALSE)</f>
        <v>TEL0000045</v>
      </c>
      <c r="J432">
        <v>1</v>
      </c>
      <c r="K432">
        <v>0</v>
      </c>
      <c r="L432" t="e">
        <v>#N/A</v>
      </c>
      <c r="M432" t="s">
        <v>992</v>
      </c>
      <c r="N432" t="e">
        <f>M432&amp;Tabla3[[#This Row],[CODIGO PRODUCTO TERMINADO]]&amp;"','"&amp;L432&amp;"',"&amp;Tabla3[[#This Row],[CANTIDAD MATERIAL (M)]]&amp;");"</f>
        <v>#N/A</v>
      </c>
    </row>
    <row r="433" spans="1:14" x14ac:dyDescent="0.25">
      <c r="A433" t="s">
        <v>1029</v>
      </c>
      <c r="B433" t="s">
        <v>63</v>
      </c>
      <c r="C433" t="s">
        <v>1021</v>
      </c>
      <c r="D433" t="s">
        <v>51</v>
      </c>
      <c r="E433" s="8" t="s">
        <v>308</v>
      </c>
      <c r="F433">
        <v>1.8700000000000001E-2</v>
      </c>
      <c r="G433" t="s">
        <v>78</v>
      </c>
      <c r="H433" t="str">
        <f>VLOOKUP(Tabla3[[#This Row],[DESCRIPCION MATERIAL]],'CODIGO MAT'!$C$2:$D$390,2,FALSE)</f>
        <v>AVI0000053</v>
      </c>
      <c r="J433">
        <v>1</v>
      </c>
      <c r="K433">
        <v>0</v>
      </c>
      <c r="L433" t="e">
        <v>#N/A</v>
      </c>
      <c r="M433" t="s">
        <v>992</v>
      </c>
      <c r="N433" t="e">
        <f>M433&amp;Tabla3[[#This Row],[CODIGO PRODUCTO TERMINADO]]&amp;"','"&amp;L433&amp;"',"&amp;Tabla3[[#This Row],[CANTIDAD MATERIAL (M)]]&amp;");"</f>
        <v>#N/A</v>
      </c>
    </row>
    <row r="434" spans="1:14" x14ac:dyDescent="0.25">
      <c r="A434" t="s">
        <v>1029</v>
      </c>
      <c r="B434" t="s">
        <v>63</v>
      </c>
      <c r="C434" t="s">
        <v>1021</v>
      </c>
      <c r="D434" t="s">
        <v>51</v>
      </c>
      <c r="E434" s="8" t="s">
        <v>261</v>
      </c>
      <c r="F434">
        <v>1</v>
      </c>
      <c r="G434" t="s">
        <v>396</v>
      </c>
      <c r="H434" t="str">
        <f>VLOOKUP(Tabla3[[#This Row],[DESCRIPCION MATERIAL]],'CODIGO MAT'!$C$2:$D$390,2,FALSE)</f>
        <v>AVI0000002</v>
      </c>
      <c r="J434">
        <v>1</v>
      </c>
      <c r="K434">
        <v>0</v>
      </c>
      <c r="L434" t="e">
        <v>#N/A</v>
      </c>
      <c r="M434" t="s">
        <v>992</v>
      </c>
      <c r="N434" t="e">
        <f>M434&amp;Tabla3[[#This Row],[CODIGO PRODUCTO TERMINADO]]&amp;"','"&amp;L434&amp;"',"&amp;Tabla3[[#This Row],[CANTIDAD MATERIAL (M)]]&amp;");"</f>
        <v>#N/A</v>
      </c>
    </row>
    <row r="435" spans="1:14" x14ac:dyDescent="0.25">
      <c r="A435" t="s">
        <v>1029</v>
      </c>
      <c r="B435" t="s">
        <v>63</v>
      </c>
      <c r="C435" t="s">
        <v>1021</v>
      </c>
      <c r="D435" t="s">
        <v>51</v>
      </c>
      <c r="E435" s="8" t="s">
        <v>35</v>
      </c>
      <c r="F435">
        <v>0.84</v>
      </c>
      <c r="G435" t="s">
        <v>78</v>
      </c>
      <c r="H435" t="str">
        <f>VLOOKUP(Tabla3[[#This Row],[DESCRIPCION MATERIAL]],'CODIGO MAT'!$C$2:$D$390,2,FALSE)</f>
        <v>AVI0000031</v>
      </c>
      <c r="J435">
        <v>1</v>
      </c>
      <c r="K435">
        <v>0.24</v>
      </c>
      <c r="L435" t="e">
        <v>#N/A</v>
      </c>
      <c r="M435" t="s">
        <v>992</v>
      </c>
      <c r="N435" t="e">
        <f>M435&amp;Tabla3[[#This Row],[CODIGO PRODUCTO TERMINADO]]&amp;"','"&amp;L435&amp;"',"&amp;Tabla3[[#This Row],[CANTIDAD MATERIAL (M)]]&amp;");"</f>
        <v>#N/A</v>
      </c>
    </row>
    <row r="436" spans="1:14" x14ac:dyDescent="0.25">
      <c r="A436" t="s">
        <v>1029</v>
      </c>
      <c r="B436" t="s">
        <v>63</v>
      </c>
      <c r="C436" t="s">
        <v>1021</v>
      </c>
      <c r="D436" t="s">
        <v>51</v>
      </c>
      <c r="E436" s="8" t="s">
        <v>996</v>
      </c>
      <c r="F436">
        <v>0.5</v>
      </c>
      <c r="G436" t="s">
        <v>78</v>
      </c>
      <c r="H436" t="str">
        <f>VLOOKUP(Tabla3[[#This Row],[DESCRIPCION MATERIAL]],'CODIGO MAT'!$C$2:$D$390,2,FALSE)</f>
        <v>AVI0000148</v>
      </c>
      <c r="J436">
        <v>1</v>
      </c>
      <c r="K436">
        <v>0</v>
      </c>
      <c r="L436" t="e">
        <v>#N/A</v>
      </c>
      <c r="M436" t="s">
        <v>992</v>
      </c>
      <c r="N436" t="e">
        <f>M436&amp;Tabla3[[#This Row],[CODIGO PRODUCTO TERMINADO]]&amp;"','"&amp;L436&amp;"',"&amp;Tabla3[[#This Row],[CANTIDAD MATERIAL (M)]]&amp;");"</f>
        <v>#N/A</v>
      </c>
    </row>
    <row r="437" spans="1:14" x14ac:dyDescent="0.25">
      <c r="A437" t="s">
        <v>1029</v>
      </c>
      <c r="B437" t="s">
        <v>63</v>
      </c>
      <c r="C437" t="s">
        <v>1021</v>
      </c>
      <c r="D437" t="s">
        <v>51</v>
      </c>
      <c r="E437" s="8" t="s">
        <v>398</v>
      </c>
      <c r="F437">
        <v>10</v>
      </c>
      <c r="G437" t="s">
        <v>396</v>
      </c>
      <c r="H437" t="str">
        <f>VLOOKUP(Tabla3[[#This Row],[DESCRIPCION MATERIAL]],'CODIGO MAT'!$C$2:$D$390,2,FALSE)</f>
        <v>AVI0000132</v>
      </c>
      <c r="L437" t="e">
        <v>#N/A</v>
      </c>
      <c r="M437" t="s">
        <v>992</v>
      </c>
      <c r="N437" t="e">
        <f>M437&amp;Tabla3[[#This Row],[CODIGO PRODUCTO TERMINADO]]&amp;"','"&amp;L437&amp;"',"&amp;Tabla3[[#This Row],[CANTIDAD MATERIAL (M)]]&amp;");"</f>
        <v>#N/A</v>
      </c>
    </row>
    <row r="438" spans="1:14" x14ac:dyDescent="0.25">
      <c r="A438" t="s">
        <v>1029</v>
      </c>
      <c r="B438" t="s">
        <v>63</v>
      </c>
      <c r="C438" t="s">
        <v>1021</v>
      </c>
      <c r="D438" t="s">
        <v>51</v>
      </c>
      <c r="E438" s="8" t="s">
        <v>36</v>
      </c>
      <c r="F438">
        <v>2</v>
      </c>
      <c r="G438" t="s">
        <v>396</v>
      </c>
      <c r="H438" t="str">
        <f>VLOOKUP(Tabla3[[#This Row],[DESCRIPCION MATERIAL]],'CODIGO MAT'!$C$2:$D$390,2,FALSE)</f>
        <v>AVI0000135</v>
      </c>
      <c r="L438" t="e">
        <v>#N/A</v>
      </c>
      <c r="M438" t="s">
        <v>992</v>
      </c>
      <c r="N438" t="e">
        <f>M438&amp;Tabla3[[#This Row],[CODIGO PRODUCTO TERMINADO]]&amp;"','"&amp;L438&amp;"',"&amp;Tabla3[[#This Row],[CANTIDAD MATERIAL (M)]]&amp;");"</f>
        <v>#N/A</v>
      </c>
    </row>
    <row r="439" spans="1:14" x14ac:dyDescent="0.25">
      <c r="A439" t="s">
        <v>1029</v>
      </c>
      <c r="B439" t="s">
        <v>63</v>
      </c>
      <c r="C439" t="s">
        <v>1021</v>
      </c>
      <c r="D439" t="s">
        <v>51</v>
      </c>
      <c r="E439" s="8" t="s">
        <v>1126</v>
      </c>
      <c r="F439">
        <v>2E-3</v>
      </c>
      <c r="G439" t="s">
        <v>396</v>
      </c>
      <c r="H439" t="str">
        <f>VLOOKUP(Tabla3[[#This Row],[DESCRIPCION MATERIAL]],'CODIGO MAT'!$C$2:$D$390,2,FALSE)</f>
        <v>AVI0000151</v>
      </c>
      <c r="L439" t="e">
        <v>#N/A</v>
      </c>
      <c r="M439" t="s">
        <v>992</v>
      </c>
      <c r="N439" t="e">
        <f>M439&amp;Tabla3[[#This Row],[CODIGO PRODUCTO TERMINADO]]&amp;"','"&amp;L439&amp;"',"&amp;Tabla3[[#This Row],[CANTIDAD MATERIAL (M)]]&amp;");"</f>
        <v>#N/A</v>
      </c>
    </row>
    <row r="440" spans="1:14" x14ac:dyDescent="0.25">
      <c r="A440" t="s">
        <v>1030</v>
      </c>
      <c r="B440" t="s">
        <v>63</v>
      </c>
      <c r="C440" t="s">
        <v>1022</v>
      </c>
      <c r="D440" t="s">
        <v>50</v>
      </c>
      <c r="E440" s="8" t="s">
        <v>32</v>
      </c>
      <c r="F440">
        <v>1.585</v>
      </c>
      <c r="G440" t="s">
        <v>78</v>
      </c>
      <c r="H440" t="str">
        <f>VLOOKUP(Tabla3[[#This Row],[DESCRIPCION MATERIAL]],'CODIGO MAT'!$C$2:$D$390,2,FALSE)</f>
        <v>TEL0000041</v>
      </c>
      <c r="J440">
        <v>1</v>
      </c>
      <c r="K440">
        <v>0</v>
      </c>
      <c r="L440" t="e">
        <v>#N/A</v>
      </c>
      <c r="M440" t="s">
        <v>992</v>
      </c>
      <c r="N440" t="e">
        <f>M440&amp;Tabla3[[#This Row],[CODIGO PRODUCTO TERMINADO]]&amp;"','"&amp;L440&amp;"',"&amp;Tabla3[[#This Row],[CANTIDAD MATERIAL (M)]]&amp;");"</f>
        <v>#N/A</v>
      </c>
    </row>
    <row r="441" spans="1:14" x14ac:dyDescent="0.25">
      <c r="A441" t="s">
        <v>1030</v>
      </c>
      <c r="B441" t="s">
        <v>63</v>
      </c>
      <c r="C441" t="s">
        <v>1022</v>
      </c>
      <c r="D441" t="s">
        <v>50</v>
      </c>
      <c r="E441" s="8" t="s">
        <v>141</v>
      </c>
      <c r="F441">
        <v>0.10249999999999999</v>
      </c>
      <c r="G441" t="s">
        <v>78</v>
      </c>
      <c r="H441" t="str">
        <f>VLOOKUP(Tabla3[[#This Row],[DESCRIPCION MATERIAL]],'CODIGO MAT'!$C$2:$D$390,2,FALSE)</f>
        <v>TEL0000068</v>
      </c>
      <c r="J441">
        <v>1</v>
      </c>
      <c r="K441">
        <v>0</v>
      </c>
      <c r="L441" t="e">
        <v>#N/A</v>
      </c>
      <c r="M441" t="s">
        <v>992</v>
      </c>
      <c r="N441" t="e">
        <f>M441&amp;Tabla3[[#This Row],[CODIGO PRODUCTO TERMINADO]]&amp;"','"&amp;L441&amp;"',"&amp;Tabla3[[#This Row],[CANTIDAD MATERIAL (M)]]&amp;");"</f>
        <v>#N/A</v>
      </c>
    </row>
    <row r="442" spans="1:14" x14ac:dyDescent="0.25">
      <c r="A442" t="s">
        <v>1030</v>
      </c>
      <c r="B442" t="s">
        <v>63</v>
      </c>
      <c r="C442" t="s">
        <v>1022</v>
      </c>
      <c r="D442" t="s">
        <v>50</v>
      </c>
      <c r="E442" s="8" t="s">
        <v>104</v>
      </c>
      <c r="F442">
        <v>2.69E-2</v>
      </c>
      <c r="G442" t="s">
        <v>78</v>
      </c>
      <c r="H442" t="str">
        <f>VLOOKUP(Tabla3[[#This Row],[DESCRIPCION MATERIAL]],'CODIGO MAT'!$C$2:$D$390,2,FALSE)</f>
        <v>TEL0000027</v>
      </c>
      <c r="J442">
        <v>1</v>
      </c>
      <c r="K442">
        <v>0</v>
      </c>
      <c r="L442" t="e">
        <v>#N/A</v>
      </c>
      <c r="M442" t="s">
        <v>992</v>
      </c>
      <c r="N442" t="e">
        <f>M442&amp;Tabla3[[#This Row],[CODIGO PRODUCTO TERMINADO]]&amp;"','"&amp;L442&amp;"',"&amp;Tabla3[[#This Row],[CANTIDAD MATERIAL (M)]]&amp;");"</f>
        <v>#N/A</v>
      </c>
    </row>
    <row r="443" spans="1:14" x14ac:dyDescent="0.25">
      <c r="A443" t="s">
        <v>1030</v>
      </c>
      <c r="B443" t="s">
        <v>63</v>
      </c>
      <c r="C443" t="s">
        <v>1022</v>
      </c>
      <c r="D443" t="s">
        <v>50</v>
      </c>
      <c r="E443" s="8" t="s">
        <v>118</v>
      </c>
      <c r="F443">
        <v>6.8699999999999997E-2</v>
      </c>
      <c r="G443" t="s">
        <v>78</v>
      </c>
      <c r="H443" t="str">
        <f>VLOOKUP(Tabla3[[#This Row],[DESCRIPCION MATERIAL]],'CODIGO MAT'!$C$2:$D$390,2,FALSE)</f>
        <v>TEL0000045</v>
      </c>
      <c r="J443">
        <v>1</v>
      </c>
      <c r="K443">
        <v>0</v>
      </c>
      <c r="L443" t="e">
        <v>#N/A</v>
      </c>
      <c r="M443" t="s">
        <v>992</v>
      </c>
      <c r="N443" t="e">
        <f>M443&amp;Tabla3[[#This Row],[CODIGO PRODUCTO TERMINADO]]&amp;"','"&amp;L443&amp;"',"&amp;Tabla3[[#This Row],[CANTIDAD MATERIAL (M)]]&amp;");"</f>
        <v>#N/A</v>
      </c>
    </row>
    <row r="444" spans="1:14" x14ac:dyDescent="0.25">
      <c r="A444" t="s">
        <v>1030</v>
      </c>
      <c r="B444" t="s">
        <v>63</v>
      </c>
      <c r="C444" t="s">
        <v>1022</v>
      </c>
      <c r="D444" t="s">
        <v>51</v>
      </c>
      <c r="E444" s="8" t="s">
        <v>308</v>
      </c>
      <c r="F444">
        <v>1.8700000000000001E-2</v>
      </c>
      <c r="G444" t="s">
        <v>78</v>
      </c>
      <c r="H444" t="str">
        <f>VLOOKUP(Tabla3[[#This Row],[DESCRIPCION MATERIAL]],'CODIGO MAT'!$C$2:$D$390,2,FALSE)</f>
        <v>AVI0000053</v>
      </c>
      <c r="J444">
        <v>1</v>
      </c>
      <c r="K444">
        <v>0</v>
      </c>
      <c r="L444" t="e">
        <v>#N/A</v>
      </c>
      <c r="M444" t="s">
        <v>992</v>
      </c>
      <c r="N444" t="e">
        <f>M444&amp;Tabla3[[#This Row],[CODIGO PRODUCTO TERMINADO]]&amp;"','"&amp;L444&amp;"',"&amp;Tabla3[[#This Row],[CANTIDAD MATERIAL (M)]]&amp;");"</f>
        <v>#N/A</v>
      </c>
    </row>
    <row r="445" spans="1:14" x14ac:dyDescent="0.25">
      <c r="A445" t="s">
        <v>1030</v>
      </c>
      <c r="B445" t="s">
        <v>63</v>
      </c>
      <c r="C445" t="s">
        <v>1022</v>
      </c>
      <c r="D445" t="s">
        <v>51</v>
      </c>
      <c r="E445" s="8" t="s">
        <v>261</v>
      </c>
      <c r="F445">
        <v>1</v>
      </c>
      <c r="G445" t="s">
        <v>396</v>
      </c>
      <c r="H445" t="str">
        <f>VLOOKUP(Tabla3[[#This Row],[DESCRIPCION MATERIAL]],'CODIGO MAT'!$C$2:$D$390,2,FALSE)</f>
        <v>AVI0000002</v>
      </c>
      <c r="J445">
        <v>1</v>
      </c>
      <c r="K445">
        <v>0</v>
      </c>
      <c r="L445" t="e">
        <v>#N/A</v>
      </c>
      <c r="M445" t="s">
        <v>992</v>
      </c>
      <c r="N445" t="e">
        <f>M445&amp;Tabla3[[#This Row],[CODIGO PRODUCTO TERMINADO]]&amp;"','"&amp;L445&amp;"',"&amp;Tabla3[[#This Row],[CANTIDAD MATERIAL (M)]]&amp;");"</f>
        <v>#N/A</v>
      </c>
    </row>
    <row r="446" spans="1:14" x14ac:dyDescent="0.25">
      <c r="A446" t="s">
        <v>1030</v>
      </c>
      <c r="B446" t="s">
        <v>63</v>
      </c>
      <c r="C446" t="s">
        <v>1022</v>
      </c>
      <c r="D446" t="s">
        <v>51</v>
      </c>
      <c r="E446" s="8" t="s">
        <v>35</v>
      </c>
      <c r="F446">
        <v>0.84</v>
      </c>
      <c r="G446" t="s">
        <v>78</v>
      </c>
      <c r="H446" t="str">
        <f>VLOOKUP(Tabla3[[#This Row],[DESCRIPCION MATERIAL]],'CODIGO MAT'!$C$2:$D$390,2,FALSE)</f>
        <v>AVI0000031</v>
      </c>
      <c r="J446">
        <v>1</v>
      </c>
      <c r="K446">
        <v>0.24</v>
      </c>
      <c r="L446" t="e">
        <v>#N/A</v>
      </c>
      <c r="M446" t="s">
        <v>992</v>
      </c>
      <c r="N446" t="e">
        <f>M446&amp;Tabla3[[#This Row],[CODIGO PRODUCTO TERMINADO]]&amp;"','"&amp;L446&amp;"',"&amp;Tabla3[[#This Row],[CANTIDAD MATERIAL (M)]]&amp;");"</f>
        <v>#N/A</v>
      </c>
    </row>
    <row r="447" spans="1:14" x14ac:dyDescent="0.25">
      <c r="A447" t="s">
        <v>1030</v>
      </c>
      <c r="B447" t="s">
        <v>63</v>
      </c>
      <c r="C447" t="s">
        <v>1022</v>
      </c>
      <c r="D447" t="s">
        <v>51</v>
      </c>
      <c r="E447" s="8" t="s">
        <v>996</v>
      </c>
      <c r="F447">
        <v>0.5</v>
      </c>
      <c r="G447" t="s">
        <v>78</v>
      </c>
      <c r="H447" t="str">
        <f>VLOOKUP(Tabla3[[#This Row],[DESCRIPCION MATERIAL]],'CODIGO MAT'!$C$2:$D$390,2,FALSE)</f>
        <v>AVI0000148</v>
      </c>
      <c r="J447">
        <v>1</v>
      </c>
      <c r="K447">
        <v>0</v>
      </c>
      <c r="L447" t="e">
        <v>#N/A</v>
      </c>
      <c r="M447" t="s">
        <v>992</v>
      </c>
      <c r="N447" t="e">
        <f>M447&amp;Tabla3[[#This Row],[CODIGO PRODUCTO TERMINADO]]&amp;"','"&amp;L447&amp;"',"&amp;Tabla3[[#This Row],[CANTIDAD MATERIAL (M)]]&amp;");"</f>
        <v>#N/A</v>
      </c>
    </row>
    <row r="448" spans="1:14" x14ac:dyDescent="0.25">
      <c r="A448" t="s">
        <v>1030</v>
      </c>
      <c r="B448" t="s">
        <v>63</v>
      </c>
      <c r="C448" t="s">
        <v>1022</v>
      </c>
      <c r="D448" t="s">
        <v>51</v>
      </c>
      <c r="E448" s="8" t="s">
        <v>398</v>
      </c>
      <c r="F448">
        <v>10</v>
      </c>
      <c r="G448" t="s">
        <v>396</v>
      </c>
      <c r="H448" t="str">
        <f>VLOOKUP(Tabla3[[#This Row],[DESCRIPCION MATERIAL]],'CODIGO MAT'!$C$2:$D$390,2,FALSE)</f>
        <v>AVI0000132</v>
      </c>
      <c r="L448" t="e">
        <v>#N/A</v>
      </c>
      <c r="M448" t="s">
        <v>992</v>
      </c>
      <c r="N448" t="e">
        <f>M448&amp;Tabla3[[#This Row],[CODIGO PRODUCTO TERMINADO]]&amp;"','"&amp;L448&amp;"',"&amp;Tabla3[[#This Row],[CANTIDAD MATERIAL (M)]]&amp;");"</f>
        <v>#N/A</v>
      </c>
    </row>
    <row r="449" spans="1:14" x14ac:dyDescent="0.25">
      <c r="A449" t="s">
        <v>1030</v>
      </c>
      <c r="B449" t="s">
        <v>63</v>
      </c>
      <c r="C449" t="s">
        <v>1022</v>
      </c>
      <c r="D449" t="s">
        <v>51</v>
      </c>
      <c r="E449" s="8" t="s">
        <v>36</v>
      </c>
      <c r="F449">
        <v>2</v>
      </c>
      <c r="G449" t="s">
        <v>396</v>
      </c>
      <c r="H449" t="str">
        <f>VLOOKUP(Tabla3[[#This Row],[DESCRIPCION MATERIAL]],'CODIGO MAT'!$C$2:$D$390,2,FALSE)</f>
        <v>AVI0000135</v>
      </c>
      <c r="L449" t="e">
        <v>#N/A</v>
      </c>
      <c r="M449" t="s">
        <v>992</v>
      </c>
      <c r="N449" t="e">
        <f>M449&amp;Tabla3[[#This Row],[CODIGO PRODUCTO TERMINADO]]&amp;"','"&amp;L449&amp;"',"&amp;Tabla3[[#This Row],[CANTIDAD MATERIAL (M)]]&amp;");"</f>
        <v>#N/A</v>
      </c>
    </row>
    <row r="450" spans="1:14" x14ac:dyDescent="0.25">
      <c r="A450" t="s">
        <v>1030</v>
      </c>
      <c r="B450" t="s">
        <v>63</v>
      </c>
      <c r="C450" t="s">
        <v>1022</v>
      </c>
      <c r="D450" t="s">
        <v>51</v>
      </c>
      <c r="E450" s="8" t="s">
        <v>1126</v>
      </c>
      <c r="F450">
        <v>2E-3</v>
      </c>
      <c r="G450" t="s">
        <v>396</v>
      </c>
      <c r="H450" t="str">
        <f>VLOOKUP(Tabla3[[#This Row],[DESCRIPCION MATERIAL]],'CODIGO MAT'!$C$2:$D$390,2,FALSE)</f>
        <v>AVI0000151</v>
      </c>
      <c r="L450" t="e">
        <v>#N/A</v>
      </c>
      <c r="M450" t="s">
        <v>992</v>
      </c>
      <c r="N450" t="e">
        <f>M450&amp;Tabla3[[#This Row],[CODIGO PRODUCTO TERMINADO]]&amp;"','"&amp;L450&amp;"',"&amp;Tabla3[[#This Row],[CANTIDAD MATERIAL (M)]]&amp;");"</f>
        <v>#N/A</v>
      </c>
    </row>
    <row r="451" spans="1:14" x14ac:dyDescent="0.25">
      <c r="A451" t="s">
        <v>1031</v>
      </c>
      <c r="B451" t="s">
        <v>63</v>
      </c>
      <c r="C451" t="s">
        <v>1023</v>
      </c>
      <c r="D451" t="s">
        <v>50</v>
      </c>
      <c r="E451" s="8" t="s">
        <v>32</v>
      </c>
      <c r="F451">
        <v>1.75</v>
      </c>
      <c r="G451" t="s">
        <v>78</v>
      </c>
      <c r="H451" t="str">
        <f>VLOOKUP(Tabla3[[#This Row],[DESCRIPCION MATERIAL]],'CODIGO MAT'!$C$2:$D$390,2,FALSE)</f>
        <v>TEL0000041</v>
      </c>
      <c r="J451">
        <v>1</v>
      </c>
      <c r="K451">
        <v>0</v>
      </c>
      <c r="L451" t="e">
        <v>#N/A</v>
      </c>
      <c r="M451" t="s">
        <v>992</v>
      </c>
      <c r="N451" t="e">
        <f>M451&amp;Tabla3[[#This Row],[CODIGO PRODUCTO TERMINADO]]&amp;"','"&amp;L451&amp;"',"&amp;Tabla3[[#This Row],[CANTIDAD MATERIAL (M)]]&amp;");"</f>
        <v>#N/A</v>
      </c>
    </row>
    <row r="452" spans="1:14" x14ac:dyDescent="0.25">
      <c r="A452" t="s">
        <v>1031</v>
      </c>
      <c r="B452" t="s">
        <v>63</v>
      </c>
      <c r="C452" t="s">
        <v>1023</v>
      </c>
      <c r="D452" t="s">
        <v>50</v>
      </c>
      <c r="E452" s="8" t="s">
        <v>141</v>
      </c>
      <c r="F452">
        <v>0.10249999999999999</v>
      </c>
      <c r="G452" t="s">
        <v>78</v>
      </c>
      <c r="H452" t="str">
        <f>VLOOKUP(Tabla3[[#This Row],[DESCRIPCION MATERIAL]],'CODIGO MAT'!$C$2:$D$390,2,FALSE)</f>
        <v>TEL0000068</v>
      </c>
      <c r="J452">
        <v>1</v>
      </c>
      <c r="K452">
        <v>0</v>
      </c>
      <c r="L452" t="e">
        <v>#N/A</v>
      </c>
      <c r="M452" t="s">
        <v>992</v>
      </c>
      <c r="N452" t="e">
        <f>M452&amp;Tabla3[[#This Row],[CODIGO PRODUCTO TERMINADO]]&amp;"','"&amp;L452&amp;"',"&amp;Tabla3[[#This Row],[CANTIDAD MATERIAL (M)]]&amp;");"</f>
        <v>#N/A</v>
      </c>
    </row>
    <row r="453" spans="1:14" x14ac:dyDescent="0.25">
      <c r="A453" t="s">
        <v>1031</v>
      </c>
      <c r="B453" t="s">
        <v>63</v>
      </c>
      <c r="C453" t="s">
        <v>1023</v>
      </c>
      <c r="D453" t="s">
        <v>50</v>
      </c>
      <c r="E453" s="8" t="s">
        <v>104</v>
      </c>
      <c r="F453">
        <v>2.69E-2</v>
      </c>
      <c r="G453" t="s">
        <v>78</v>
      </c>
      <c r="H453" t="str">
        <f>VLOOKUP(Tabla3[[#This Row],[DESCRIPCION MATERIAL]],'CODIGO MAT'!$C$2:$D$390,2,FALSE)</f>
        <v>TEL0000027</v>
      </c>
      <c r="J453">
        <v>1</v>
      </c>
      <c r="K453">
        <v>0</v>
      </c>
      <c r="L453" t="e">
        <v>#N/A</v>
      </c>
      <c r="M453" t="s">
        <v>992</v>
      </c>
      <c r="N453" t="e">
        <f>M453&amp;Tabla3[[#This Row],[CODIGO PRODUCTO TERMINADO]]&amp;"','"&amp;L453&amp;"',"&amp;Tabla3[[#This Row],[CANTIDAD MATERIAL (M)]]&amp;");"</f>
        <v>#N/A</v>
      </c>
    </row>
    <row r="454" spans="1:14" x14ac:dyDescent="0.25">
      <c r="A454" t="s">
        <v>1031</v>
      </c>
      <c r="B454" t="s">
        <v>63</v>
      </c>
      <c r="C454" t="s">
        <v>1023</v>
      </c>
      <c r="D454" t="s">
        <v>50</v>
      </c>
      <c r="E454" s="8" t="s">
        <v>118</v>
      </c>
      <c r="F454">
        <v>6.8699999999999997E-2</v>
      </c>
      <c r="G454" t="s">
        <v>78</v>
      </c>
      <c r="H454" t="str">
        <f>VLOOKUP(Tabla3[[#This Row],[DESCRIPCION MATERIAL]],'CODIGO MAT'!$C$2:$D$390,2,FALSE)</f>
        <v>TEL0000045</v>
      </c>
      <c r="J454">
        <v>1</v>
      </c>
      <c r="K454">
        <v>0</v>
      </c>
      <c r="L454" t="e">
        <v>#N/A</v>
      </c>
      <c r="M454" t="s">
        <v>992</v>
      </c>
      <c r="N454" t="e">
        <f>M454&amp;Tabla3[[#This Row],[CODIGO PRODUCTO TERMINADO]]&amp;"','"&amp;L454&amp;"',"&amp;Tabla3[[#This Row],[CANTIDAD MATERIAL (M)]]&amp;");"</f>
        <v>#N/A</v>
      </c>
    </row>
    <row r="455" spans="1:14" x14ac:dyDescent="0.25">
      <c r="A455" t="s">
        <v>1031</v>
      </c>
      <c r="B455" t="s">
        <v>63</v>
      </c>
      <c r="C455" t="s">
        <v>1023</v>
      </c>
      <c r="D455" t="s">
        <v>51</v>
      </c>
      <c r="E455" s="8" t="s">
        <v>308</v>
      </c>
      <c r="F455">
        <v>1.8700000000000001E-2</v>
      </c>
      <c r="G455" t="s">
        <v>78</v>
      </c>
      <c r="H455" t="str">
        <f>VLOOKUP(Tabla3[[#This Row],[DESCRIPCION MATERIAL]],'CODIGO MAT'!$C$2:$D$390,2,FALSE)</f>
        <v>AVI0000053</v>
      </c>
      <c r="J455">
        <v>1</v>
      </c>
      <c r="K455">
        <v>0</v>
      </c>
      <c r="L455" t="e">
        <v>#N/A</v>
      </c>
      <c r="M455" t="s">
        <v>992</v>
      </c>
      <c r="N455" t="e">
        <f>M455&amp;Tabla3[[#This Row],[CODIGO PRODUCTO TERMINADO]]&amp;"','"&amp;L455&amp;"',"&amp;Tabla3[[#This Row],[CANTIDAD MATERIAL (M)]]&amp;");"</f>
        <v>#N/A</v>
      </c>
    </row>
    <row r="456" spans="1:14" x14ac:dyDescent="0.25">
      <c r="A456" t="s">
        <v>1031</v>
      </c>
      <c r="B456" t="s">
        <v>63</v>
      </c>
      <c r="C456" t="s">
        <v>1023</v>
      </c>
      <c r="D456" t="s">
        <v>51</v>
      </c>
      <c r="E456" s="8" t="s">
        <v>261</v>
      </c>
      <c r="F456">
        <v>1</v>
      </c>
      <c r="G456" t="s">
        <v>396</v>
      </c>
      <c r="H456" t="str">
        <f>VLOOKUP(Tabla3[[#This Row],[DESCRIPCION MATERIAL]],'CODIGO MAT'!$C$2:$D$390,2,FALSE)</f>
        <v>AVI0000002</v>
      </c>
      <c r="J456">
        <v>1</v>
      </c>
      <c r="K456">
        <v>0</v>
      </c>
      <c r="L456" t="e">
        <v>#N/A</v>
      </c>
      <c r="M456" t="s">
        <v>992</v>
      </c>
      <c r="N456" t="e">
        <f>M456&amp;Tabla3[[#This Row],[CODIGO PRODUCTO TERMINADO]]&amp;"','"&amp;L456&amp;"',"&amp;Tabla3[[#This Row],[CANTIDAD MATERIAL (M)]]&amp;");"</f>
        <v>#N/A</v>
      </c>
    </row>
    <row r="457" spans="1:14" x14ac:dyDescent="0.25">
      <c r="A457" t="s">
        <v>1031</v>
      </c>
      <c r="B457" t="s">
        <v>63</v>
      </c>
      <c r="C457" t="s">
        <v>1023</v>
      </c>
      <c r="D457" t="s">
        <v>51</v>
      </c>
      <c r="E457" s="8" t="s">
        <v>35</v>
      </c>
      <c r="F457">
        <v>0.84</v>
      </c>
      <c r="G457" t="s">
        <v>78</v>
      </c>
      <c r="H457" t="str">
        <f>VLOOKUP(Tabla3[[#This Row],[DESCRIPCION MATERIAL]],'CODIGO MAT'!$C$2:$D$390,2,FALSE)</f>
        <v>AVI0000031</v>
      </c>
      <c r="J457">
        <v>1</v>
      </c>
      <c r="K457">
        <v>0.24</v>
      </c>
      <c r="L457" t="e">
        <v>#N/A</v>
      </c>
      <c r="M457" t="s">
        <v>992</v>
      </c>
      <c r="N457" t="e">
        <f>M457&amp;Tabla3[[#This Row],[CODIGO PRODUCTO TERMINADO]]&amp;"','"&amp;L457&amp;"',"&amp;Tabla3[[#This Row],[CANTIDAD MATERIAL (M)]]&amp;");"</f>
        <v>#N/A</v>
      </c>
    </row>
    <row r="458" spans="1:14" x14ac:dyDescent="0.25">
      <c r="A458" t="s">
        <v>1031</v>
      </c>
      <c r="B458" t="s">
        <v>63</v>
      </c>
      <c r="C458" t="s">
        <v>1023</v>
      </c>
      <c r="D458" t="s">
        <v>51</v>
      </c>
      <c r="E458" s="8" t="s">
        <v>996</v>
      </c>
      <c r="F458">
        <v>0.5</v>
      </c>
      <c r="G458" t="s">
        <v>78</v>
      </c>
      <c r="H458" t="str">
        <f>VLOOKUP(Tabla3[[#This Row],[DESCRIPCION MATERIAL]],'CODIGO MAT'!$C$2:$D$390,2,FALSE)</f>
        <v>AVI0000148</v>
      </c>
      <c r="J458">
        <v>1</v>
      </c>
      <c r="K458">
        <v>0</v>
      </c>
      <c r="L458" t="e">
        <v>#N/A</v>
      </c>
      <c r="M458" t="s">
        <v>992</v>
      </c>
      <c r="N458" t="e">
        <f>M458&amp;Tabla3[[#This Row],[CODIGO PRODUCTO TERMINADO]]&amp;"','"&amp;L458&amp;"',"&amp;Tabla3[[#This Row],[CANTIDAD MATERIAL (M)]]&amp;");"</f>
        <v>#N/A</v>
      </c>
    </row>
    <row r="459" spans="1:14" x14ac:dyDescent="0.25">
      <c r="A459" t="s">
        <v>1031</v>
      </c>
      <c r="B459" t="s">
        <v>63</v>
      </c>
      <c r="C459" t="s">
        <v>1023</v>
      </c>
      <c r="D459" t="s">
        <v>51</v>
      </c>
      <c r="E459" s="8" t="s">
        <v>398</v>
      </c>
      <c r="F459">
        <v>10</v>
      </c>
      <c r="G459" t="s">
        <v>396</v>
      </c>
      <c r="H459" t="str">
        <f>VLOOKUP(Tabla3[[#This Row],[DESCRIPCION MATERIAL]],'CODIGO MAT'!$C$2:$D$390,2,FALSE)</f>
        <v>AVI0000132</v>
      </c>
      <c r="L459" t="e">
        <v>#N/A</v>
      </c>
      <c r="M459" t="s">
        <v>992</v>
      </c>
      <c r="N459" t="e">
        <f>M459&amp;Tabla3[[#This Row],[CODIGO PRODUCTO TERMINADO]]&amp;"','"&amp;L459&amp;"',"&amp;Tabla3[[#This Row],[CANTIDAD MATERIAL (M)]]&amp;");"</f>
        <v>#N/A</v>
      </c>
    </row>
    <row r="460" spans="1:14" x14ac:dyDescent="0.25">
      <c r="A460" t="s">
        <v>1031</v>
      </c>
      <c r="B460" t="s">
        <v>63</v>
      </c>
      <c r="C460" t="s">
        <v>1023</v>
      </c>
      <c r="D460" t="s">
        <v>51</v>
      </c>
      <c r="E460" s="8" t="s">
        <v>36</v>
      </c>
      <c r="F460">
        <v>2</v>
      </c>
      <c r="G460" t="s">
        <v>396</v>
      </c>
      <c r="H460" t="str">
        <f>VLOOKUP(Tabla3[[#This Row],[DESCRIPCION MATERIAL]],'CODIGO MAT'!$C$2:$D$390,2,FALSE)</f>
        <v>AVI0000135</v>
      </c>
      <c r="L460" t="e">
        <v>#N/A</v>
      </c>
      <c r="M460" t="s">
        <v>992</v>
      </c>
      <c r="N460" t="e">
        <f>M460&amp;Tabla3[[#This Row],[CODIGO PRODUCTO TERMINADO]]&amp;"','"&amp;L460&amp;"',"&amp;Tabla3[[#This Row],[CANTIDAD MATERIAL (M)]]&amp;");"</f>
        <v>#N/A</v>
      </c>
    </row>
    <row r="461" spans="1:14" x14ac:dyDescent="0.25">
      <c r="A461" t="s">
        <v>1031</v>
      </c>
      <c r="B461" t="s">
        <v>63</v>
      </c>
      <c r="C461" t="s">
        <v>1023</v>
      </c>
      <c r="D461" t="s">
        <v>51</v>
      </c>
      <c r="E461" s="8" t="s">
        <v>1126</v>
      </c>
      <c r="F461">
        <v>2E-3</v>
      </c>
      <c r="G461" t="s">
        <v>396</v>
      </c>
      <c r="H461" t="str">
        <f>VLOOKUP(Tabla3[[#This Row],[DESCRIPCION MATERIAL]],'CODIGO MAT'!$C$2:$D$390,2,FALSE)</f>
        <v>AVI0000151</v>
      </c>
      <c r="L461" t="e">
        <v>#N/A</v>
      </c>
      <c r="M461" t="s">
        <v>992</v>
      </c>
      <c r="N461" t="e">
        <f>M461&amp;Tabla3[[#This Row],[CODIGO PRODUCTO TERMINADO]]&amp;"','"&amp;L461&amp;"',"&amp;Tabla3[[#This Row],[CANTIDAD MATERIAL (M)]]&amp;");"</f>
        <v>#N/A</v>
      </c>
    </row>
    <row r="462" spans="1:14" x14ac:dyDescent="0.25">
      <c r="A462" t="s">
        <v>1032</v>
      </c>
      <c r="B462" t="s">
        <v>63</v>
      </c>
      <c r="C462" t="s">
        <v>1024</v>
      </c>
      <c r="D462" t="s">
        <v>50</v>
      </c>
      <c r="E462" s="8" t="s">
        <v>32</v>
      </c>
      <c r="F462">
        <v>0</v>
      </c>
      <c r="G462" t="s">
        <v>78</v>
      </c>
      <c r="H462" t="str">
        <f>VLOOKUP(Tabla3[[#This Row],[DESCRIPCION MATERIAL]],'CODIGO MAT'!$C$2:$D$390,2,FALSE)</f>
        <v>TEL0000041</v>
      </c>
      <c r="J462">
        <v>1</v>
      </c>
      <c r="K462">
        <v>0</v>
      </c>
      <c r="L462" t="e">
        <v>#N/A</v>
      </c>
      <c r="M462" t="s">
        <v>992</v>
      </c>
      <c r="N462" t="e">
        <f>M462&amp;Tabla3[[#This Row],[CODIGO PRODUCTO TERMINADO]]&amp;"','"&amp;L462&amp;"',"&amp;Tabla3[[#This Row],[CANTIDAD MATERIAL (M)]]&amp;");"</f>
        <v>#N/A</v>
      </c>
    </row>
    <row r="463" spans="1:14" x14ac:dyDescent="0.25">
      <c r="A463" t="s">
        <v>1032</v>
      </c>
      <c r="B463" t="s">
        <v>63</v>
      </c>
      <c r="C463" t="s">
        <v>1024</v>
      </c>
      <c r="D463" t="s">
        <v>50</v>
      </c>
      <c r="E463" s="8" t="s">
        <v>141</v>
      </c>
      <c r="F463">
        <v>0</v>
      </c>
      <c r="G463" t="s">
        <v>78</v>
      </c>
      <c r="H463" t="str">
        <f>VLOOKUP(Tabla3[[#This Row],[DESCRIPCION MATERIAL]],'CODIGO MAT'!$C$2:$D$390,2,FALSE)</f>
        <v>TEL0000068</v>
      </c>
      <c r="J463">
        <v>1</v>
      </c>
      <c r="K463">
        <v>0</v>
      </c>
      <c r="L463" t="e">
        <v>#N/A</v>
      </c>
      <c r="M463" t="s">
        <v>992</v>
      </c>
      <c r="N463" t="e">
        <f>M463&amp;Tabla3[[#This Row],[CODIGO PRODUCTO TERMINADO]]&amp;"','"&amp;L463&amp;"',"&amp;Tabla3[[#This Row],[CANTIDAD MATERIAL (M)]]&amp;");"</f>
        <v>#N/A</v>
      </c>
    </row>
    <row r="464" spans="1:14" x14ac:dyDescent="0.25">
      <c r="A464" t="s">
        <v>1032</v>
      </c>
      <c r="B464" t="s">
        <v>63</v>
      </c>
      <c r="C464" t="s">
        <v>1024</v>
      </c>
      <c r="D464" t="s">
        <v>50</v>
      </c>
      <c r="E464" s="8" t="s">
        <v>104</v>
      </c>
      <c r="F464">
        <v>2.69E-2</v>
      </c>
      <c r="G464" t="s">
        <v>78</v>
      </c>
      <c r="H464" t="str">
        <f>VLOOKUP(Tabla3[[#This Row],[DESCRIPCION MATERIAL]],'CODIGO MAT'!$C$2:$D$390,2,FALSE)</f>
        <v>TEL0000027</v>
      </c>
      <c r="J464">
        <v>1</v>
      </c>
      <c r="K464">
        <v>0</v>
      </c>
      <c r="L464" t="e">
        <v>#N/A</v>
      </c>
      <c r="M464" t="s">
        <v>992</v>
      </c>
      <c r="N464" t="e">
        <f>M464&amp;Tabla3[[#This Row],[CODIGO PRODUCTO TERMINADO]]&amp;"','"&amp;L464&amp;"',"&amp;Tabla3[[#This Row],[CANTIDAD MATERIAL (M)]]&amp;");"</f>
        <v>#N/A</v>
      </c>
    </row>
    <row r="465" spans="1:14" x14ac:dyDescent="0.25">
      <c r="A465" t="s">
        <v>1032</v>
      </c>
      <c r="B465" t="s">
        <v>63</v>
      </c>
      <c r="C465" t="s">
        <v>1024</v>
      </c>
      <c r="D465" t="s">
        <v>50</v>
      </c>
      <c r="E465" s="8" t="s">
        <v>118</v>
      </c>
      <c r="F465">
        <v>6.8699999999999997E-2</v>
      </c>
      <c r="G465" t="s">
        <v>78</v>
      </c>
      <c r="H465" t="str">
        <f>VLOOKUP(Tabla3[[#This Row],[DESCRIPCION MATERIAL]],'CODIGO MAT'!$C$2:$D$390,2,FALSE)</f>
        <v>TEL0000045</v>
      </c>
      <c r="J465">
        <v>1</v>
      </c>
      <c r="K465">
        <v>0</v>
      </c>
      <c r="L465" t="e">
        <v>#N/A</v>
      </c>
      <c r="M465" t="s">
        <v>992</v>
      </c>
      <c r="N465" t="e">
        <f>M465&amp;Tabla3[[#This Row],[CODIGO PRODUCTO TERMINADO]]&amp;"','"&amp;L465&amp;"',"&amp;Tabla3[[#This Row],[CANTIDAD MATERIAL (M)]]&amp;");"</f>
        <v>#N/A</v>
      </c>
    </row>
    <row r="466" spans="1:14" x14ac:dyDescent="0.25">
      <c r="A466" t="s">
        <v>1032</v>
      </c>
      <c r="B466" t="s">
        <v>63</v>
      </c>
      <c r="C466" t="s">
        <v>1024</v>
      </c>
      <c r="D466" t="s">
        <v>51</v>
      </c>
      <c r="E466" s="8" t="s">
        <v>308</v>
      </c>
      <c r="F466">
        <v>1.8700000000000001E-2</v>
      </c>
      <c r="G466" t="s">
        <v>78</v>
      </c>
      <c r="H466" t="str">
        <f>VLOOKUP(Tabla3[[#This Row],[DESCRIPCION MATERIAL]],'CODIGO MAT'!$C$2:$D$390,2,FALSE)</f>
        <v>AVI0000053</v>
      </c>
      <c r="J466">
        <v>1</v>
      </c>
      <c r="K466">
        <v>0</v>
      </c>
      <c r="L466" t="e">
        <v>#N/A</v>
      </c>
      <c r="M466" t="s">
        <v>992</v>
      </c>
      <c r="N466" t="e">
        <f>M466&amp;Tabla3[[#This Row],[CODIGO PRODUCTO TERMINADO]]&amp;"','"&amp;L466&amp;"',"&amp;Tabla3[[#This Row],[CANTIDAD MATERIAL (M)]]&amp;");"</f>
        <v>#N/A</v>
      </c>
    </row>
    <row r="467" spans="1:14" x14ac:dyDescent="0.25">
      <c r="A467" t="s">
        <v>1032</v>
      </c>
      <c r="B467" t="s">
        <v>63</v>
      </c>
      <c r="C467" t="s">
        <v>1024</v>
      </c>
      <c r="D467" t="s">
        <v>51</v>
      </c>
      <c r="E467" s="8" t="s">
        <v>261</v>
      </c>
      <c r="F467">
        <v>1</v>
      </c>
      <c r="G467" t="s">
        <v>396</v>
      </c>
      <c r="H467" t="str">
        <f>VLOOKUP(Tabla3[[#This Row],[DESCRIPCION MATERIAL]],'CODIGO MAT'!$C$2:$D$390,2,FALSE)</f>
        <v>AVI0000002</v>
      </c>
      <c r="J467">
        <v>1</v>
      </c>
      <c r="K467">
        <v>0</v>
      </c>
      <c r="L467" t="e">
        <v>#N/A</v>
      </c>
      <c r="M467" t="s">
        <v>992</v>
      </c>
      <c r="N467" t="e">
        <f>M467&amp;Tabla3[[#This Row],[CODIGO PRODUCTO TERMINADO]]&amp;"','"&amp;L467&amp;"',"&amp;Tabla3[[#This Row],[CANTIDAD MATERIAL (M)]]&amp;");"</f>
        <v>#N/A</v>
      </c>
    </row>
    <row r="468" spans="1:14" x14ac:dyDescent="0.25">
      <c r="A468" t="s">
        <v>1032</v>
      </c>
      <c r="B468" t="s">
        <v>63</v>
      </c>
      <c r="C468" t="s">
        <v>1024</v>
      </c>
      <c r="D468" t="s">
        <v>51</v>
      </c>
      <c r="E468" s="8" t="s">
        <v>35</v>
      </c>
      <c r="F468">
        <v>0.84</v>
      </c>
      <c r="G468" t="s">
        <v>78</v>
      </c>
      <c r="H468" t="str">
        <f>VLOOKUP(Tabla3[[#This Row],[DESCRIPCION MATERIAL]],'CODIGO MAT'!$C$2:$D$390,2,FALSE)</f>
        <v>AVI0000031</v>
      </c>
      <c r="J468">
        <v>1</v>
      </c>
      <c r="K468">
        <v>0.24</v>
      </c>
      <c r="L468" t="e">
        <v>#N/A</v>
      </c>
      <c r="M468" t="s">
        <v>992</v>
      </c>
      <c r="N468" t="e">
        <f>M468&amp;Tabla3[[#This Row],[CODIGO PRODUCTO TERMINADO]]&amp;"','"&amp;L468&amp;"',"&amp;Tabla3[[#This Row],[CANTIDAD MATERIAL (M)]]&amp;");"</f>
        <v>#N/A</v>
      </c>
    </row>
    <row r="469" spans="1:14" x14ac:dyDescent="0.25">
      <c r="A469" t="s">
        <v>1032</v>
      </c>
      <c r="B469" t="s">
        <v>63</v>
      </c>
      <c r="C469" t="s">
        <v>1024</v>
      </c>
      <c r="D469" t="s">
        <v>51</v>
      </c>
      <c r="E469" s="8" t="s">
        <v>996</v>
      </c>
      <c r="F469">
        <v>0.5</v>
      </c>
      <c r="G469" t="s">
        <v>78</v>
      </c>
      <c r="H469" t="str">
        <f>VLOOKUP(Tabla3[[#This Row],[DESCRIPCION MATERIAL]],'CODIGO MAT'!$C$2:$D$390,2,FALSE)</f>
        <v>AVI0000148</v>
      </c>
      <c r="J469">
        <v>1</v>
      </c>
      <c r="K469">
        <v>0</v>
      </c>
      <c r="L469" t="e">
        <v>#N/A</v>
      </c>
      <c r="M469" t="s">
        <v>992</v>
      </c>
      <c r="N469" t="e">
        <f>M469&amp;Tabla3[[#This Row],[CODIGO PRODUCTO TERMINADO]]&amp;"','"&amp;L469&amp;"',"&amp;Tabla3[[#This Row],[CANTIDAD MATERIAL (M)]]&amp;");"</f>
        <v>#N/A</v>
      </c>
    </row>
    <row r="470" spans="1:14" x14ac:dyDescent="0.25">
      <c r="A470" t="s">
        <v>1032</v>
      </c>
      <c r="B470" t="s">
        <v>63</v>
      </c>
      <c r="C470" t="s">
        <v>1024</v>
      </c>
      <c r="D470" t="s">
        <v>51</v>
      </c>
      <c r="E470" s="8" t="s">
        <v>398</v>
      </c>
      <c r="F470">
        <v>9</v>
      </c>
      <c r="G470" t="s">
        <v>396</v>
      </c>
      <c r="H470" t="str">
        <f>VLOOKUP(Tabla3[[#This Row],[DESCRIPCION MATERIAL]],'CODIGO MAT'!$C$2:$D$390,2,FALSE)</f>
        <v>AVI0000132</v>
      </c>
      <c r="L470" t="e">
        <v>#N/A</v>
      </c>
      <c r="M470" t="s">
        <v>992</v>
      </c>
      <c r="N470" t="e">
        <f>M470&amp;Tabla3[[#This Row],[CODIGO PRODUCTO TERMINADO]]&amp;"','"&amp;L470&amp;"',"&amp;Tabla3[[#This Row],[CANTIDAD MATERIAL (M)]]&amp;");"</f>
        <v>#N/A</v>
      </c>
    </row>
    <row r="471" spans="1:14" x14ac:dyDescent="0.25">
      <c r="A471" t="s">
        <v>1032</v>
      </c>
      <c r="B471" t="s">
        <v>63</v>
      </c>
      <c r="C471" t="s">
        <v>1024</v>
      </c>
      <c r="D471" t="s">
        <v>51</v>
      </c>
      <c r="E471" s="8" t="s">
        <v>36</v>
      </c>
      <c r="F471">
        <v>2</v>
      </c>
      <c r="G471" t="s">
        <v>396</v>
      </c>
      <c r="H471" t="str">
        <f>VLOOKUP(Tabla3[[#This Row],[DESCRIPCION MATERIAL]],'CODIGO MAT'!$C$2:$D$390,2,FALSE)</f>
        <v>AVI0000135</v>
      </c>
      <c r="L471" t="e">
        <v>#N/A</v>
      </c>
      <c r="M471" t="s">
        <v>992</v>
      </c>
      <c r="N471" t="e">
        <f>M471&amp;Tabla3[[#This Row],[CODIGO PRODUCTO TERMINADO]]&amp;"','"&amp;L471&amp;"',"&amp;Tabla3[[#This Row],[CANTIDAD MATERIAL (M)]]&amp;");"</f>
        <v>#N/A</v>
      </c>
    </row>
    <row r="472" spans="1:14" x14ac:dyDescent="0.25">
      <c r="A472" t="s">
        <v>1032</v>
      </c>
      <c r="B472" t="s">
        <v>63</v>
      </c>
      <c r="C472" t="s">
        <v>1024</v>
      </c>
      <c r="D472" t="s">
        <v>51</v>
      </c>
      <c r="E472" s="8" t="s">
        <v>1126</v>
      </c>
      <c r="F472">
        <v>2E-3</v>
      </c>
      <c r="G472" t="s">
        <v>396</v>
      </c>
      <c r="H472" t="str">
        <f>VLOOKUP(Tabla3[[#This Row],[DESCRIPCION MATERIAL]],'CODIGO MAT'!$C$2:$D$390,2,FALSE)</f>
        <v>AVI0000151</v>
      </c>
      <c r="L472" t="e">
        <v>#N/A</v>
      </c>
      <c r="M472" t="s">
        <v>992</v>
      </c>
      <c r="N472" t="e">
        <f>M472&amp;Tabla3[[#This Row],[CODIGO PRODUCTO TERMINADO]]&amp;"','"&amp;L472&amp;"',"&amp;Tabla3[[#This Row],[CANTIDAD MATERIAL (M)]]&amp;");"</f>
        <v>#N/A</v>
      </c>
    </row>
    <row r="473" spans="1:14" x14ac:dyDescent="0.25">
      <c r="A473" t="s">
        <v>1033</v>
      </c>
      <c r="B473" t="s">
        <v>63</v>
      </c>
      <c r="C473" t="s">
        <v>1025</v>
      </c>
      <c r="D473" t="s">
        <v>50</v>
      </c>
      <c r="E473" s="8" t="s">
        <v>32</v>
      </c>
      <c r="F473">
        <v>0</v>
      </c>
      <c r="G473" t="s">
        <v>78</v>
      </c>
      <c r="H473" t="str">
        <f>VLOOKUP(Tabla3[[#This Row],[DESCRIPCION MATERIAL]],'CODIGO MAT'!$C$2:$D$390,2,FALSE)</f>
        <v>TEL0000041</v>
      </c>
      <c r="J473">
        <v>1</v>
      </c>
      <c r="K473">
        <v>0</v>
      </c>
      <c r="L473" t="e">
        <v>#N/A</v>
      </c>
      <c r="M473" t="s">
        <v>992</v>
      </c>
      <c r="N473" t="e">
        <f>M473&amp;Tabla3[[#This Row],[CODIGO PRODUCTO TERMINADO]]&amp;"','"&amp;L473&amp;"',"&amp;Tabla3[[#This Row],[CANTIDAD MATERIAL (M)]]&amp;");"</f>
        <v>#N/A</v>
      </c>
    </row>
    <row r="474" spans="1:14" x14ac:dyDescent="0.25">
      <c r="A474" t="s">
        <v>1033</v>
      </c>
      <c r="B474" t="s">
        <v>63</v>
      </c>
      <c r="C474" t="s">
        <v>1025</v>
      </c>
      <c r="D474" t="s">
        <v>50</v>
      </c>
      <c r="E474" s="8" t="s">
        <v>141</v>
      </c>
      <c r="F474">
        <v>0</v>
      </c>
      <c r="G474" t="s">
        <v>78</v>
      </c>
      <c r="H474" t="str">
        <f>VLOOKUP(Tabla3[[#This Row],[DESCRIPCION MATERIAL]],'CODIGO MAT'!$C$2:$D$390,2,FALSE)</f>
        <v>TEL0000068</v>
      </c>
      <c r="J474">
        <v>1</v>
      </c>
      <c r="K474">
        <v>0</v>
      </c>
      <c r="L474" t="e">
        <v>#N/A</v>
      </c>
      <c r="M474" t="s">
        <v>992</v>
      </c>
      <c r="N474" t="e">
        <f>M474&amp;Tabla3[[#This Row],[CODIGO PRODUCTO TERMINADO]]&amp;"','"&amp;L474&amp;"',"&amp;Tabla3[[#This Row],[CANTIDAD MATERIAL (M)]]&amp;");"</f>
        <v>#N/A</v>
      </c>
    </row>
    <row r="475" spans="1:14" x14ac:dyDescent="0.25">
      <c r="A475" t="s">
        <v>1033</v>
      </c>
      <c r="B475" t="s">
        <v>63</v>
      </c>
      <c r="C475" t="s">
        <v>1025</v>
      </c>
      <c r="D475" t="s">
        <v>50</v>
      </c>
      <c r="E475" s="8" t="s">
        <v>104</v>
      </c>
      <c r="F475">
        <v>2.69E-2</v>
      </c>
      <c r="G475" t="s">
        <v>78</v>
      </c>
      <c r="H475" t="str">
        <f>VLOOKUP(Tabla3[[#This Row],[DESCRIPCION MATERIAL]],'CODIGO MAT'!$C$2:$D$390,2,FALSE)</f>
        <v>TEL0000027</v>
      </c>
      <c r="J475">
        <v>1</v>
      </c>
      <c r="K475">
        <v>0</v>
      </c>
      <c r="L475" t="e">
        <v>#N/A</v>
      </c>
      <c r="M475" t="s">
        <v>992</v>
      </c>
      <c r="N475" t="e">
        <f>M475&amp;Tabla3[[#This Row],[CODIGO PRODUCTO TERMINADO]]&amp;"','"&amp;L475&amp;"',"&amp;Tabla3[[#This Row],[CANTIDAD MATERIAL (M)]]&amp;");"</f>
        <v>#N/A</v>
      </c>
    </row>
    <row r="476" spans="1:14" x14ac:dyDescent="0.25">
      <c r="A476" t="s">
        <v>1033</v>
      </c>
      <c r="B476" t="s">
        <v>63</v>
      </c>
      <c r="C476" t="s">
        <v>1025</v>
      </c>
      <c r="D476" t="s">
        <v>50</v>
      </c>
      <c r="E476" s="8" t="s">
        <v>118</v>
      </c>
      <c r="F476">
        <v>6.8699999999999997E-2</v>
      </c>
      <c r="G476" t="s">
        <v>78</v>
      </c>
      <c r="H476" t="str">
        <f>VLOOKUP(Tabla3[[#This Row],[DESCRIPCION MATERIAL]],'CODIGO MAT'!$C$2:$D$390,2,FALSE)</f>
        <v>TEL0000045</v>
      </c>
      <c r="J476">
        <v>1</v>
      </c>
      <c r="K476">
        <v>0</v>
      </c>
      <c r="L476" t="e">
        <v>#N/A</v>
      </c>
      <c r="M476" t="s">
        <v>992</v>
      </c>
      <c r="N476" t="e">
        <f>M476&amp;Tabla3[[#This Row],[CODIGO PRODUCTO TERMINADO]]&amp;"','"&amp;L476&amp;"',"&amp;Tabla3[[#This Row],[CANTIDAD MATERIAL (M)]]&amp;");"</f>
        <v>#N/A</v>
      </c>
    </row>
    <row r="477" spans="1:14" x14ac:dyDescent="0.25">
      <c r="A477" t="s">
        <v>1033</v>
      </c>
      <c r="B477" t="s">
        <v>63</v>
      </c>
      <c r="C477" t="s">
        <v>1025</v>
      </c>
      <c r="D477" t="s">
        <v>51</v>
      </c>
      <c r="E477" s="8" t="s">
        <v>308</v>
      </c>
      <c r="F477">
        <v>1.8700000000000001E-2</v>
      </c>
      <c r="G477" t="s">
        <v>78</v>
      </c>
      <c r="H477" t="str">
        <f>VLOOKUP(Tabla3[[#This Row],[DESCRIPCION MATERIAL]],'CODIGO MAT'!$C$2:$D$390,2,FALSE)</f>
        <v>AVI0000053</v>
      </c>
      <c r="J477">
        <v>1</v>
      </c>
      <c r="K477">
        <v>0</v>
      </c>
      <c r="L477" t="e">
        <v>#N/A</v>
      </c>
      <c r="M477" t="s">
        <v>992</v>
      </c>
      <c r="N477" t="e">
        <f>M477&amp;Tabla3[[#This Row],[CODIGO PRODUCTO TERMINADO]]&amp;"','"&amp;L477&amp;"',"&amp;Tabla3[[#This Row],[CANTIDAD MATERIAL (M)]]&amp;");"</f>
        <v>#N/A</v>
      </c>
    </row>
    <row r="478" spans="1:14" x14ac:dyDescent="0.25">
      <c r="A478" t="s">
        <v>1033</v>
      </c>
      <c r="B478" t="s">
        <v>63</v>
      </c>
      <c r="C478" t="s">
        <v>1025</v>
      </c>
      <c r="D478" t="s">
        <v>51</v>
      </c>
      <c r="E478" s="8" t="s">
        <v>261</v>
      </c>
      <c r="F478">
        <v>1</v>
      </c>
      <c r="G478" t="s">
        <v>396</v>
      </c>
      <c r="H478" t="str">
        <f>VLOOKUP(Tabla3[[#This Row],[DESCRIPCION MATERIAL]],'CODIGO MAT'!$C$2:$D$390,2,FALSE)</f>
        <v>AVI0000002</v>
      </c>
      <c r="J478">
        <v>1</v>
      </c>
      <c r="K478">
        <v>0</v>
      </c>
      <c r="L478" t="e">
        <v>#N/A</v>
      </c>
      <c r="M478" t="s">
        <v>992</v>
      </c>
      <c r="N478" t="e">
        <f>M478&amp;Tabla3[[#This Row],[CODIGO PRODUCTO TERMINADO]]&amp;"','"&amp;L478&amp;"',"&amp;Tabla3[[#This Row],[CANTIDAD MATERIAL (M)]]&amp;");"</f>
        <v>#N/A</v>
      </c>
    </row>
    <row r="479" spans="1:14" x14ac:dyDescent="0.25">
      <c r="A479" t="s">
        <v>1033</v>
      </c>
      <c r="B479" t="s">
        <v>63</v>
      </c>
      <c r="C479" t="s">
        <v>1025</v>
      </c>
      <c r="D479" t="s">
        <v>51</v>
      </c>
      <c r="E479" s="8" t="s">
        <v>35</v>
      </c>
      <c r="F479">
        <v>0.84</v>
      </c>
      <c r="G479" t="s">
        <v>78</v>
      </c>
      <c r="H479" t="str">
        <f>VLOOKUP(Tabla3[[#This Row],[DESCRIPCION MATERIAL]],'CODIGO MAT'!$C$2:$D$390,2,FALSE)</f>
        <v>AVI0000031</v>
      </c>
      <c r="J479">
        <v>1</v>
      </c>
      <c r="K479">
        <v>0.24</v>
      </c>
      <c r="L479" t="e">
        <v>#N/A</v>
      </c>
      <c r="M479" t="s">
        <v>992</v>
      </c>
      <c r="N479" t="e">
        <f>M479&amp;Tabla3[[#This Row],[CODIGO PRODUCTO TERMINADO]]&amp;"','"&amp;L479&amp;"',"&amp;Tabla3[[#This Row],[CANTIDAD MATERIAL (M)]]&amp;");"</f>
        <v>#N/A</v>
      </c>
    </row>
    <row r="480" spans="1:14" x14ac:dyDescent="0.25">
      <c r="A480" t="s">
        <v>1033</v>
      </c>
      <c r="B480" t="s">
        <v>63</v>
      </c>
      <c r="C480" t="s">
        <v>1025</v>
      </c>
      <c r="D480" t="s">
        <v>51</v>
      </c>
      <c r="E480" s="8" t="s">
        <v>996</v>
      </c>
      <c r="F480">
        <v>0.5</v>
      </c>
      <c r="G480" t="s">
        <v>78</v>
      </c>
      <c r="H480" t="str">
        <f>VLOOKUP(Tabla3[[#This Row],[DESCRIPCION MATERIAL]],'CODIGO MAT'!$C$2:$D$390,2,FALSE)</f>
        <v>AVI0000148</v>
      </c>
      <c r="J480">
        <v>1</v>
      </c>
      <c r="K480">
        <v>0</v>
      </c>
      <c r="L480" t="e">
        <v>#N/A</v>
      </c>
      <c r="M480" t="s">
        <v>992</v>
      </c>
      <c r="N480" t="e">
        <f>M480&amp;Tabla3[[#This Row],[CODIGO PRODUCTO TERMINADO]]&amp;"','"&amp;L480&amp;"',"&amp;Tabla3[[#This Row],[CANTIDAD MATERIAL (M)]]&amp;");"</f>
        <v>#N/A</v>
      </c>
    </row>
    <row r="481" spans="1:14" x14ac:dyDescent="0.25">
      <c r="A481" t="s">
        <v>1033</v>
      </c>
      <c r="B481" t="s">
        <v>63</v>
      </c>
      <c r="C481" t="s">
        <v>1025</v>
      </c>
      <c r="D481" t="s">
        <v>51</v>
      </c>
      <c r="E481" s="8" t="s">
        <v>398</v>
      </c>
      <c r="F481">
        <v>11</v>
      </c>
      <c r="G481" t="s">
        <v>396</v>
      </c>
      <c r="H481" t="str">
        <f>VLOOKUP(Tabla3[[#This Row],[DESCRIPCION MATERIAL]],'CODIGO MAT'!$C$2:$D$390,2,FALSE)</f>
        <v>AVI0000132</v>
      </c>
      <c r="L481" t="e">
        <v>#N/A</v>
      </c>
      <c r="M481" t="s">
        <v>992</v>
      </c>
      <c r="N481" t="e">
        <f>M481&amp;Tabla3[[#This Row],[CODIGO PRODUCTO TERMINADO]]&amp;"','"&amp;L481&amp;"',"&amp;Tabla3[[#This Row],[CANTIDAD MATERIAL (M)]]&amp;");"</f>
        <v>#N/A</v>
      </c>
    </row>
    <row r="482" spans="1:14" x14ac:dyDescent="0.25">
      <c r="A482" t="s">
        <v>1033</v>
      </c>
      <c r="B482" t="s">
        <v>63</v>
      </c>
      <c r="C482" t="s">
        <v>1025</v>
      </c>
      <c r="D482" t="s">
        <v>51</v>
      </c>
      <c r="E482" s="8" t="s">
        <v>36</v>
      </c>
      <c r="F482">
        <v>2</v>
      </c>
      <c r="G482" t="s">
        <v>396</v>
      </c>
      <c r="H482" t="str">
        <f>VLOOKUP(Tabla3[[#This Row],[DESCRIPCION MATERIAL]],'CODIGO MAT'!$C$2:$D$390,2,FALSE)</f>
        <v>AVI0000135</v>
      </c>
      <c r="L482" t="e">
        <v>#N/A</v>
      </c>
      <c r="M482" t="s">
        <v>992</v>
      </c>
      <c r="N482" t="e">
        <f>M482&amp;Tabla3[[#This Row],[CODIGO PRODUCTO TERMINADO]]&amp;"','"&amp;L482&amp;"',"&amp;Tabla3[[#This Row],[CANTIDAD MATERIAL (M)]]&amp;");"</f>
        <v>#N/A</v>
      </c>
    </row>
    <row r="483" spans="1:14" x14ac:dyDescent="0.25">
      <c r="A483" t="s">
        <v>1033</v>
      </c>
      <c r="B483" t="s">
        <v>63</v>
      </c>
      <c r="C483" t="s">
        <v>1025</v>
      </c>
      <c r="D483" t="s">
        <v>51</v>
      </c>
      <c r="E483" s="8" t="s">
        <v>1126</v>
      </c>
      <c r="F483">
        <v>2E-3</v>
      </c>
      <c r="G483" t="s">
        <v>396</v>
      </c>
      <c r="H483" t="str">
        <f>VLOOKUP(Tabla3[[#This Row],[DESCRIPCION MATERIAL]],'CODIGO MAT'!$C$2:$D$390,2,FALSE)</f>
        <v>AVI0000151</v>
      </c>
      <c r="L483" t="e">
        <v>#N/A</v>
      </c>
      <c r="M483" t="s">
        <v>992</v>
      </c>
      <c r="N483" t="e">
        <f>M483&amp;Tabla3[[#This Row],[CODIGO PRODUCTO TERMINADO]]&amp;"','"&amp;L483&amp;"',"&amp;Tabla3[[#This Row],[CANTIDAD MATERIAL (M)]]&amp;");"</f>
        <v>#N/A</v>
      </c>
    </row>
    <row r="484" spans="1:14" x14ac:dyDescent="0.25">
      <c r="A484" t="s">
        <v>1043</v>
      </c>
      <c r="B484" t="s">
        <v>63</v>
      </c>
      <c r="C484" t="s">
        <v>1034</v>
      </c>
      <c r="D484" t="s">
        <v>50</v>
      </c>
      <c r="E484" s="8" t="s">
        <v>12</v>
      </c>
      <c r="F484">
        <v>0.85499999999999998</v>
      </c>
      <c r="G484" t="s">
        <v>78</v>
      </c>
      <c r="H484" t="str">
        <f>VLOOKUP(Tabla3[[#This Row],[DESCRIPCION MATERIAL]],'CODIGO MAT'!$C$2:$D$390,2,FALSE)</f>
        <v>TEL0000040</v>
      </c>
      <c r="J484">
        <v>1</v>
      </c>
      <c r="K484">
        <v>0</v>
      </c>
      <c r="L484" t="e">
        <v>#N/A</v>
      </c>
      <c r="M484" t="s">
        <v>992</v>
      </c>
      <c r="N484" t="e">
        <f>M484&amp;Tabla3[[#This Row],[CODIGO PRODUCTO TERMINADO]]&amp;"','"&amp;L484&amp;"',"&amp;Tabla3[[#This Row],[CANTIDAD MATERIAL (M)]]&amp;");"</f>
        <v>#N/A</v>
      </c>
    </row>
    <row r="485" spans="1:14" x14ac:dyDescent="0.25">
      <c r="A485" t="s">
        <v>1043</v>
      </c>
      <c r="B485" t="s">
        <v>63</v>
      </c>
      <c r="C485" t="s">
        <v>1034</v>
      </c>
      <c r="D485" t="s">
        <v>50</v>
      </c>
      <c r="E485" s="8" t="s">
        <v>140</v>
      </c>
      <c r="F485">
        <v>0.10249999999999999</v>
      </c>
      <c r="G485" t="s">
        <v>78</v>
      </c>
      <c r="H485" t="str">
        <f>VLOOKUP(Tabla3[[#This Row],[DESCRIPCION MATERIAL]],'CODIGO MAT'!$C$2:$D$390,2,FALSE)</f>
        <v>TEL0000067</v>
      </c>
      <c r="J485">
        <v>1</v>
      </c>
      <c r="K485">
        <v>0</v>
      </c>
      <c r="L485" t="e">
        <v>#N/A</v>
      </c>
      <c r="M485" t="s">
        <v>992</v>
      </c>
      <c r="N485" t="e">
        <f>M485&amp;Tabla3[[#This Row],[CODIGO PRODUCTO TERMINADO]]&amp;"','"&amp;L485&amp;"',"&amp;Tabla3[[#This Row],[CANTIDAD MATERIAL (M)]]&amp;");"</f>
        <v>#N/A</v>
      </c>
    </row>
    <row r="486" spans="1:14" x14ac:dyDescent="0.25">
      <c r="A486" t="s">
        <v>1043</v>
      </c>
      <c r="B486" t="s">
        <v>63</v>
      </c>
      <c r="C486" t="s">
        <v>1034</v>
      </c>
      <c r="D486" t="s">
        <v>50</v>
      </c>
      <c r="E486" s="8" t="s">
        <v>104</v>
      </c>
      <c r="F486">
        <v>2.69E-2</v>
      </c>
      <c r="G486" t="s">
        <v>78</v>
      </c>
      <c r="H486" t="str">
        <f>VLOOKUP(Tabla3[[#This Row],[DESCRIPCION MATERIAL]],'CODIGO MAT'!$C$2:$D$390,2,FALSE)</f>
        <v>TEL0000027</v>
      </c>
      <c r="J486">
        <v>1</v>
      </c>
      <c r="K486">
        <v>0</v>
      </c>
      <c r="L486" t="e">
        <v>#N/A</v>
      </c>
      <c r="M486" t="s">
        <v>992</v>
      </c>
      <c r="N486" t="e">
        <f>M486&amp;Tabla3[[#This Row],[CODIGO PRODUCTO TERMINADO]]&amp;"','"&amp;L486&amp;"',"&amp;Tabla3[[#This Row],[CANTIDAD MATERIAL (M)]]&amp;");"</f>
        <v>#N/A</v>
      </c>
    </row>
    <row r="487" spans="1:14" x14ac:dyDescent="0.25">
      <c r="A487" t="s">
        <v>1043</v>
      </c>
      <c r="B487" t="s">
        <v>63</v>
      </c>
      <c r="C487" t="s">
        <v>1034</v>
      </c>
      <c r="D487" t="s">
        <v>50</v>
      </c>
      <c r="E487" s="8" t="s">
        <v>118</v>
      </c>
      <c r="F487">
        <v>6.8699999999999997E-2</v>
      </c>
      <c r="G487" t="s">
        <v>78</v>
      </c>
      <c r="H487" t="str">
        <f>VLOOKUP(Tabla3[[#This Row],[DESCRIPCION MATERIAL]],'CODIGO MAT'!$C$2:$D$390,2,FALSE)</f>
        <v>TEL0000045</v>
      </c>
      <c r="J487">
        <v>1</v>
      </c>
      <c r="K487">
        <v>0</v>
      </c>
      <c r="L487" t="e">
        <v>#N/A</v>
      </c>
      <c r="M487" t="s">
        <v>992</v>
      </c>
      <c r="N487" t="e">
        <f>M487&amp;Tabla3[[#This Row],[CODIGO PRODUCTO TERMINADO]]&amp;"','"&amp;L487&amp;"',"&amp;Tabla3[[#This Row],[CANTIDAD MATERIAL (M)]]&amp;");"</f>
        <v>#N/A</v>
      </c>
    </row>
    <row r="488" spans="1:14" x14ac:dyDescent="0.25">
      <c r="A488" t="s">
        <v>1043</v>
      </c>
      <c r="B488" t="s">
        <v>63</v>
      </c>
      <c r="C488" t="s">
        <v>1034</v>
      </c>
      <c r="D488" t="s">
        <v>51</v>
      </c>
      <c r="E488" s="8" t="s">
        <v>308</v>
      </c>
      <c r="F488">
        <v>1.8700000000000001E-2</v>
      </c>
      <c r="G488" t="s">
        <v>78</v>
      </c>
      <c r="H488" t="str">
        <f>VLOOKUP(Tabla3[[#This Row],[DESCRIPCION MATERIAL]],'CODIGO MAT'!$C$2:$D$390,2,FALSE)</f>
        <v>AVI0000053</v>
      </c>
      <c r="J488">
        <v>1</v>
      </c>
      <c r="K488">
        <v>0</v>
      </c>
      <c r="L488" t="e">
        <v>#N/A</v>
      </c>
      <c r="M488" t="s">
        <v>992</v>
      </c>
      <c r="N488" t="e">
        <f>M488&amp;Tabla3[[#This Row],[CODIGO PRODUCTO TERMINADO]]&amp;"','"&amp;L488&amp;"',"&amp;Tabla3[[#This Row],[CANTIDAD MATERIAL (M)]]&amp;");"</f>
        <v>#N/A</v>
      </c>
    </row>
    <row r="489" spans="1:14" x14ac:dyDescent="0.25">
      <c r="A489" t="s">
        <v>1043</v>
      </c>
      <c r="B489" t="s">
        <v>63</v>
      </c>
      <c r="C489" t="s">
        <v>1034</v>
      </c>
      <c r="D489" t="s">
        <v>51</v>
      </c>
      <c r="E489" s="8" t="s">
        <v>261</v>
      </c>
      <c r="F489">
        <v>1</v>
      </c>
      <c r="G489" t="s">
        <v>396</v>
      </c>
      <c r="H489" t="str">
        <f>VLOOKUP(Tabla3[[#This Row],[DESCRIPCION MATERIAL]],'CODIGO MAT'!$C$2:$D$390,2,FALSE)</f>
        <v>AVI0000002</v>
      </c>
      <c r="J489">
        <v>1</v>
      </c>
      <c r="K489">
        <v>0</v>
      </c>
      <c r="L489" t="e">
        <v>#N/A</v>
      </c>
      <c r="M489" t="s">
        <v>992</v>
      </c>
      <c r="N489" t="e">
        <f>M489&amp;Tabla3[[#This Row],[CODIGO PRODUCTO TERMINADO]]&amp;"','"&amp;L489&amp;"',"&amp;Tabla3[[#This Row],[CANTIDAD MATERIAL (M)]]&amp;");"</f>
        <v>#N/A</v>
      </c>
    </row>
    <row r="490" spans="1:14" x14ac:dyDescent="0.25">
      <c r="A490" t="s">
        <v>1043</v>
      </c>
      <c r="B490" t="s">
        <v>63</v>
      </c>
      <c r="C490" t="s">
        <v>1034</v>
      </c>
      <c r="D490" t="s">
        <v>51</v>
      </c>
      <c r="E490" s="8" t="s">
        <v>35</v>
      </c>
      <c r="F490">
        <v>0.82</v>
      </c>
      <c r="G490" t="s">
        <v>78</v>
      </c>
      <c r="H490" t="str">
        <f>VLOOKUP(Tabla3[[#This Row],[DESCRIPCION MATERIAL]],'CODIGO MAT'!$C$2:$D$390,2,FALSE)</f>
        <v>AVI0000031</v>
      </c>
      <c r="J490">
        <v>1</v>
      </c>
      <c r="K490">
        <v>0.24</v>
      </c>
      <c r="L490" t="e">
        <v>#N/A</v>
      </c>
      <c r="M490" t="s">
        <v>992</v>
      </c>
      <c r="N490" t="e">
        <f>M490&amp;Tabla3[[#This Row],[CODIGO PRODUCTO TERMINADO]]&amp;"','"&amp;L490&amp;"',"&amp;Tabla3[[#This Row],[CANTIDAD MATERIAL (M)]]&amp;");"</f>
        <v>#N/A</v>
      </c>
    </row>
    <row r="491" spans="1:14" x14ac:dyDescent="0.25">
      <c r="A491" t="s">
        <v>1043</v>
      </c>
      <c r="B491" t="s">
        <v>63</v>
      </c>
      <c r="C491" t="s">
        <v>1034</v>
      </c>
      <c r="D491" t="s">
        <v>51</v>
      </c>
      <c r="E491" s="8" t="s">
        <v>996</v>
      </c>
      <c r="F491">
        <v>0.5</v>
      </c>
      <c r="G491" t="s">
        <v>78</v>
      </c>
      <c r="H491" t="str">
        <f>VLOOKUP(Tabla3[[#This Row],[DESCRIPCION MATERIAL]],'CODIGO MAT'!$C$2:$D$390,2,FALSE)</f>
        <v>AVI0000148</v>
      </c>
      <c r="J491">
        <v>1</v>
      </c>
      <c r="K491">
        <v>0</v>
      </c>
      <c r="L491" t="e">
        <v>#N/A</v>
      </c>
      <c r="M491" t="s">
        <v>992</v>
      </c>
      <c r="N491" t="e">
        <f>M491&amp;Tabla3[[#This Row],[CODIGO PRODUCTO TERMINADO]]&amp;"','"&amp;L491&amp;"',"&amp;Tabla3[[#This Row],[CANTIDAD MATERIAL (M)]]&amp;");"</f>
        <v>#N/A</v>
      </c>
    </row>
    <row r="492" spans="1:14" x14ac:dyDescent="0.25">
      <c r="A492" t="s">
        <v>1043</v>
      </c>
      <c r="B492" t="s">
        <v>63</v>
      </c>
      <c r="C492" t="s">
        <v>1034</v>
      </c>
      <c r="D492" t="s">
        <v>51</v>
      </c>
      <c r="E492" s="8" t="s">
        <v>398</v>
      </c>
      <c r="F492">
        <v>9</v>
      </c>
      <c r="G492" t="s">
        <v>396</v>
      </c>
      <c r="H492" t="str">
        <f>VLOOKUP(Tabla3[[#This Row],[DESCRIPCION MATERIAL]],'CODIGO MAT'!$C$2:$D$390,2,FALSE)</f>
        <v>AVI0000132</v>
      </c>
      <c r="L492" t="e">
        <v>#N/A</v>
      </c>
      <c r="M492" t="s">
        <v>992</v>
      </c>
      <c r="N492" t="e">
        <f>M492&amp;Tabla3[[#This Row],[CODIGO PRODUCTO TERMINADO]]&amp;"','"&amp;L492&amp;"',"&amp;Tabla3[[#This Row],[CANTIDAD MATERIAL (M)]]&amp;");"</f>
        <v>#N/A</v>
      </c>
    </row>
    <row r="493" spans="1:14" x14ac:dyDescent="0.25">
      <c r="A493" t="s">
        <v>1043</v>
      </c>
      <c r="B493" t="s">
        <v>63</v>
      </c>
      <c r="C493" t="s">
        <v>1034</v>
      </c>
      <c r="D493" t="s">
        <v>51</v>
      </c>
      <c r="E493" s="8" t="s">
        <v>36</v>
      </c>
      <c r="F493">
        <v>2</v>
      </c>
      <c r="G493" t="s">
        <v>396</v>
      </c>
      <c r="H493" t="str">
        <f>VLOOKUP(Tabla3[[#This Row],[DESCRIPCION MATERIAL]],'CODIGO MAT'!$C$2:$D$390,2,FALSE)</f>
        <v>AVI0000135</v>
      </c>
      <c r="L493" t="e">
        <v>#N/A</v>
      </c>
      <c r="M493" t="s">
        <v>992</v>
      </c>
      <c r="N493" t="e">
        <f>M493&amp;Tabla3[[#This Row],[CODIGO PRODUCTO TERMINADO]]&amp;"','"&amp;L493&amp;"',"&amp;Tabla3[[#This Row],[CANTIDAD MATERIAL (M)]]&amp;");"</f>
        <v>#N/A</v>
      </c>
    </row>
    <row r="494" spans="1:14" x14ac:dyDescent="0.25">
      <c r="A494" t="s">
        <v>1043</v>
      </c>
      <c r="B494" t="s">
        <v>63</v>
      </c>
      <c r="C494" t="s">
        <v>1034</v>
      </c>
      <c r="D494" t="s">
        <v>51</v>
      </c>
      <c r="E494" s="8" t="s">
        <v>1126</v>
      </c>
      <c r="F494">
        <v>2E-3</v>
      </c>
      <c r="G494" t="s">
        <v>396</v>
      </c>
      <c r="H494" t="str">
        <f>VLOOKUP(Tabla3[[#This Row],[DESCRIPCION MATERIAL]],'CODIGO MAT'!$C$2:$D$390,2,FALSE)</f>
        <v>AVI0000151</v>
      </c>
      <c r="L494" t="e">
        <v>#N/A</v>
      </c>
      <c r="M494" t="s">
        <v>992</v>
      </c>
      <c r="N494" t="e">
        <f>M494&amp;Tabla3[[#This Row],[CODIGO PRODUCTO TERMINADO]]&amp;"','"&amp;L494&amp;"',"&amp;Tabla3[[#This Row],[CANTIDAD MATERIAL (M)]]&amp;");"</f>
        <v>#N/A</v>
      </c>
    </row>
    <row r="495" spans="1:14" x14ac:dyDescent="0.25">
      <c r="A495" t="s">
        <v>1044</v>
      </c>
      <c r="B495" t="s">
        <v>63</v>
      </c>
      <c r="C495" t="s">
        <v>1035</v>
      </c>
      <c r="D495" t="s">
        <v>50</v>
      </c>
      <c r="E495" s="8" t="s">
        <v>12</v>
      </c>
      <c r="F495">
        <v>0.99750000000000005</v>
      </c>
      <c r="G495" t="s">
        <v>78</v>
      </c>
      <c r="H495" t="str">
        <f>VLOOKUP(Tabla3[[#This Row],[DESCRIPCION MATERIAL]],'CODIGO MAT'!$C$2:$D$390,2,FALSE)</f>
        <v>TEL0000040</v>
      </c>
      <c r="J495">
        <v>1</v>
      </c>
      <c r="K495">
        <v>0</v>
      </c>
      <c r="L495" t="e">
        <v>#N/A</v>
      </c>
      <c r="M495" t="s">
        <v>992</v>
      </c>
      <c r="N495" t="e">
        <f>M495&amp;Tabla3[[#This Row],[CODIGO PRODUCTO TERMINADO]]&amp;"','"&amp;L495&amp;"',"&amp;Tabla3[[#This Row],[CANTIDAD MATERIAL (M)]]&amp;");"</f>
        <v>#N/A</v>
      </c>
    </row>
    <row r="496" spans="1:14" x14ac:dyDescent="0.25">
      <c r="A496" t="s">
        <v>1044</v>
      </c>
      <c r="B496" t="s">
        <v>63</v>
      </c>
      <c r="C496" t="s">
        <v>1035</v>
      </c>
      <c r="D496" t="s">
        <v>50</v>
      </c>
      <c r="E496" s="8" t="s">
        <v>140</v>
      </c>
      <c r="F496">
        <v>0.10249999999999999</v>
      </c>
      <c r="G496" t="s">
        <v>78</v>
      </c>
      <c r="H496" t="str">
        <f>VLOOKUP(Tabla3[[#This Row],[DESCRIPCION MATERIAL]],'CODIGO MAT'!$C$2:$D$390,2,FALSE)</f>
        <v>TEL0000067</v>
      </c>
      <c r="J496">
        <v>1</v>
      </c>
      <c r="K496">
        <v>0</v>
      </c>
      <c r="L496" t="e">
        <v>#N/A</v>
      </c>
      <c r="M496" t="s">
        <v>992</v>
      </c>
      <c r="N496" t="e">
        <f>M496&amp;Tabla3[[#This Row],[CODIGO PRODUCTO TERMINADO]]&amp;"','"&amp;L496&amp;"',"&amp;Tabla3[[#This Row],[CANTIDAD MATERIAL (M)]]&amp;");"</f>
        <v>#N/A</v>
      </c>
    </row>
    <row r="497" spans="1:14" x14ac:dyDescent="0.25">
      <c r="A497" t="s">
        <v>1044</v>
      </c>
      <c r="B497" t="s">
        <v>63</v>
      </c>
      <c r="C497" t="s">
        <v>1035</v>
      </c>
      <c r="D497" t="s">
        <v>50</v>
      </c>
      <c r="E497" s="8" t="s">
        <v>104</v>
      </c>
      <c r="F497">
        <v>2.69E-2</v>
      </c>
      <c r="G497" t="s">
        <v>78</v>
      </c>
      <c r="H497" t="str">
        <f>VLOOKUP(Tabla3[[#This Row],[DESCRIPCION MATERIAL]],'CODIGO MAT'!$C$2:$D$390,2,FALSE)</f>
        <v>TEL0000027</v>
      </c>
      <c r="J497">
        <v>1</v>
      </c>
      <c r="K497">
        <v>0</v>
      </c>
      <c r="L497" t="e">
        <v>#N/A</v>
      </c>
      <c r="M497" t="s">
        <v>992</v>
      </c>
      <c r="N497" t="e">
        <f>M497&amp;Tabla3[[#This Row],[CODIGO PRODUCTO TERMINADO]]&amp;"','"&amp;L497&amp;"',"&amp;Tabla3[[#This Row],[CANTIDAD MATERIAL (M)]]&amp;");"</f>
        <v>#N/A</v>
      </c>
    </row>
    <row r="498" spans="1:14" x14ac:dyDescent="0.25">
      <c r="A498" t="s">
        <v>1044</v>
      </c>
      <c r="B498" t="s">
        <v>63</v>
      </c>
      <c r="C498" t="s">
        <v>1035</v>
      </c>
      <c r="D498" t="s">
        <v>50</v>
      </c>
      <c r="E498" s="8" t="s">
        <v>118</v>
      </c>
      <c r="F498">
        <v>6.8699999999999997E-2</v>
      </c>
      <c r="G498" t="s">
        <v>78</v>
      </c>
      <c r="H498" t="str">
        <f>VLOOKUP(Tabla3[[#This Row],[DESCRIPCION MATERIAL]],'CODIGO MAT'!$C$2:$D$390,2,FALSE)</f>
        <v>TEL0000045</v>
      </c>
      <c r="J498">
        <v>1</v>
      </c>
      <c r="K498">
        <v>0</v>
      </c>
      <c r="L498" t="e">
        <v>#N/A</v>
      </c>
      <c r="M498" t="s">
        <v>992</v>
      </c>
      <c r="N498" t="e">
        <f>M498&amp;Tabla3[[#This Row],[CODIGO PRODUCTO TERMINADO]]&amp;"','"&amp;L498&amp;"',"&amp;Tabla3[[#This Row],[CANTIDAD MATERIAL (M)]]&amp;");"</f>
        <v>#N/A</v>
      </c>
    </row>
    <row r="499" spans="1:14" x14ac:dyDescent="0.25">
      <c r="A499" t="s">
        <v>1044</v>
      </c>
      <c r="B499" t="s">
        <v>63</v>
      </c>
      <c r="C499" t="s">
        <v>1035</v>
      </c>
      <c r="D499" t="s">
        <v>51</v>
      </c>
      <c r="E499" s="8" t="s">
        <v>308</v>
      </c>
      <c r="F499">
        <v>1.8700000000000001E-2</v>
      </c>
      <c r="G499" t="s">
        <v>78</v>
      </c>
      <c r="H499" t="str">
        <f>VLOOKUP(Tabla3[[#This Row],[DESCRIPCION MATERIAL]],'CODIGO MAT'!$C$2:$D$390,2,FALSE)</f>
        <v>AVI0000053</v>
      </c>
      <c r="J499">
        <v>1</v>
      </c>
      <c r="K499">
        <v>0</v>
      </c>
      <c r="L499" t="e">
        <v>#N/A</v>
      </c>
      <c r="M499" t="s">
        <v>992</v>
      </c>
      <c r="N499" t="e">
        <f>M499&amp;Tabla3[[#This Row],[CODIGO PRODUCTO TERMINADO]]&amp;"','"&amp;L499&amp;"',"&amp;Tabla3[[#This Row],[CANTIDAD MATERIAL (M)]]&amp;");"</f>
        <v>#N/A</v>
      </c>
    </row>
    <row r="500" spans="1:14" x14ac:dyDescent="0.25">
      <c r="A500" t="s">
        <v>1044</v>
      </c>
      <c r="B500" t="s">
        <v>63</v>
      </c>
      <c r="C500" t="s">
        <v>1035</v>
      </c>
      <c r="D500" t="s">
        <v>51</v>
      </c>
      <c r="E500" s="8" t="s">
        <v>261</v>
      </c>
      <c r="F500">
        <v>1</v>
      </c>
      <c r="G500" t="s">
        <v>396</v>
      </c>
      <c r="H500" t="str">
        <f>VLOOKUP(Tabla3[[#This Row],[DESCRIPCION MATERIAL]],'CODIGO MAT'!$C$2:$D$390,2,FALSE)</f>
        <v>AVI0000002</v>
      </c>
      <c r="J500">
        <v>1</v>
      </c>
      <c r="K500">
        <v>0</v>
      </c>
      <c r="L500" t="e">
        <v>#N/A</v>
      </c>
      <c r="M500" t="s">
        <v>992</v>
      </c>
      <c r="N500" t="e">
        <f>M500&amp;Tabla3[[#This Row],[CODIGO PRODUCTO TERMINADO]]&amp;"','"&amp;L500&amp;"',"&amp;Tabla3[[#This Row],[CANTIDAD MATERIAL (M)]]&amp;");"</f>
        <v>#N/A</v>
      </c>
    </row>
    <row r="501" spans="1:14" x14ac:dyDescent="0.25">
      <c r="A501" t="s">
        <v>1044</v>
      </c>
      <c r="B501" t="s">
        <v>63</v>
      </c>
      <c r="C501" t="s">
        <v>1035</v>
      </c>
      <c r="D501" t="s">
        <v>51</v>
      </c>
      <c r="E501" s="8" t="s">
        <v>35</v>
      </c>
      <c r="F501">
        <v>0.84</v>
      </c>
      <c r="G501" t="s">
        <v>78</v>
      </c>
      <c r="H501" t="str">
        <f>VLOOKUP(Tabla3[[#This Row],[DESCRIPCION MATERIAL]],'CODIGO MAT'!$C$2:$D$390,2,FALSE)</f>
        <v>AVI0000031</v>
      </c>
      <c r="J501">
        <v>1</v>
      </c>
      <c r="K501">
        <v>0.24</v>
      </c>
      <c r="L501" t="e">
        <v>#N/A</v>
      </c>
      <c r="M501" t="s">
        <v>992</v>
      </c>
      <c r="N501" t="e">
        <f>M501&amp;Tabla3[[#This Row],[CODIGO PRODUCTO TERMINADO]]&amp;"','"&amp;L501&amp;"',"&amp;Tabla3[[#This Row],[CANTIDAD MATERIAL (M)]]&amp;");"</f>
        <v>#N/A</v>
      </c>
    </row>
    <row r="502" spans="1:14" x14ac:dyDescent="0.25">
      <c r="A502" t="s">
        <v>1044</v>
      </c>
      <c r="B502" t="s">
        <v>63</v>
      </c>
      <c r="C502" t="s">
        <v>1035</v>
      </c>
      <c r="D502" t="s">
        <v>51</v>
      </c>
      <c r="E502" s="8" t="s">
        <v>996</v>
      </c>
      <c r="F502">
        <v>0.5</v>
      </c>
      <c r="G502" t="s">
        <v>78</v>
      </c>
      <c r="H502" t="str">
        <f>VLOOKUP(Tabla3[[#This Row],[DESCRIPCION MATERIAL]],'CODIGO MAT'!$C$2:$D$390,2,FALSE)</f>
        <v>AVI0000148</v>
      </c>
      <c r="J502">
        <v>1</v>
      </c>
      <c r="K502">
        <v>0</v>
      </c>
      <c r="L502" t="e">
        <v>#N/A</v>
      </c>
      <c r="M502" t="s">
        <v>992</v>
      </c>
      <c r="N502" t="e">
        <f>M502&amp;Tabla3[[#This Row],[CODIGO PRODUCTO TERMINADO]]&amp;"','"&amp;L502&amp;"',"&amp;Tabla3[[#This Row],[CANTIDAD MATERIAL (M)]]&amp;");"</f>
        <v>#N/A</v>
      </c>
    </row>
    <row r="503" spans="1:14" x14ac:dyDescent="0.25">
      <c r="A503" t="s">
        <v>1044</v>
      </c>
      <c r="B503" t="s">
        <v>63</v>
      </c>
      <c r="C503" t="s">
        <v>1035</v>
      </c>
      <c r="D503" t="s">
        <v>51</v>
      </c>
      <c r="E503" s="8" t="s">
        <v>398</v>
      </c>
      <c r="F503">
        <v>9</v>
      </c>
      <c r="G503" t="s">
        <v>396</v>
      </c>
      <c r="H503" t="str">
        <f>VLOOKUP(Tabla3[[#This Row],[DESCRIPCION MATERIAL]],'CODIGO MAT'!$C$2:$D$390,2,FALSE)</f>
        <v>AVI0000132</v>
      </c>
      <c r="L503" t="e">
        <v>#N/A</v>
      </c>
      <c r="M503" t="s">
        <v>992</v>
      </c>
      <c r="N503" t="e">
        <f>M503&amp;Tabla3[[#This Row],[CODIGO PRODUCTO TERMINADO]]&amp;"','"&amp;L503&amp;"',"&amp;Tabla3[[#This Row],[CANTIDAD MATERIAL (M)]]&amp;");"</f>
        <v>#N/A</v>
      </c>
    </row>
    <row r="504" spans="1:14" x14ac:dyDescent="0.25">
      <c r="A504" t="s">
        <v>1044</v>
      </c>
      <c r="B504" t="s">
        <v>63</v>
      </c>
      <c r="C504" t="s">
        <v>1035</v>
      </c>
      <c r="D504" t="s">
        <v>51</v>
      </c>
      <c r="E504" s="8" t="s">
        <v>36</v>
      </c>
      <c r="F504">
        <v>2</v>
      </c>
      <c r="G504" t="s">
        <v>396</v>
      </c>
      <c r="H504" t="str">
        <f>VLOOKUP(Tabla3[[#This Row],[DESCRIPCION MATERIAL]],'CODIGO MAT'!$C$2:$D$390,2,FALSE)</f>
        <v>AVI0000135</v>
      </c>
      <c r="L504" t="e">
        <v>#N/A</v>
      </c>
      <c r="M504" t="s">
        <v>992</v>
      </c>
      <c r="N504" t="e">
        <f>M504&amp;Tabla3[[#This Row],[CODIGO PRODUCTO TERMINADO]]&amp;"','"&amp;L504&amp;"',"&amp;Tabla3[[#This Row],[CANTIDAD MATERIAL (M)]]&amp;");"</f>
        <v>#N/A</v>
      </c>
    </row>
    <row r="505" spans="1:14" x14ac:dyDescent="0.25">
      <c r="A505" t="s">
        <v>1044</v>
      </c>
      <c r="B505" t="s">
        <v>63</v>
      </c>
      <c r="C505" t="s">
        <v>1035</v>
      </c>
      <c r="D505" t="s">
        <v>51</v>
      </c>
      <c r="E505" s="8" t="s">
        <v>1126</v>
      </c>
      <c r="F505">
        <v>2E-3</v>
      </c>
      <c r="G505" t="s">
        <v>396</v>
      </c>
      <c r="H505" t="str">
        <f>VLOOKUP(Tabla3[[#This Row],[DESCRIPCION MATERIAL]],'CODIGO MAT'!$C$2:$D$390,2,FALSE)</f>
        <v>AVI0000151</v>
      </c>
      <c r="L505" t="e">
        <v>#N/A</v>
      </c>
      <c r="M505" t="s">
        <v>992</v>
      </c>
      <c r="N505" t="e">
        <f>M505&amp;Tabla3[[#This Row],[CODIGO PRODUCTO TERMINADO]]&amp;"','"&amp;L505&amp;"',"&amp;Tabla3[[#This Row],[CANTIDAD MATERIAL (M)]]&amp;");"</f>
        <v>#N/A</v>
      </c>
    </row>
    <row r="506" spans="1:14" x14ac:dyDescent="0.25">
      <c r="A506" t="s">
        <v>1045</v>
      </c>
      <c r="B506" t="s">
        <v>63</v>
      </c>
      <c r="C506" t="s">
        <v>1036</v>
      </c>
      <c r="D506" t="s">
        <v>50</v>
      </c>
      <c r="E506" s="8" t="s">
        <v>12</v>
      </c>
      <c r="F506">
        <v>1.145</v>
      </c>
      <c r="G506" t="s">
        <v>78</v>
      </c>
      <c r="H506" t="str">
        <f>VLOOKUP(Tabla3[[#This Row],[DESCRIPCION MATERIAL]],'CODIGO MAT'!$C$2:$D$390,2,FALSE)</f>
        <v>TEL0000040</v>
      </c>
      <c r="J506">
        <v>1</v>
      </c>
      <c r="K506">
        <v>0</v>
      </c>
      <c r="L506" t="e">
        <v>#N/A</v>
      </c>
      <c r="M506" t="s">
        <v>992</v>
      </c>
      <c r="N506" t="e">
        <f>M506&amp;Tabla3[[#This Row],[CODIGO PRODUCTO TERMINADO]]&amp;"','"&amp;L506&amp;"',"&amp;Tabla3[[#This Row],[CANTIDAD MATERIAL (M)]]&amp;");"</f>
        <v>#N/A</v>
      </c>
    </row>
    <row r="507" spans="1:14" x14ac:dyDescent="0.25">
      <c r="A507" t="s">
        <v>1045</v>
      </c>
      <c r="B507" t="s">
        <v>63</v>
      </c>
      <c r="C507" t="s">
        <v>1036</v>
      </c>
      <c r="D507" t="s">
        <v>50</v>
      </c>
      <c r="E507" s="8" t="s">
        <v>140</v>
      </c>
      <c r="F507">
        <v>0.10249999999999999</v>
      </c>
      <c r="G507" t="s">
        <v>78</v>
      </c>
      <c r="H507" t="str">
        <f>VLOOKUP(Tabla3[[#This Row],[DESCRIPCION MATERIAL]],'CODIGO MAT'!$C$2:$D$390,2,FALSE)</f>
        <v>TEL0000067</v>
      </c>
      <c r="J507">
        <v>1</v>
      </c>
      <c r="K507">
        <v>0</v>
      </c>
      <c r="L507" t="e">
        <v>#N/A</v>
      </c>
      <c r="M507" t="s">
        <v>992</v>
      </c>
      <c r="N507" t="e">
        <f>M507&amp;Tabla3[[#This Row],[CODIGO PRODUCTO TERMINADO]]&amp;"','"&amp;L507&amp;"',"&amp;Tabla3[[#This Row],[CANTIDAD MATERIAL (M)]]&amp;");"</f>
        <v>#N/A</v>
      </c>
    </row>
    <row r="508" spans="1:14" x14ac:dyDescent="0.25">
      <c r="A508" t="s">
        <v>1045</v>
      </c>
      <c r="B508" t="s">
        <v>63</v>
      </c>
      <c r="C508" t="s">
        <v>1036</v>
      </c>
      <c r="D508" t="s">
        <v>50</v>
      </c>
      <c r="E508" s="8" t="s">
        <v>104</v>
      </c>
      <c r="F508">
        <v>2.69E-2</v>
      </c>
      <c r="G508" t="s">
        <v>78</v>
      </c>
      <c r="H508" t="str">
        <f>VLOOKUP(Tabla3[[#This Row],[DESCRIPCION MATERIAL]],'CODIGO MAT'!$C$2:$D$390,2,FALSE)</f>
        <v>TEL0000027</v>
      </c>
      <c r="J508">
        <v>1</v>
      </c>
      <c r="K508">
        <v>0</v>
      </c>
      <c r="L508" t="e">
        <v>#N/A</v>
      </c>
      <c r="M508" t="s">
        <v>992</v>
      </c>
      <c r="N508" t="e">
        <f>M508&amp;Tabla3[[#This Row],[CODIGO PRODUCTO TERMINADO]]&amp;"','"&amp;L508&amp;"',"&amp;Tabla3[[#This Row],[CANTIDAD MATERIAL (M)]]&amp;");"</f>
        <v>#N/A</v>
      </c>
    </row>
    <row r="509" spans="1:14" x14ac:dyDescent="0.25">
      <c r="A509" t="s">
        <v>1045</v>
      </c>
      <c r="B509" t="s">
        <v>63</v>
      </c>
      <c r="C509" t="s">
        <v>1036</v>
      </c>
      <c r="D509" t="s">
        <v>50</v>
      </c>
      <c r="E509" s="8" t="s">
        <v>118</v>
      </c>
      <c r="F509">
        <v>6.8699999999999997E-2</v>
      </c>
      <c r="G509" t="s">
        <v>78</v>
      </c>
      <c r="H509" t="str">
        <f>VLOOKUP(Tabla3[[#This Row],[DESCRIPCION MATERIAL]],'CODIGO MAT'!$C$2:$D$390,2,FALSE)</f>
        <v>TEL0000045</v>
      </c>
      <c r="J509">
        <v>1</v>
      </c>
      <c r="K509">
        <v>0</v>
      </c>
      <c r="L509" t="e">
        <v>#N/A</v>
      </c>
      <c r="M509" t="s">
        <v>992</v>
      </c>
      <c r="N509" t="e">
        <f>M509&amp;Tabla3[[#This Row],[CODIGO PRODUCTO TERMINADO]]&amp;"','"&amp;L509&amp;"',"&amp;Tabla3[[#This Row],[CANTIDAD MATERIAL (M)]]&amp;");"</f>
        <v>#N/A</v>
      </c>
    </row>
    <row r="510" spans="1:14" x14ac:dyDescent="0.25">
      <c r="A510" t="s">
        <v>1045</v>
      </c>
      <c r="B510" t="s">
        <v>63</v>
      </c>
      <c r="C510" t="s">
        <v>1036</v>
      </c>
      <c r="D510" t="s">
        <v>51</v>
      </c>
      <c r="E510" s="8" t="s">
        <v>308</v>
      </c>
      <c r="F510">
        <v>1.8700000000000001E-2</v>
      </c>
      <c r="G510" t="s">
        <v>78</v>
      </c>
      <c r="H510" t="str">
        <f>VLOOKUP(Tabla3[[#This Row],[DESCRIPCION MATERIAL]],'CODIGO MAT'!$C$2:$D$390,2,FALSE)</f>
        <v>AVI0000053</v>
      </c>
      <c r="J510">
        <v>1</v>
      </c>
      <c r="K510">
        <v>0</v>
      </c>
      <c r="L510" t="e">
        <v>#N/A</v>
      </c>
      <c r="M510" t="s">
        <v>992</v>
      </c>
      <c r="N510" t="e">
        <f>M510&amp;Tabla3[[#This Row],[CODIGO PRODUCTO TERMINADO]]&amp;"','"&amp;L510&amp;"',"&amp;Tabla3[[#This Row],[CANTIDAD MATERIAL (M)]]&amp;");"</f>
        <v>#N/A</v>
      </c>
    </row>
    <row r="511" spans="1:14" x14ac:dyDescent="0.25">
      <c r="A511" t="s">
        <v>1045</v>
      </c>
      <c r="B511" t="s">
        <v>63</v>
      </c>
      <c r="C511" t="s">
        <v>1036</v>
      </c>
      <c r="D511" t="s">
        <v>51</v>
      </c>
      <c r="E511" s="8" t="s">
        <v>261</v>
      </c>
      <c r="F511">
        <v>1</v>
      </c>
      <c r="G511" t="s">
        <v>396</v>
      </c>
      <c r="H511" t="str">
        <f>VLOOKUP(Tabla3[[#This Row],[DESCRIPCION MATERIAL]],'CODIGO MAT'!$C$2:$D$390,2,FALSE)</f>
        <v>AVI0000002</v>
      </c>
      <c r="J511">
        <v>1</v>
      </c>
      <c r="K511">
        <v>0</v>
      </c>
      <c r="L511" t="e">
        <v>#N/A</v>
      </c>
      <c r="M511" t="s">
        <v>992</v>
      </c>
      <c r="N511" t="e">
        <f>M511&amp;Tabla3[[#This Row],[CODIGO PRODUCTO TERMINADO]]&amp;"','"&amp;L511&amp;"',"&amp;Tabla3[[#This Row],[CANTIDAD MATERIAL (M)]]&amp;");"</f>
        <v>#N/A</v>
      </c>
    </row>
    <row r="512" spans="1:14" x14ac:dyDescent="0.25">
      <c r="A512" t="s">
        <v>1045</v>
      </c>
      <c r="B512" t="s">
        <v>63</v>
      </c>
      <c r="C512" t="s">
        <v>1036</v>
      </c>
      <c r="D512" t="s">
        <v>51</v>
      </c>
      <c r="E512" s="8" t="s">
        <v>35</v>
      </c>
      <c r="F512">
        <v>0.84</v>
      </c>
      <c r="G512" t="s">
        <v>78</v>
      </c>
      <c r="H512" t="str">
        <f>VLOOKUP(Tabla3[[#This Row],[DESCRIPCION MATERIAL]],'CODIGO MAT'!$C$2:$D$390,2,FALSE)</f>
        <v>AVI0000031</v>
      </c>
      <c r="J512">
        <v>1</v>
      </c>
      <c r="K512">
        <v>0.24</v>
      </c>
      <c r="L512" t="e">
        <v>#N/A</v>
      </c>
      <c r="M512" t="s">
        <v>992</v>
      </c>
      <c r="N512" t="e">
        <f>M512&amp;Tabla3[[#This Row],[CODIGO PRODUCTO TERMINADO]]&amp;"','"&amp;L512&amp;"',"&amp;Tabla3[[#This Row],[CANTIDAD MATERIAL (M)]]&amp;");"</f>
        <v>#N/A</v>
      </c>
    </row>
    <row r="513" spans="1:14" x14ac:dyDescent="0.25">
      <c r="A513" t="s">
        <v>1045</v>
      </c>
      <c r="B513" t="s">
        <v>63</v>
      </c>
      <c r="C513" t="s">
        <v>1036</v>
      </c>
      <c r="D513" t="s">
        <v>51</v>
      </c>
      <c r="E513" s="8" t="s">
        <v>996</v>
      </c>
      <c r="F513">
        <v>0.5</v>
      </c>
      <c r="G513" t="s">
        <v>78</v>
      </c>
      <c r="H513" t="str">
        <f>VLOOKUP(Tabla3[[#This Row],[DESCRIPCION MATERIAL]],'CODIGO MAT'!$C$2:$D$390,2,FALSE)</f>
        <v>AVI0000148</v>
      </c>
      <c r="J513">
        <v>1</v>
      </c>
      <c r="K513">
        <v>0</v>
      </c>
      <c r="L513" t="e">
        <v>#N/A</v>
      </c>
      <c r="M513" t="s">
        <v>992</v>
      </c>
      <c r="N513" t="e">
        <f>M513&amp;Tabla3[[#This Row],[CODIGO PRODUCTO TERMINADO]]&amp;"','"&amp;L513&amp;"',"&amp;Tabla3[[#This Row],[CANTIDAD MATERIAL (M)]]&amp;");"</f>
        <v>#N/A</v>
      </c>
    </row>
    <row r="514" spans="1:14" x14ac:dyDescent="0.25">
      <c r="A514" t="s">
        <v>1045</v>
      </c>
      <c r="B514" t="s">
        <v>63</v>
      </c>
      <c r="C514" t="s">
        <v>1036</v>
      </c>
      <c r="D514" t="s">
        <v>51</v>
      </c>
      <c r="E514" s="8" t="s">
        <v>398</v>
      </c>
      <c r="F514">
        <v>9</v>
      </c>
      <c r="G514" t="s">
        <v>396</v>
      </c>
      <c r="H514" t="str">
        <f>VLOOKUP(Tabla3[[#This Row],[DESCRIPCION MATERIAL]],'CODIGO MAT'!$C$2:$D$390,2,FALSE)</f>
        <v>AVI0000132</v>
      </c>
      <c r="L514" t="e">
        <v>#N/A</v>
      </c>
      <c r="M514" t="s">
        <v>992</v>
      </c>
      <c r="N514" t="e">
        <f>M514&amp;Tabla3[[#This Row],[CODIGO PRODUCTO TERMINADO]]&amp;"','"&amp;L514&amp;"',"&amp;Tabla3[[#This Row],[CANTIDAD MATERIAL (M)]]&amp;");"</f>
        <v>#N/A</v>
      </c>
    </row>
    <row r="515" spans="1:14" x14ac:dyDescent="0.25">
      <c r="A515" t="s">
        <v>1045</v>
      </c>
      <c r="B515" t="s">
        <v>63</v>
      </c>
      <c r="C515" t="s">
        <v>1036</v>
      </c>
      <c r="D515" t="s">
        <v>51</v>
      </c>
      <c r="E515" s="8" t="s">
        <v>36</v>
      </c>
      <c r="F515">
        <v>2</v>
      </c>
      <c r="G515" t="s">
        <v>396</v>
      </c>
      <c r="H515" t="str">
        <f>VLOOKUP(Tabla3[[#This Row],[DESCRIPCION MATERIAL]],'CODIGO MAT'!$C$2:$D$390,2,FALSE)</f>
        <v>AVI0000135</v>
      </c>
      <c r="L515" t="e">
        <v>#N/A</v>
      </c>
      <c r="M515" t="s">
        <v>992</v>
      </c>
      <c r="N515" t="e">
        <f>M515&amp;Tabla3[[#This Row],[CODIGO PRODUCTO TERMINADO]]&amp;"','"&amp;L515&amp;"',"&amp;Tabla3[[#This Row],[CANTIDAD MATERIAL (M)]]&amp;");"</f>
        <v>#N/A</v>
      </c>
    </row>
    <row r="516" spans="1:14" x14ac:dyDescent="0.25">
      <c r="A516" t="s">
        <v>1045</v>
      </c>
      <c r="B516" t="s">
        <v>63</v>
      </c>
      <c r="C516" t="s">
        <v>1036</v>
      </c>
      <c r="D516" t="s">
        <v>51</v>
      </c>
      <c r="E516" s="8" t="s">
        <v>1126</v>
      </c>
      <c r="F516">
        <v>2E-3</v>
      </c>
      <c r="G516" t="s">
        <v>396</v>
      </c>
      <c r="H516" t="str">
        <f>VLOOKUP(Tabla3[[#This Row],[DESCRIPCION MATERIAL]],'CODIGO MAT'!$C$2:$D$390,2,FALSE)</f>
        <v>AVI0000151</v>
      </c>
      <c r="L516" t="e">
        <v>#N/A</v>
      </c>
      <c r="M516" t="s">
        <v>992</v>
      </c>
      <c r="N516" t="e">
        <f>M516&amp;Tabla3[[#This Row],[CODIGO PRODUCTO TERMINADO]]&amp;"','"&amp;L516&amp;"',"&amp;Tabla3[[#This Row],[CANTIDAD MATERIAL (M)]]&amp;");"</f>
        <v>#N/A</v>
      </c>
    </row>
    <row r="517" spans="1:14" x14ac:dyDescent="0.25">
      <c r="A517" t="s">
        <v>1046</v>
      </c>
      <c r="B517" t="s">
        <v>63</v>
      </c>
      <c r="C517" t="s">
        <v>1037</v>
      </c>
      <c r="D517" t="s">
        <v>50</v>
      </c>
      <c r="E517" s="8" t="s">
        <v>12</v>
      </c>
      <c r="F517">
        <v>1.28</v>
      </c>
      <c r="G517" t="s">
        <v>78</v>
      </c>
      <c r="H517" t="str">
        <f>VLOOKUP(Tabla3[[#This Row],[DESCRIPCION MATERIAL]],'CODIGO MAT'!$C$2:$D$390,2,FALSE)</f>
        <v>TEL0000040</v>
      </c>
      <c r="J517">
        <v>1</v>
      </c>
      <c r="K517">
        <v>0</v>
      </c>
      <c r="L517" t="e">
        <v>#N/A</v>
      </c>
      <c r="M517" t="s">
        <v>992</v>
      </c>
      <c r="N517" t="e">
        <f>M517&amp;Tabla3[[#This Row],[CODIGO PRODUCTO TERMINADO]]&amp;"','"&amp;L517&amp;"',"&amp;Tabla3[[#This Row],[CANTIDAD MATERIAL (M)]]&amp;");"</f>
        <v>#N/A</v>
      </c>
    </row>
    <row r="518" spans="1:14" x14ac:dyDescent="0.25">
      <c r="A518" t="s">
        <v>1046</v>
      </c>
      <c r="B518" t="s">
        <v>63</v>
      </c>
      <c r="C518" t="s">
        <v>1037</v>
      </c>
      <c r="D518" t="s">
        <v>50</v>
      </c>
      <c r="E518" s="8" t="s">
        <v>140</v>
      </c>
      <c r="F518">
        <v>0.10249999999999999</v>
      </c>
      <c r="G518" t="s">
        <v>78</v>
      </c>
      <c r="H518" t="str">
        <f>VLOOKUP(Tabla3[[#This Row],[DESCRIPCION MATERIAL]],'CODIGO MAT'!$C$2:$D$390,2,FALSE)</f>
        <v>TEL0000067</v>
      </c>
      <c r="J518">
        <v>1</v>
      </c>
      <c r="K518">
        <v>0</v>
      </c>
      <c r="L518" t="e">
        <v>#N/A</v>
      </c>
      <c r="M518" t="s">
        <v>992</v>
      </c>
      <c r="N518" t="e">
        <f>M518&amp;Tabla3[[#This Row],[CODIGO PRODUCTO TERMINADO]]&amp;"','"&amp;L518&amp;"',"&amp;Tabla3[[#This Row],[CANTIDAD MATERIAL (M)]]&amp;");"</f>
        <v>#N/A</v>
      </c>
    </row>
    <row r="519" spans="1:14" x14ac:dyDescent="0.25">
      <c r="A519" t="s">
        <v>1046</v>
      </c>
      <c r="B519" t="s">
        <v>63</v>
      </c>
      <c r="C519" t="s">
        <v>1037</v>
      </c>
      <c r="D519" t="s">
        <v>50</v>
      </c>
      <c r="E519" s="8" t="s">
        <v>104</v>
      </c>
      <c r="F519">
        <v>2.69E-2</v>
      </c>
      <c r="G519" t="s">
        <v>78</v>
      </c>
      <c r="H519" t="str">
        <f>VLOOKUP(Tabla3[[#This Row],[DESCRIPCION MATERIAL]],'CODIGO MAT'!$C$2:$D$390,2,FALSE)</f>
        <v>TEL0000027</v>
      </c>
      <c r="J519">
        <v>1</v>
      </c>
      <c r="K519">
        <v>0</v>
      </c>
      <c r="L519" t="e">
        <v>#N/A</v>
      </c>
      <c r="M519" t="s">
        <v>992</v>
      </c>
      <c r="N519" t="e">
        <f>M519&amp;Tabla3[[#This Row],[CODIGO PRODUCTO TERMINADO]]&amp;"','"&amp;L519&amp;"',"&amp;Tabla3[[#This Row],[CANTIDAD MATERIAL (M)]]&amp;");"</f>
        <v>#N/A</v>
      </c>
    </row>
    <row r="520" spans="1:14" x14ac:dyDescent="0.25">
      <c r="A520" t="s">
        <v>1046</v>
      </c>
      <c r="B520" t="s">
        <v>63</v>
      </c>
      <c r="C520" t="s">
        <v>1037</v>
      </c>
      <c r="D520" t="s">
        <v>50</v>
      </c>
      <c r="E520" s="8" t="s">
        <v>118</v>
      </c>
      <c r="F520">
        <v>6.8699999999999997E-2</v>
      </c>
      <c r="G520" t="s">
        <v>78</v>
      </c>
      <c r="H520" t="str">
        <f>VLOOKUP(Tabla3[[#This Row],[DESCRIPCION MATERIAL]],'CODIGO MAT'!$C$2:$D$390,2,FALSE)</f>
        <v>TEL0000045</v>
      </c>
      <c r="J520">
        <v>1</v>
      </c>
      <c r="K520">
        <v>0</v>
      </c>
      <c r="L520" t="e">
        <v>#N/A</v>
      </c>
      <c r="M520" t="s">
        <v>992</v>
      </c>
      <c r="N520" t="e">
        <f>M520&amp;Tabla3[[#This Row],[CODIGO PRODUCTO TERMINADO]]&amp;"','"&amp;L520&amp;"',"&amp;Tabla3[[#This Row],[CANTIDAD MATERIAL (M)]]&amp;");"</f>
        <v>#N/A</v>
      </c>
    </row>
    <row r="521" spans="1:14" x14ac:dyDescent="0.25">
      <c r="A521" t="s">
        <v>1046</v>
      </c>
      <c r="B521" t="s">
        <v>63</v>
      </c>
      <c r="C521" t="s">
        <v>1037</v>
      </c>
      <c r="D521" t="s">
        <v>51</v>
      </c>
      <c r="E521" s="8" t="s">
        <v>308</v>
      </c>
      <c r="F521">
        <v>1.8700000000000001E-2</v>
      </c>
      <c r="G521" t="s">
        <v>78</v>
      </c>
      <c r="H521" t="str">
        <f>VLOOKUP(Tabla3[[#This Row],[DESCRIPCION MATERIAL]],'CODIGO MAT'!$C$2:$D$390,2,FALSE)</f>
        <v>AVI0000053</v>
      </c>
      <c r="J521">
        <v>1</v>
      </c>
      <c r="K521">
        <v>0</v>
      </c>
      <c r="L521" t="e">
        <v>#N/A</v>
      </c>
      <c r="M521" t="s">
        <v>992</v>
      </c>
      <c r="N521" t="e">
        <f>M521&amp;Tabla3[[#This Row],[CODIGO PRODUCTO TERMINADO]]&amp;"','"&amp;L521&amp;"',"&amp;Tabla3[[#This Row],[CANTIDAD MATERIAL (M)]]&amp;");"</f>
        <v>#N/A</v>
      </c>
    </row>
    <row r="522" spans="1:14" x14ac:dyDescent="0.25">
      <c r="A522" t="s">
        <v>1046</v>
      </c>
      <c r="B522" t="s">
        <v>63</v>
      </c>
      <c r="C522" t="s">
        <v>1037</v>
      </c>
      <c r="D522" t="s">
        <v>51</v>
      </c>
      <c r="E522" s="8" t="s">
        <v>261</v>
      </c>
      <c r="F522">
        <v>1</v>
      </c>
      <c r="G522" t="s">
        <v>396</v>
      </c>
      <c r="H522" t="str">
        <f>VLOOKUP(Tabla3[[#This Row],[DESCRIPCION MATERIAL]],'CODIGO MAT'!$C$2:$D$390,2,FALSE)</f>
        <v>AVI0000002</v>
      </c>
      <c r="J522">
        <v>1</v>
      </c>
      <c r="K522">
        <v>0</v>
      </c>
      <c r="L522" t="e">
        <v>#N/A</v>
      </c>
      <c r="M522" t="s">
        <v>992</v>
      </c>
      <c r="N522" t="e">
        <f>M522&amp;Tabla3[[#This Row],[CODIGO PRODUCTO TERMINADO]]&amp;"','"&amp;L522&amp;"',"&amp;Tabla3[[#This Row],[CANTIDAD MATERIAL (M)]]&amp;");"</f>
        <v>#N/A</v>
      </c>
    </row>
    <row r="523" spans="1:14" x14ac:dyDescent="0.25">
      <c r="A523" t="s">
        <v>1046</v>
      </c>
      <c r="B523" t="s">
        <v>63</v>
      </c>
      <c r="C523" t="s">
        <v>1037</v>
      </c>
      <c r="D523" t="s">
        <v>51</v>
      </c>
      <c r="E523" s="8" t="s">
        <v>35</v>
      </c>
      <c r="F523">
        <v>0.84</v>
      </c>
      <c r="G523" t="s">
        <v>78</v>
      </c>
      <c r="H523" t="str">
        <f>VLOOKUP(Tabla3[[#This Row],[DESCRIPCION MATERIAL]],'CODIGO MAT'!$C$2:$D$390,2,FALSE)</f>
        <v>AVI0000031</v>
      </c>
      <c r="J523">
        <v>1</v>
      </c>
      <c r="K523">
        <v>0.24</v>
      </c>
      <c r="L523" t="e">
        <v>#N/A</v>
      </c>
      <c r="M523" t="s">
        <v>992</v>
      </c>
      <c r="N523" t="e">
        <f>M523&amp;Tabla3[[#This Row],[CODIGO PRODUCTO TERMINADO]]&amp;"','"&amp;L523&amp;"',"&amp;Tabla3[[#This Row],[CANTIDAD MATERIAL (M)]]&amp;");"</f>
        <v>#N/A</v>
      </c>
    </row>
    <row r="524" spans="1:14" x14ac:dyDescent="0.25">
      <c r="A524" t="s">
        <v>1046</v>
      </c>
      <c r="B524" t="s">
        <v>63</v>
      </c>
      <c r="C524" t="s">
        <v>1037</v>
      </c>
      <c r="D524" t="s">
        <v>51</v>
      </c>
      <c r="E524" s="8" t="s">
        <v>996</v>
      </c>
      <c r="F524">
        <v>0.5</v>
      </c>
      <c r="G524" t="s">
        <v>78</v>
      </c>
      <c r="H524" t="str">
        <f>VLOOKUP(Tabla3[[#This Row],[DESCRIPCION MATERIAL]],'CODIGO MAT'!$C$2:$D$390,2,FALSE)</f>
        <v>AVI0000148</v>
      </c>
      <c r="J524">
        <v>1</v>
      </c>
      <c r="K524">
        <v>0</v>
      </c>
      <c r="L524" t="e">
        <v>#N/A</v>
      </c>
      <c r="M524" t="s">
        <v>992</v>
      </c>
      <c r="N524" t="e">
        <f>M524&amp;Tabla3[[#This Row],[CODIGO PRODUCTO TERMINADO]]&amp;"','"&amp;L524&amp;"',"&amp;Tabla3[[#This Row],[CANTIDAD MATERIAL (M)]]&amp;");"</f>
        <v>#N/A</v>
      </c>
    </row>
    <row r="525" spans="1:14" x14ac:dyDescent="0.25">
      <c r="A525" t="s">
        <v>1046</v>
      </c>
      <c r="B525" t="s">
        <v>63</v>
      </c>
      <c r="C525" t="s">
        <v>1037</v>
      </c>
      <c r="D525" t="s">
        <v>51</v>
      </c>
      <c r="E525" s="8" t="s">
        <v>398</v>
      </c>
      <c r="F525">
        <v>10</v>
      </c>
      <c r="G525" t="s">
        <v>396</v>
      </c>
      <c r="H525" t="str">
        <f>VLOOKUP(Tabla3[[#This Row],[DESCRIPCION MATERIAL]],'CODIGO MAT'!$C$2:$D$390,2,FALSE)</f>
        <v>AVI0000132</v>
      </c>
      <c r="L525" t="e">
        <v>#N/A</v>
      </c>
      <c r="M525" t="s">
        <v>992</v>
      </c>
      <c r="N525" t="e">
        <f>M525&amp;Tabla3[[#This Row],[CODIGO PRODUCTO TERMINADO]]&amp;"','"&amp;L525&amp;"',"&amp;Tabla3[[#This Row],[CANTIDAD MATERIAL (M)]]&amp;");"</f>
        <v>#N/A</v>
      </c>
    </row>
    <row r="526" spans="1:14" x14ac:dyDescent="0.25">
      <c r="A526" t="s">
        <v>1046</v>
      </c>
      <c r="B526" t="s">
        <v>63</v>
      </c>
      <c r="C526" t="s">
        <v>1037</v>
      </c>
      <c r="D526" t="s">
        <v>51</v>
      </c>
      <c r="E526" s="8" t="s">
        <v>36</v>
      </c>
      <c r="F526">
        <v>2</v>
      </c>
      <c r="G526" t="s">
        <v>396</v>
      </c>
      <c r="H526" t="str">
        <f>VLOOKUP(Tabla3[[#This Row],[DESCRIPCION MATERIAL]],'CODIGO MAT'!$C$2:$D$390,2,FALSE)</f>
        <v>AVI0000135</v>
      </c>
      <c r="L526" t="e">
        <v>#N/A</v>
      </c>
      <c r="M526" t="s">
        <v>992</v>
      </c>
      <c r="N526" t="e">
        <f>M526&amp;Tabla3[[#This Row],[CODIGO PRODUCTO TERMINADO]]&amp;"','"&amp;L526&amp;"',"&amp;Tabla3[[#This Row],[CANTIDAD MATERIAL (M)]]&amp;");"</f>
        <v>#N/A</v>
      </c>
    </row>
    <row r="527" spans="1:14" x14ac:dyDescent="0.25">
      <c r="A527" t="s">
        <v>1046</v>
      </c>
      <c r="B527" t="s">
        <v>63</v>
      </c>
      <c r="C527" t="s">
        <v>1037</v>
      </c>
      <c r="D527" t="s">
        <v>51</v>
      </c>
      <c r="E527" s="8" t="s">
        <v>1126</v>
      </c>
      <c r="F527">
        <v>2E-3</v>
      </c>
      <c r="G527" t="s">
        <v>396</v>
      </c>
      <c r="H527" t="str">
        <f>VLOOKUP(Tabla3[[#This Row],[DESCRIPCION MATERIAL]],'CODIGO MAT'!$C$2:$D$390,2,FALSE)</f>
        <v>AVI0000151</v>
      </c>
      <c r="L527" t="e">
        <v>#N/A</v>
      </c>
      <c r="M527" t="s">
        <v>992</v>
      </c>
      <c r="N527" t="e">
        <f>M527&amp;Tabla3[[#This Row],[CODIGO PRODUCTO TERMINADO]]&amp;"','"&amp;L527&amp;"',"&amp;Tabla3[[#This Row],[CANTIDAD MATERIAL (M)]]&amp;");"</f>
        <v>#N/A</v>
      </c>
    </row>
    <row r="528" spans="1:14" x14ac:dyDescent="0.25">
      <c r="A528" t="s">
        <v>1047</v>
      </c>
      <c r="B528" t="s">
        <v>63</v>
      </c>
      <c r="C528" t="s">
        <v>1038</v>
      </c>
      <c r="D528" t="s">
        <v>50</v>
      </c>
      <c r="E528" s="8" t="s">
        <v>12</v>
      </c>
      <c r="F528">
        <v>1.43</v>
      </c>
      <c r="G528" t="s">
        <v>78</v>
      </c>
      <c r="H528" t="str">
        <f>VLOOKUP(Tabla3[[#This Row],[DESCRIPCION MATERIAL]],'CODIGO MAT'!$C$2:$D$390,2,FALSE)</f>
        <v>TEL0000040</v>
      </c>
      <c r="J528">
        <v>1</v>
      </c>
      <c r="K528">
        <v>0</v>
      </c>
      <c r="L528" t="e">
        <v>#N/A</v>
      </c>
      <c r="M528" t="s">
        <v>992</v>
      </c>
      <c r="N528" t="e">
        <f>M528&amp;Tabla3[[#This Row],[CODIGO PRODUCTO TERMINADO]]&amp;"','"&amp;L528&amp;"',"&amp;Tabla3[[#This Row],[CANTIDAD MATERIAL (M)]]&amp;");"</f>
        <v>#N/A</v>
      </c>
    </row>
    <row r="529" spans="1:14" x14ac:dyDescent="0.25">
      <c r="A529" t="s">
        <v>1047</v>
      </c>
      <c r="B529" t="s">
        <v>63</v>
      </c>
      <c r="C529" t="s">
        <v>1038</v>
      </c>
      <c r="D529" t="s">
        <v>50</v>
      </c>
      <c r="E529" s="8" t="s">
        <v>140</v>
      </c>
      <c r="F529">
        <v>0.10249999999999999</v>
      </c>
      <c r="G529" t="s">
        <v>78</v>
      </c>
      <c r="H529" t="str">
        <f>VLOOKUP(Tabla3[[#This Row],[DESCRIPCION MATERIAL]],'CODIGO MAT'!$C$2:$D$390,2,FALSE)</f>
        <v>TEL0000067</v>
      </c>
      <c r="J529">
        <v>1</v>
      </c>
      <c r="K529">
        <v>0</v>
      </c>
      <c r="L529" t="e">
        <v>#N/A</v>
      </c>
      <c r="M529" t="s">
        <v>992</v>
      </c>
      <c r="N529" t="e">
        <f>M529&amp;Tabla3[[#This Row],[CODIGO PRODUCTO TERMINADO]]&amp;"','"&amp;L529&amp;"',"&amp;Tabla3[[#This Row],[CANTIDAD MATERIAL (M)]]&amp;");"</f>
        <v>#N/A</v>
      </c>
    </row>
    <row r="530" spans="1:14" x14ac:dyDescent="0.25">
      <c r="A530" t="s">
        <v>1047</v>
      </c>
      <c r="B530" t="s">
        <v>63</v>
      </c>
      <c r="C530" t="s">
        <v>1038</v>
      </c>
      <c r="D530" t="s">
        <v>50</v>
      </c>
      <c r="E530" s="8" t="s">
        <v>104</v>
      </c>
      <c r="F530">
        <v>2.69E-2</v>
      </c>
      <c r="G530" t="s">
        <v>78</v>
      </c>
      <c r="H530" t="str">
        <f>VLOOKUP(Tabla3[[#This Row],[DESCRIPCION MATERIAL]],'CODIGO MAT'!$C$2:$D$390,2,FALSE)</f>
        <v>TEL0000027</v>
      </c>
      <c r="J530">
        <v>1</v>
      </c>
      <c r="K530">
        <v>0</v>
      </c>
      <c r="L530" t="e">
        <v>#N/A</v>
      </c>
      <c r="M530" t="s">
        <v>992</v>
      </c>
      <c r="N530" t="e">
        <f>M530&amp;Tabla3[[#This Row],[CODIGO PRODUCTO TERMINADO]]&amp;"','"&amp;L530&amp;"',"&amp;Tabla3[[#This Row],[CANTIDAD MATERIAL (M)]]&amp;");"</f>
        <v>#N/A</v>
      </c>
    </row>
    <row r="531" spans="1:14" x14ac:dyDescent="0.25">
      <c r="A531" t="s">
        <v>1047</v>
      </c>
      <c r="B531" t="s">
        <v>63</v>
      </c>
      <c r="C531" t="s">
        <v>1038</v>
      </c>
      <c r="D531" t="s">
        <v>50</v>
      </c>
      <c r="E531" s="8" t="s">
        <v>118</v>
      </c>
      <c r="F531">
        <v>6.8699999999999997E-2</v>
      </c>
      <c r="G531" t="s">
        <v>78</v>
      </c>
      <c r="H531" t="str">
        <f>VLOOKUP(Tabla3[[#This Row],[DESCRIPCION MATERIAL]],'CODIGO MAT'!$C$2:$D$390,2,FALSE)</f>
        <v>TEL0000045</v>
      </c>
      <c r="J531">
        <v>1</v>
      </c>
      <c r="K531">
        <v>0</v>
      </c>
      <c r="L531" t="e">
        <v>#N/A</v>
      </c>
      <c r="M531" t="s">
        <v>992</v>
      </c>
      <c r="N531" t="e">
        <f>M531&amp;Tabla3[[#This Row],[CODIGO PRODUCTO TERMINADO]]&amp;"','"&amp;L531&amp;"',"&amp;Tabla3[[#This Row],[CANTIDAD MATERIAL (M)]]&amp;");"</f>
        <v>#N/A</v>
      </c>
    </row>
    <row r="532" spans="1:14" x14ac:dyDescent="0.25">
      <c r="A532" t="s">
        <v>1047</v>
      </c>
      <c r="B532" t="s">
        <v>63</v>
      </c>
      <c r="C532" t="s">
        <v>1038</v>
      </c>
      <c r="D532" t="s">
        <v>51</v>
      </c>
      <c r="E532" s="8" t="s">
        <v>308</v>
      </c>
      <c r="F532">
        <v>1.8700000000000001E-2</v>
      </c>
      <c r="G532" t="s">
        <v>78</v>
      </c>
      <c r="H532" t="str">
        <f>VLOOKUP(Tabla3[[#This Row],[DESCRIPCION MATERIAL]],'CODIGO MAT'!$C$2:$D$390,2,FALSE)</f>
        <v>AVI0000053</v>
      </c>
      <c r="J532">
        <v>1</v>
      </c>
      <c r="K532">
        <v>0</v>
      </c>
      <c r="L532" t="e">
        <v>#N/A</v>
      </c>
      <c r="M532" t="s">
        <v>992</v>
      </c>
      <c r="N532" t="e">
        <f>M532&amp;Tabla3[[#This Row],[CODIGO PRODUCTO TERMINADO]]&amp;"','"&amp;L532&amp;"',"&amp;Tabla3[[#This Row],[CANTIDAD MATERIAL (M)]]&amp;");"</f>
        <v>#N/A</v>
      </c>
    </row>
    <row r="533" spans="1:14" x14ac:dyDescent="0.25">
      <c r="A533" t="s">
        <v>1047</v>
      </c>
      <c r="B533" t="s">
        <v>63</v>
      </c>
      <c r="C533" t="s">
        <v>1038</v>
      </c>
      <c r="D533" t="s">
        <v>51</v>
      </c>
      <c r="E533" s="8" t="s">
        <v>261</v>
      </c>
      <c r="F533">
        <v>1</v>
      </c>
      <c r="G533" t="s">
        <v>396</v>
      </c>
      <c r="H533" t="str">
        <f>VLOOKUP(Tabla3[[#This Row],[DESCRIPCION MATERIAL]],'CODIGO MAT'!$C$2:$D$390,2,FALSE)</f>
        <v>AVI0000002</v>
      </c>
      <c r="J533">
        <v>1</v>
      </c>
      <c r="K533">
        <v>0</v>
      </c>
      <c r="L533" t="e">
        <v>#N/A</v>
      </c>
      <c r="M533" t="s">
        <v>992</v>
      </c>
      <c r="N533" t="e">
        <f>M533&amp;Tabla3[[#This Row],[CODIGO PRODUCTO TERMINADO]]&amp;"','"&amp;L533&amp;"',"&amp;Tabla3[[#This Row],[CANTIDAD MATERIAL (M)]]&amp;");"</f>
        <v>#N/A</v>
      </c>
    </row>
    <row r="534" spans="1:14" x14ac:dyDescent="0.25">
      <c r="A534" t="s">
        <v>1047</v>
      </c>
      <c r="B534" t="s">
        <v>63</v>
      </c>
      <c r="C534" t="s">
        <v>1038</v>
      </c>
      <c r="D534" t="s">
        <v>51</v>
      </c>
      <c r="E534" s="8" t="s">
        <v>35</v>
      </c>
      <c r="F534">
        <v>0.84</v>
      </c>
      <c r="G534" t="s">
        <v>78</v>
      </c>
      <c r="H534" t="str">
        <f>VLOOKUP(Tabla3[[#This Row],[DESCRIPCION MATERIAL]],'CODIGO MAT'!$C$2:$D$390,2,FALSE)</f>
        <v>AVI0000031</v>
      </c>
      <c r="J534">
        <v>1</v>
      </c>
      <c r="K534">
        <v>0.24</v>
      </c>
      <c r="L534" t="e">
        <v>#N/A</v>
      </c>
      <c r="M534" t="s">
        <v>992</v>
      </c>
      <c r="N534" t="e">
        <f>M534&amp;Tabla3[[#This Row],[CODIGO PRODUCTO TERMINADO]]&amp;"','"&amp;L534&amp;"',"&amp;Tabla3[[#This Row],[CANTIDAD MATERIAL (M)]]&amp;");"</f>
        <v>#N/A</v>
      </c>
    </row>
    <row r="535" spans="1:14" x14ac:dyDescent="0.25">
      <c r="A535" t="s">
        <v>1047</v>
      </c>
      <c r="B535" t="s">
        <v>63</v>
      </c>
      <c r="C535" t="s">
        <v>1038</v>
      </c>
      <c r="D535" t="s">
        <v>51</v>
      </c>
      <c r="E535" s="8" t="s">
        <v>996</v>
      </c>
      <c r="F535">
        <v>0.5</v>
      </c>
      <c r="G535" t="s">
        <v>78</v>
      </c>
      <c r="H535" t="str">
        <f>VLOOKUP(Tabla3[[#This Row],[DESCRIPCION MATERIAL]],'CODIGO MAT'!$C$2:$D$390,2,FALSE)</f>
        <v>AVI0000148</v>
      </c>
      <c r="J535">
        <v>1</v>
      </c>
      <c r="K535">
        <v>0</v>
      </c>
      <c r="L535" t="e">
        <v>#N/A</v>
      </c>
      <c r="M535" t="s">
        <v>992</v>
      </c>
      <c r="N535" t="e">
        <f>M535&amp;Tabla3[[#This Row],[CODIGO PRODUCTO TERMINADO]]&amp;"','"&amp;L535&amp;"',"&amp;Tabla3[[#This Row],[CANTIDAD MATERIAL (M)]]&amp;");"</f>
        <v>#N/A</v>
      </c>
    </row>
    <row r="536" spans="1:14" x14ac:dyDescent="0.25">
      <c r="A536" t="s">
        <v>1047</v>
      </c>
      <c r="B536" t="s">
        <v>63</v>
      </c>
      <c r="C536" t="s">
        <v>1038</v>
      </c>
      <c r="D536" t="s">
        <v>51</v>
      </c>
      <c r="E536" s="8" t="s">
        <v>398</v>
      </c>
      <c r="F536">
        <v>10</v>
      </c>
      <c r="G536" t="s">
        <v>396</v>
      </c>
      <c r="H536" t="str">
        <f>VLOOKUP(Tabla3[[#This Row],[DESCRIPCION MATERIAL]],'CODIGO MAT'!$C$2:$D$390,2,FALSE)</f>
        <v>AVI0000132</v>
      </c>
      <c r="L536" t="e">
        <v>#N/A</v>
      </c>
      <c r="M536" t="s">
        <v>992</v>
      </c>
      <c r="N536" t="e">
        <f>M536&amp;Tabla3[[#This Row],[CODIGO PRODUCTO TERMINADO]]&amp;"','"&amp;L536&amp;"',"&amp;Tabla3[[#This Row],[CANTIDAD MATERIAL (M)]]&amp;");"</f>
        <v>#N/A</v>
      </c>
    </row>
    <row r="537" spans="1:14" x14ac:dyDescent="0.25">
      <c r="A537" t="s">
        <v>1047</v>
      </c>
      <c r="B537" t="s">
        <v>63</v>
      </c>
      <c r="C537" t="s">
        <v>1038</v>
      </c>
      <c r="D537" t="s">
        <v>51</v>
      </c>
      <c r="E537" s="8" t="s">
        <v>36</v>
      </c>
      <c r="F537">
        <v>2</v>
      </c>
      <c r="G537" t="s">
        <v>396</v>
      </c>
      <c r="H537" t="str">
        <f>VLOOKUP(Tabla3[[#This Row],[DESCRIPCION MATERIAL]],'CODIGO MAT'!$C$2:$D$390,2,FALSE)</f>
        <v>AVI0000135</v>
      </c>
      <c r="L537" t="e">
        <v>#N/A</v>
      </c>
      <c r="M537" t="s">
        <v>992</v>
      </c>
      <c r="N537" t="e">
        <f>M537&amp;Tabla3[[#This Row],[CODIGO PRODUCTO TERMINADO]]&amp;"','"&amp;L537&amp;"',"&amp;Tabla3[[#This Row],[CANTIDAD MATERIAL (M)]]&amp;");"</f>
        <v>#N/A</v>
      </c>
    </row>
    <row r="538" spans="1:14" x14ac:dyDescent="0.25">
      <c r="A538" t="s">
        <v>1047</v>
      </c>
      <c r="B538" t="s">
        <v>63</v>
      </c>
      <c r="C538" t="s">
        <v>1038</v>
      </c>
      <c r="D538" t="s">
        <v>51</v>
      </c>
      <c r="E538" s="8" t="s">
        <v>1126</v>
      </c>
      <c r="F538">
        <v>2E-3</v>
      </c>
      <c r="G538" t="s">
        <v>396</v>
      </c>
      <c r="H538" t="str">
        <f>VLOOKUP(Tabla3[[#This Row],[DESCRIPCION MATERIAL]],'CODIGO MAT'!$C$2:$D$390,2,FALSE)</f>
        <v>AVI0000151</v>
      </c>
      <c r="L538" t="e">
        <v>#N/A</v>
      </c>
      <c r="M538" t="s">
        <v>992</v>
      </c>
      <c r="N538" t="e">
        <f>M538&amp;Tabla3[[#This Row],[CODIGO PRODUCTO TERMINADO]]&amp;"','"&amp;L538&amp;"',"&amp;Tabla3[[#This Row],[CANTIDAD MATERIAL (M)]]&amp;");"</f>
        <v>#N/A</v>
      </c>
    </row>
    <row r="539" spans="1:14" x14ac:dyDescent="0.25">
      <c r="A539" t="s">
        <v>1048</v>
      </c>
      <c r="B539" t="s">
        <v>63</v>
      </c>
      <c r="C539" t="s">
        <v>1039</v>
      </c>
      <c r="D539" t="s">
        <v>50</v>
      </c>
      <c r="E539" s="8" t="s">
        <v>12</v>
      </c>
      <c r="F539">
        <v>1.585</v>
      </c>
      <c r="G539" t="s">
        <v>78</v>
      </c>
      <c r="H539" t="str">
        <f>VLOOKUP(Tabla3[[#This Row],[DESCRIPCION MATERIAL]],'CODIGO MAT'!$C$2:$D$390,2,FALSE)</f>
        <v>TEL0000040</v>
      </c>
      <c r="J539">
        <v>1</v>
      </c>
      <c r="K539">
        <v>0</v>
      </c>
      <c r="L539" t="e">
        <v>#N/A</v>
      </c>
      <c r="M539" t="s">
        <v>992</v>
      </c>
      <c r="N539" t="e">
        <f>M539&amp;Tabla3[[#This Row],[CODIGO PRODUCTO TERMINADO]]&amp;"','"&amp;L539&amp;"',"&amp;Tabla3[[#This Row],[CANTIDAD MATERIAL (M)]]&amp;");"</f>
        <v>#N/A</v>
      </c>
    </row>
    <row r="540" spans="1:14" x14ac:dyDescent="0.25">
      <c r="A540" t="s">
        <v>1048</v>
      </c>
      <c r="B540" t="s">
        <v>63</v>
      </c>
      <c r="C540" t="s">
        <v>1039</v>
      </c>
      <c r="D540" t="s">
        <v>50</v>
      </c>
      <c r="E540" s="8" t="s">
        <v>140</v>
      </c>
      <c r="F540">
        <v>0.10249999999999999</v>
      </c>
      <c r="G540" t="s">
        <v>78</v>
      </c>
      <c r="H540" t="str">
        <f>VLOOKUP(Tabla3[[#This Row],[DESCRIPCION MATERIAL]],'CODIGO MAT'!$C$2:$D$390,2,FALSE)</f>
        <v>TEL0000067</v>
      </c>
      <c r="J540">
        <v>1</v>
      </c>
      <c r="K540">
        <v>0</v>
      </c>
      <c r="L540" t="e">
        <v>#N/A</v>
      </c>
      <c r="M540" t="s">
        <v>992</v>
      </c>
      <c r="N540" t="e">
        <f>M540&amp;Tabla3[[#This Row],[CODIGO PRODUCTO TERMINADO]]&amp;"','"&amp;L540&amp;"',"&amp;Tabla3[[#This Row],[CANTIDAD MATERIAL (M)]]&amp;");"</f>
        <v>#N/A</v>
      </c>
    </row>
    <row r="541" spans="1:14" x14ac:dyDescent="0.25">
      <c r="A541" t="s">
        <v>1048</v>
      </c>
      <c r="B541" t="s">
        <v>63</v>
      </c>
      <c r="C541" t="s">
        <v>1039</v>
      </c>
      <c r="D541" t="s">
        <v>50</v>
      </c>
      <c r="E541" s="8" t="s">
        <v>104</v>
      </c>
      <c r="F541">
        <v>2.69E-2</v>
      </c>
      <c r="G541" t="s">
        <v>78</v>
      </c>
      <c r="H541" t="str">
        <f>VLOOKUP(Tabla3[[#This Row],[DESCRIPCION MATERIAL]],'CODIGO MAT'!$C$2:$D$390,2,FALSE)</f>
        <v>TEL0000027</v>
      </c>
      <c r="J541">
        <v>1</v>
      </c>
      <c r="K541">
        <v>0</v>
      </c>
      <c r="L541" t="e">
        <v>#N/A</v>
      </c>
      <c r="M541" t="s">
        <v>992</v>
      </c>
      <c r="N541" t="e">
        <f>M541&amp;Tabla3[[#This Row],[CODIGO PRODUCTO TERMINADO]]&amp;"','"&amp;L541&amp;"',"&amp;Tabla3[[#This Row],[CANTIDAD MATERIAL (M)]]&amp;");"</f>
        <v>#N/A</v>
      </c>
    </row>
    <row r="542" spans="1:14" x14ac:dyDescent="0.25">
      <c r="A542" t="s">
        <v>1048</v>
      </c>
      <c r="B542" t="s">
        <v>63</v>
      </c>
      <c r="C542" t="s">
        <v>1039</v>
      </c>
      <c r="D542" t="s">
        <v>50</v>
      </c>
      <c r="E542" s="8" t="s">
        <v>118</v>
      </c>
      <c r="F542">
        <v>6.8699999999999997E-2</v>
      </c>
      <c r="G542" t="s">
        <v>78</v>
      </c>
      <c r="H542" t="str">
        <f>VLOOKUP(Tabla3[[#This Row],[DESCRIPCION MATERIAL]],'CODIGO MAT'!$C$2:$D$390,2,FALSE)</f>
        <v>TEL0000045</v>
      </c>
      <c r="J542">
        <v>1</v>
      </c>
      <c r="K542">
        <v>0</v>
      </c>
      <c r="L542" t="e">
        <v>#N/A</v>
      </c>
      <c r="M542" t="s">
        <v>992</v>
      </c>
      <c r="N542" t="e">
        <f>M542&amp;Tabla3[[#This Row],[CODIGO PRODUCTO TERMINADO]]&amp;"','"&amp;L542&amp;"',"&amp;Tabla3[[#This Row],[CANTIDAD MATERIAL (M)]]&amp;");"</f>
        <v>#N/A</v>
      </c>
    </row>
    <row r="543" spans="1:14" x14ac:dyDescent="0.25">
      <c r="A543" t="s">
        <v>1048</v>
      </c>
      <c r="B543" t="s">
        <v>63</v>
      </c>
      <c r="C543" t="s">
        <v>1039</v>
      </c>
      <c r="D543" t="s">
        <v>51</v>
      </c>
      <c r="E543" s="8" t="s">
        <v>308</v>
      </c>
      <c r="F543">
        <v>1.8700000000000001E-2</v>
      </c>
      <c r="G543" t="s">
        <v>78</v>
      </c>
      <c r="H543" t="str">
        <f>VLOOKUP(Tabla3[[#This Row],[DESCRIPCION MATERIAL]],'CODIGO MAT'!$C$2:$D$390,2,FALSE)</f>
        <v>AVI0000053</v>
      </c>
      <c r="J543">
        <v>1</v>
      </c>
      <c r="K543">
        <v>0</v>
      </c>
      <c r="L543" t="e">
        <v>#N/A</v>
      </c>
      <c r="M543" t="s">
        <v>992</v>
      </c>
      <c r="N543" t="e">
        <f>M543&amp;Tabla3[[#This Row],[CODIGO PRODUCTO TERMINADO]]&amp;"','"&amp;L543&amp;"',"&amp;Tabla3[[#This Row],[CANTIDAD MATERIAL (M)]]&amp;");"</f>
        <v>#N/A</v>
      </c>
    </row>
    <row r="544" spans="1:14" x14ac:dyDescent="0.25">
      <c r="A544" t="s">
        <v>1048</v>
      </c>
      <c r="B544" t="s">
        <v>63</v>
      </c>
      <c r="C544" t="s">
        <v>1039</v>
      </c>
      <c r="D544" t="s">
        <v>51</v>
      </c>
      <c r="E544" s="8" t="s">
        <v>261</v>
      </c>
      <c r="F544">
        <v>1</v>
      </c>
      <c r="G544" t="s">
        <v>396</v>
      </c>
      <c r="H544" t="str">
        <f>VLOOKUP(Tabla3[[#This Row],[DESCRIPCION MATERIAL]],'CODIGO MAT'!$C$2:$D$390,2,FALSE)</f>
        <v>AVI0000002</v>
      </c>
      <c r="J544">
        <v>1</v>
      </c>
      <c r="K544">
        <v>0</v>
      </c>
      <c r="L544" t="e">
        <v>#N/A</v>
      </c>
      <c r="M544" t="s">
        <v>992</v>
      </c>
      <c r="N544" t="e">
        <f>M544&amp;Tabla3[[#This Row],[CODIGO PRODUCTO TERMINADO]]&amp;"','"&amp;L544&amp;"',"&amp;Tabla3[[#This Row],[CANTIDAD MATERIAL (M)]]&amp;");"</f>
        <v>#N/A</v>
      </c>
    </row>
    <row r="545" spans="1:14" x14ac:dyDescent="0.25">
      <c r="A545" t="s">
        <v>1048</v>
      </c>
      <c r="B545" t="s">
        <v>63</v>
      </c>
      <c r="C545" t="s">
        <v>1039</v>
      </c>
      <c r="D545" t="s">
        <v>51</v>
      </c>
      <c r="E545" s="8" t="s">
        <v>35</v>
      </c>
      <c r="F545">
        <v>0.84</v>
      </c>
      <c r="G545" t="s">
        <v>78</v>
      </c>
      <c r="H545" t="str">
        <f>VLOOKUP(Tabla3[[#This Row],[DESCRIPCION MATERIAL]],'CODIGO MAT'!$C$2:$D$390,2,FALSE)</f>
        <v>AVI0000031</v>
      </c>
      <c r="J545">
        <v>1</v>
      </c>
      <c r="K545">
        <v>0.24</v>
      </c>
      <c r="L545" t="e">
        <v>#N/A</v>
      </c>
      <c r="M545" t="s">
        <v>992</v>
      </c>
      <c r="N545" t="e">
        <f>M545&amp;Tabla3[[#This Row],[CODIGO PRODUCTO TERMINADO]]&amp;"','"&amp;L545&amp;"',"&amp;Tabla3[[#This Row],[CANTIDAD MATERIAL (M)]]&amp;");"</f>
        <v>#N/A</v>
      </c>
    </row>
    <row r="546" spans="1:14" x14ac:dyDescent="0.25">
      <c r="A546" t="s">
        <v>1048</v>
      </c>
      <c r="B546" t="s">
        <v>63</v>
      </c>
      <c r="C546" t="s">
        <v>1039</v>
      </c>
      <c r="D546" t="s">
        <v>51</v>
      </c>
      <c r="E546" s="8" t="s">
        <v>996</v>
      </c>
      <c r="F546">
        <v>0.5</v>
      </c>
      <c r="G546" t="s">
        <v>78</v>
      </c>
      <c r="H546" t="str">
        <f>VLOOKUP(Tabla3[[#This Row],[DESCRIPCION MATERIAL]],'CODIGO MAT'!$C$2:$D$390,2,FALSE)</f>
        <v>AVI0000148</v>
      </c>
      <c r="J546">
        <v>1</v>
      </c>
      <c r="K546">
        <v>0</v>
      </c>
      <c r="L546" t="e">
        <v>#N/A</v>
      </c>
      <c r="M546" t="s">
        <v>992</v>
      </c>
      <c r="N546" t="e">
        <f>M546&amp;Tabla3[[#This Row],[CODIGO PRODUCTO TERMINADO]]&amp;"','"&amp;L546&amp;"',"&amp;Tabla3[[#This Row],[CANTIDAD MATERIAL (M)]]&amp;");"</f>
        <v>#N/A</v>
      </c>
    </row>
    <row r="547" spans="1:14" x14ac:dyDescent="0.25">
      <c r="A547" t="s">
        <v>1048</v>
      </c>
      <c r="B547" t="s">
        <v>63</v>
      </c>
      <c r="C547" t="s">
        <v>1039</v>
      </c>
      <c r="D547" t="s">
        <v>51</v>
      </c>
      <c r="E547" s="8" t="s">
        <v>398</v>
      </c>
      <c r="F547">
        <v>10</v>
      </c>
      <c r="G547" t="s">
        <v>396</v>
      </c>
      <c r="H547" t="str">
        <f>VLOOKUP(Tabla3[[#This Row],[DESCRIPCION MATERIAL]],'CODIGO MAT'!$C$2:$D$390,2,FALSE)</f>
        <v>AVI0000132</v>
      </c>
      <c r="L547" t="e">
        <v>#N/A</v>
      </c>
      <c r="M547" t="s">
        <v>992</v>
      </c>
      <c r="N547" t="e">
        <f>M547&amp;Tabla3[[#This Row],[CODIGO PRODUCTO TERMINADO]]&amp;"','"&amp;L547&amp;"',"&amp;Tabla3[[#This Row],[CANTIDAD MATERIAL (M)]]&amp;");"</f>
        <v>#N/A</v>
      </c>
    </row>
    <row r="548" spans="1:14" x14ac:dyDescent="0.25">
      <c r="A548" t="s">
        <v>1048</v>
      </c>
      <c r="B548" t="s">
        <v>63</v>
      </c>
      <c r="C548" t="s">
        <v>1039</v>
      </c>
      <c r="D548" t="s">
        <v>51</v>
      </c>
      <c r="E548" s="8" t="s">
        <v>36</v>
      </c>
      <c r="F548">
        <v>2</v>
      </c>
      <c r="G548" t="s">
        <v>396</v>
      </c>
      <c r="H548" t="str">
        <f>VLOOKUP(Tabla3[[#This Row],[DESCRIPCION MATERIAL]],'CODIGO MAT'!$C$2:$D$390,2,FALSE)</f>
        <v>AVI0000135</v>
      </c>
      <c r="L548" t="e">
        <v>#N/A</v>
      </c>
      <c r="M548" t="s">
        <v>992</v>
      </c>
      <c r="N548" t="e">
        <f>M548&amp;Tabla3[[#This Row],[CODIGO PRODUCTO TERMINADO]]&amp;"','"&amp;L548&amp;"',"&amp;Tabla3[[#This Row],[CANTIDAD MATERIAL (M)]]&amp;");"</f>
        <v>#N/A</v>
      </c>
    </row>
    <row r="549" spans="1:14" x14ac:dyDescent="0.25">
      <c r="A549" t="s">
        <v>1048</v>
      </c>
      <c r="B549" t="s">
        <v>63</v>
      </c>
      <c r="C549" t="s">
        <v>1039</v>
      </c>
      <c r="D549" t="s">
        <v>51</v>
      </c>
      <c r="E549" s="8" t="s">
        <v>1126</v>
      </c>
      <c r="F549">
        <v>2E-3</v>
      </c>
      <c r="G549" t="s">
        <v>396</v>
      </c>
      <c r="H549" t="str">
        <f>VLOOKUP(Tabla3[[#This Row],[DESCRIPCION MATERIAL]],'CODIGO MAT'!$C$2:$D$390,2,FALSE)</f>
        <v>AVI0000151</v>
      </c>
      <c r="L549" t="e">
        <v>#N/A</v>
      </c>
      <c r="M549" t="s">
        <v>992</v>
      </c>
      <c r="N549" t="e">
        <f>M549&amp;Tabla3[[#This Row],[CODIGO PRODUCTO TERMINADO]]&amp;"','"&amp;L549&amp;"',"&amp;Tabla3[[#This Row],[CANTIDAD MATERIAL (M)]]&amp;");"</f>
        <v>#N/A</v>
      </c>
    </row>
    <row r="550" spans="1:14" x14ac:dyDescent="0.25">
      <c r="A550" t="s">
        <v>1049</v>
      </c>
      <c r="B550" t="s">
        <v>63</v>
      </c>
      <c r="C550" t="s">
        <v>1040</v>
      </c>
      <c r="D550" t="s">
        <v>50</v>
      </c>
      <c r="E550" s="8" t="s">
        <v>12</v>
      </c>
      <c r="F550">
        <v>1.75</v>
      </c>
      <c r="G550" t="s">
        <v>78</v>
      </c>
      <c r="H550" t="str">
        <f>VLOOKUP(Tabla3[[#This Row],[DESCRIPCION MATERIAL]],'CODIGO MAT'!$C$2:$D$390,2,FALSE)</f>
        <v>TEL0000040</v>
      </c>
      <c r="J550">
        <v>1</v>
      </c>
      <c r="K550">
        <v>0</v>
      </c>
      <c r="L550" t="e">
        <v>#N/A</v>
      </c>
      <c r="M550" t="s">
        <v>992</v>
      </c>
      <c r="N550" t="e">
        <f>M550&amp;Tabla3[[#This Row],[CODIGO PRODUCTO TERMINADO]]&amp;"','"&amp;L550&amp;"',"&amp;Tabla3[[#This Row],[CANTIDAD MATERIAL (M)]]&amp;");"</f>
        <v>#N/A</v>
      </c>
    </row>
    <row r="551" spans="1:14" x14ac:dyDescent="0.25">
      <c r="A551" t="s">
        <v>1049</v>
      </c>
      <c r="B551" t="s">
        <v>63</v>
      </c>
      <c r="C551" t="s">
        <v>1040</v>
      </c>
      <c r="D551" t="s">
        <v>50</v>
      </c>
      <c r="E551" s="8" t="s">
        <v>140</v>
      </c>
      <c r="F551">
        <v>0.10249999999999999</v>
      </c>
      <c r="G551" t="s">
        <v>78</v>
      </c>
      <c r="H551" t="str">
        <f>VLOOKUP(Tabla3[[#This Row],[DESCRIPCION MATERIAL]],'CODIGO MAT'!$C$2:$D$390,2,FALSE)</f>
        <v>TEL0000067</v>
      </c>
      <c r="J551">
        <v>1</v>
      </c>
      <c r="K551">
        <v>0</v>
      </c>
      <c r="L551" t="e">
        <v>#N/A</v>
      </c>
      <c r="M551" t="s">
        <v>992</v>
      </c>
      <c r="N551" t="e">
        <f>M551&amp;Tabla3[[#This Row],[CODIGO PRODUCTO TERMINADO]]&amp;"','"&amp;L551&amp;"',"&amp;Tabla3[[#This Row],[CANTIDAD MATERIAL (M)]]&amp;");"</f>
        <v>#N/A</v>
      </c>
    </row>
    <row r="552" spans="1:14" x14ac:dyDescent="0.25">
      <c r="A552" t="s">
        <v>1049</v>
      </c>
      <c r="B552" t="s">
        <v>63</v>
      </c>
      <c r="C552" t="s">
        <v>1040</v>
      </c>
      <c r="D552" t="s">
        <v>50</v>
      </c>
      <c r="E552" s="8" t="s">
        <v>104</v>
      </c>
      <c r="F552">
        <v>2.69E-2</v>
      </c>
      <c r="G552" t="s">
        <v>78</v>
      </c>
      <c r="H552" t="str">
        <f>VLOOKUP(Tabla3[[#This Row],[DESCRIPCION MATERIAL]],'CODIGO MAT'!$C$2:$D$390,2,FALSE)</f>
        <v>TEL0000027</v>
      </c>
      <c r="J552">
        <v>1</v>
      </c>
      <c r="K552">
        <v>0</v>
      </c>
      <c r="L552" t="e">
        <v>#N/A</v>
      </c>
      <c r="M552" t="s">
        <v>992</v>
      </c>
      <c r="N552" t="e">
        <f>M552&amp;Tabla3[[#This Row],[CODIGO PRODUCTO TERMINADO]]&amp;"','"&amp;L552&amp;"',"&amp;Tabla3[[#This Row],[CANTIDAD MATERIAL (M)]]&amp;");"</f>
        <v>#N/A</v>
      </c>
    </row>
    <row r="553" spans="1:14" x14ac:dyDescent="0.25">
      <c r="A553" t="s">
        <v>1049</v>
      </c>
      <c r="B553" t="s">
        <v>63</v>
      </c>
      <c r="C553" t="s">
        <v>1040</v>
      </c>
      <c r="D553" t="s">
        <v>50</v>
      </c>
      <c r="E553" s="8" t="s">
        <v>118</v>
      </c>
      <c r="F553">
        <v>6.8699999999999997E-2</v>
      </c>
      <c r="G553" t="s">
        <v>78</v>
      </c>
      <c r="H553" t="str">
        <f>VLOOKUP(Tabla3[[#This Row],[DESCRIPCION MATERIAL]],'CODIGO MAT'!$C$2:$D$390,2,FALSE)</f>
        <v>TEL0000045</v>
      </c>
      <c r="J553">
        <v>1</v>
      </c>
      <c r="K553">
        <v>0</v>
      </c>
      <c r="L553" t="e">
        <v>#N/A</v>
      </c>
      <c r="M553" t="s">
        <v>992</v>
      </c>
      <c r="N553" t="e">
        <f>M553&amp;Tabla3[[#This Row],[CODIGO PRODUCTO TERMINADO]]&amp;"','"&amp;L553&amp;"',"&amp;Tabla3[[#This Row],[CANTIDAD MATERIAL (M)]]&amp;");"</f>
        <v>#N/A</v>
      </c>
    </row>
    <row r="554" spans="1:14" x14ac:dyDescent="0.25">
      <c r="A554" t="s">
        <v>1049</v>
      </c>
      <c r="B554" t="s">
        <v>63</v>
      </c>
      <c r="C554" t="s">
        <v>1040</v>
      </c>
      <c r="D554" t="s">
        <v>51</v>
      </c>
      <c r="E554" s="8" t="s">
        <v>308</v>
      </c>
      <c r="F554">
        <v>1.8700000000000001E-2</v>
      </c>
      <c r="G554" t="s">
        <v>78</v>
      </c>
      <c r="H554" t="str">
        <f>VLOOKUP(Tabla3[[#This Row],[DESCRIPCION MATERIAL]],'CODIGO MAT'!$C$2:$D$390,2,FALSE)</f>
        <v>AVI0000053</v>
      </c>
      <c r="J554">
        <v>1</v>
      </c>
      <c r="K554">
        <v>0</v>
      </c>
      <c r="L554" t="e">
        <v>#N/A</v>
      </c>
      <c r="M554" t="s">
        <v>992</v>
      </c>
      <c r="N554" t="e">
        <f>M554&amp;Tabla3[[#This Row],[CODIGO PRODUCTO TERMINADO]]&amp;"','"&amp;L554&amp;"',"&amp;Tabla3[[#This Row],[CANTIDAD MATERIAL (M)]]&amp;");"</f>
        <v>#N/A</v>
      </c>
    </row>
    <row r="555" spans="1:14" x14ac:dyDescent="0.25">
      <c r="A555" t="s">
        <v>1049</v>
      </c>
      <c r="B555" t="s">
        <v>63</v>
      </c>
      <c r="C555" t="s">
        <v>1040</v>
      </c>
      <c r="D555" t="s">
        <v>51</v>
      </c>
      <c r="E555" s="8" t="s">
        <v>261</v>
      </c>
      <c r="F555">
        <v>1</v>
      </c>
      <c r="G555" t="s">
        <v>396</v>
      </c>
      <c r="H555" t="str">
        <f>VLOOKUP(Tabla3[[#This Row],[DESCRIPCION MATERIAL]],'CODIGO MAT'!$C$2:$D$390,2,FALSE)</f>
        <v>AVI0000002</v>
      </c>
      <c r="J555">
        <v>1</v>
      </c>
      <c r="K555">
        <v>0</v>
      </c>
      <c r="L555" t="e">
        <v>#N/A</v>
      </c>
      <c r="M555" t="s">
        <v>992</v>
      </c>
      <c r="N555" t="e">
        <f>M555&amp;Tabla3[[#This Row],[CODIGO PRODUCTO TERMINADO]]&amp;"','"&amp;L555&amp;"',"&amp;Tabla3[[#This Row],[CANTIDAD MATERIAL (M)]]&amp;");"</f>
        <v>#N/A</v>
      </c>
    </row>
    <row r="556" spans="1:14" x14ac:dyDescent="0.25">
      <c r="A556" t="s">
        <v>1049</v>
      </c>
      <c r="B556" t="s">
        <v>63</v>
      </c>
      <c r="C556" t="s">
        <v>1040</v>
      </c>
      <c r="D556" t="s">
        <v>51</v>
      </c>
      <c r="E556" s="8" t="s">
        <v>35</v>
      </c>
      <c r="F556">
        <v>0.84</v>
      </c>
      <c r="G556" t="s">
        <v>78</v>
      </c>
      <c r="H556" t="str">
        <f>VLOOKUP(Tabla3[[#This Row],[DESCRIPCION MATERIAL]],'CODIGO MAT'!$C$2:$D$390,2,FALSE)</f>
        <v>AVI0000031</v>
      </c>
      <c r="J556">
        <v>1</v>
      </c>
      <c r="K556">
        <v>0.24</v>
      </c>
      <c r="L556" t="e">
        <v>#N/A</v>
      </c>
      <c r="M556" t="s">
        <v>992</v>
      </c>
      <c r="N556" t="e">
        <f>M556&amp;Tabla3[[#This Row],[CODIGO PRODUCTO TERMINADO]]&amp;"','"&amp;L556&amp;"',"&amp;Tabla3[[#This Row],[CANTIDAD MATERIAL (M)]]&amp;");"</f>
        <v>#N/A</v>
      </c>
    </row>
    <row r="557" spans="1:14" x14ac:dyDescent="0.25">
      <c r="A557" t="s">
        <v>1049</v>
      </c>
      <c r="B557" t="s">
        <v>63</v>
      </c>
      <c r="C557" t="s">
        <v>1040</v>
      </c>
      <c r="D557" t="s">
        <v>51</v>
      </c>
      <c r="E557" s="8" t="s">
        <v>996</v>
      </c>
      <c r="F557">
        <v>0.5</v>
      </c>
      <c r="G557" t="s">
        <v>78</v>
      </c>
      <c r="H557" t="str">
        <f>VLOOKUP(Tabla3[[#This Row],[DESCRIPCION MATERIAL]],'CODIGO MAT'!$C$2:$D$390,2,FALSE)</f>
        <v>AVI0000148</v>
      </c>
      <c r="J557">
        <v>1</v>
      </c>
      <c r="K557">
        <v>0</v>
      </c>
      <c r="L557" t="e">
        <v>#N/A</v>
      </c>
      <c r="M557" t="s">
        <v>992</v>
      </c>
      <c r="N557" t="e">
        <f>M557&amp;Tabla3[[#This Row],[CODIGO PRODUCTO TERMINADO]]&amp;"','"&amp;L557&amp;"',"&amp;Tabla3[[#This Row],[CANTIDAD MATERIAL (M)]]&amp;");"</f>
        <v>#N/A</v>
      </c>
    </row>
    <row r="558" spans="1:14" x14ac:dyDescent="0.25">
      <c r="A558" t="s">
        <v>1049</v>
      </c>
      <c r="B558" t="s">
        <v>63</v>
      </c>
      <c r="C558" t="s">
        <v>1040</v>
      </c>
      <c r="D558" t="s">
        <v>51</v>
      </c>
      <c r="E558" s="8" t="s">
        <v>398</v>
      </c>
      <c r="F558">
        <v>10</v>
      </c>
      <c r="G558" t="s">
        <v>396</v>
      </c>
      <c r="H558" t="str">
        <f>VLOOKUP(Tabla3[[#This Row],[DESCRIPCION MATERIAL]],'CODIGO MAT'!$C$2:$D$390,2,FALSE)</f>
        <v>AVI0000132</v>
      </c>
      <c r="L558" t="e">
        <v>#N/A</v>
      </c>
      <c r="M558" t="s">
        <v>992</v>
      </c>
      <c r="N558" t="e">
        <f>M558&amp;Tabla3[[#This Row],[CODIGO PRODUCTO TERMINADO]]&amp;"','"&amp;L558&amp;"',"&amp;Tabla3[[#This Row],[CANTIDAD MATERIAL (M)]]&amp;");"</f>
        <v>#N/A</v>
      </c>
    </row>
    <row r="559" spans="1:14" x14ac:dyDescent="0.25">
      <c r="A559" t="s">
        <v>1049</v>
      </c>
      <c r="B559" t="s">
        <v>63</v>
      </c>
      <c r="C559" t="s">
        <v>1040</v>
      </c>
      <c r="D559" t="s">
        <v>51</v>
      </c>
      <c r="E559" s="8" t="s">
        <v>36</v>
      </c>
      <c r="F559">
        <v>2</v>
      </c>
      <c r="G559" t="s">
        <v>396</v>
      </c>
      <c r="H559" t="str">
        <f>VLOOKUP(Tabla3[[#This Row],[DESCRIPCION MATERIAL]],'CODIGO MAT'!$C$2:$D$390,2,FALSE)</f>
        <v>AVI0000135</v>
      </c>
      <c r="L559" t="e">
        <v>#N/A</v>
      </c>
      <c r="M559" t="s">
        <v>992</v>
      </c>
      <c r="N559" t="e">
        <f>M559&amp;Tabla3[[#This Row],[CODIGO PRODUCTO TERMINADO]]&amp;"','"&amp;L559&amp;"',"&amp;Tabla3[[#This Row],[CANTIDAD MATERIAL (M)]]&amp;");"</f>
        <v>#N/A</v>
      </c>
    </row>
    <row r="560" spans="1:14" x14ac:dyDescent="0.25">
      <c r="A560" t="s">
        <v>1049</v>
      </c>
      <c r="B560" t="s">
        <v>63</v>
      </c>
      <c r="C560" t="s">
        <v>1040</v>
      </c>
      <c r="D560" t="s">
        <v>51</v>
      </c>
      <c r="E560" s="8" t="s">
        <v>1126</v>
      </c>
      <c r="F560">
        <v>2E-3</v>
      </c>
      <c r="G560" t="s">
        <v>396</v>
      </c>
      <c r="H560" t="str">
        <f>VLOOKUP(Tabla3[[#This Row],[DESCRIPCION MATERIAL]],'CODIGO MAT'!$C$2:$D$390,2,FALSE)</f>
        <v>AVI0000151</v>
      </c>
      <c r="L560" t="e">
        <v>#N/A</v>
      </c>
      <c r="M560" t="s">
        <v>992</v>
      </c>
      <c r="N560" t="e">
        <f>M560&amp;Tabla3[[#This Row],[CODIGO PRODUCTO TERMINADO]]&amp;"','"&amp;L560&amp;"',"&amp;Tabla3[[#This Row],[CANTIDAD MATERIAL (M)]]&amp;");"</f>
        <v>#N/A</v>
      </c>
    </row>
    <row r="561" spans="1:14" x14ac:dyDescent="0.25">
      <c r="A561" t="s">
        <v>1050</v>
      </c>
      <c r="B561" t="s">
        <v>63</v>
      </c>
      <c r="C561" t="s">
        <v>1041</v>
      </c>
      <c r="D561" t="s">
        <v>50</v>
      </c>
      <c r="E561" s="8" t="s">
        <v>12</v>
      </c>
      <c r="F561">
        <v>0</v>
      </c>
      <c r="G561" t="s">
        <v>78</v>
      </c>
      <c r="H561" t="str">
        <f>VLOOKUP(Tabla3[[#This Row],[DESCRIPCION MATERIAL]],'CODIGO MAT'!$C$2:$D$390,2,FALSE)</f>
        <v>TEL0000040</v>
      </c>
      <c r="J561">
        <v>1</v>
      </c>
      <c r="K561">
        <v>0</v>
      </c>
      <c r="L561" t="e">
        <v>#N/A</v>
      </c>
      <c r="M561" t="s">
        <v>992</v>
      </c>
      <c r="N561" t="e">
        <f>M561&amp;Tabla3[[#This Row],[CODIGO PRODUCTO TERMINADO]]&amp;"','"&amp;L561&amp;"',"&amp;Tabla3[[#This Row],[CANTIDAD MATERIAL (M)]]&amp;");"</f>
        <v>#N/A</v>
      </c>
    </row>
    <row r="562" spans="1:14" x14ac:dyDescent="0.25">
      <c r="A562" t="s">
        <v>1050</v>
      </c>
      <c r="B562" t="s">
        <v>63</v>
      </c>
      <c r="C562" t="s">
        <v>1041</v>
      </c>
      <c r="D562" t="s">
        <v>50</v>
      </c>
      <c r="E562" s="8" t="s">
        <v>140</v>
      </c>
      <c r="F562">
        <v>0</v>
      </c>
      <c r="G562" t="s">
        <v>78</v>
      </c>
      <c r="H562" t="str">
        <f>VLOOKUP(Tabla3[[#This Row],[DESCRIPCION MATERIAL]],'CODIGO MAT'!$C$2:$D$390,2,FALSE)</f>
        <v>TEL0000067</v>
      </c>
      <c r="J562">
        <v>1</v>
      </c>
      <c r="K562">
        <v>0</v>
      </c>
      <c r="L562" t="e">
        <v>#N/A</v>
      </c>
      <c r="M562" t="s">
        <v>992</v>
      </c>
      <c r="N562" t="e">
        <f>M562&amp;Tabla3[[#This Row],[CODIGO PRODUCTO TERMINADO]]&amp;"','"&amp;L562&amp;"',"&amp;Tabla3[[#This Row],[CANTIDAD MATERIAL (M)]]&amp;");"</f>
        <v>#N/A</v>
      </c>
    </row>
    <row r="563" spans="1:14" x14ac:dyDescent="0.25">
      <c r="A563" t="s">
        <v>1050</v>
      </c>
      <c r="B563" t="s">
        <v>63</v>
      </c>
      <c r="C563" t="s">
        <v>1041</v>
      </c>
      <c r="D563" t="s">
        <v>50</v>
      </c>
      <c r="E563" s="8" t="s">
        <v>104</v>
      </c>
      <c r="F563">
        <v>2.69E-2</v>
      </c>
      <c r="G563" t="s">
        <v>78</v>
      </c>
      <c r="H563" t="str">
        <f>VLOOKUP(Tabla3[[#This Row],[DESCRIPCION MATERIAL]],'CODIGO MAT'!$C$2:$D$390,2,FALSE)</f>
        <v>TEL0000027</v>
      </c>
      <c r="J563">
        <v>1</v>
      </c>
      <c r="K563">
        <v>0</v>
      </c>
      <c r="L563" t="e">
        <v>#N/A</v>
      </c>
      <c r="M563" t="s">
        <v>992</v>
      </c>
      <c r="N563" t="e">
        <f>M563&amp;Tabla3[[#This Row],[CODIGO PRODUCTO TERMINADO]]&amp;"','"&amp;L563&amp;"',"&amp;Tabla3[[#This Row],[CANTIDAD MATERIAL (M)]]&amp;");"</f>
        <v>#N/A</v>
      </c>
    </row>
    <row r="564" spans="1:14" x14ac:dyDescent="0.25">
      <c r="A564" t="s">
        <v>1050</v>
      </c>
      <c r="B564" t="s">
        <v>63</v>
      </c>
      <c r="C564" t="s">
        <v>1041</v>
      </c>
      <c r="D564" t="s">
        <v>50</v>
      </c>
      <c r="E564" s="8" t="s">
        <v>118</v>
      </c>
      <c r="F564">
        <v>6.8699999999999997E-2</v>
      </c>
      <c r="G564" t="s">
        <v>78</v>
      </c>
      <c r="H564" t="str">
        <f>VLOOKUP(Tabla3[[#This Row],[DESCRIPCION MATERIAL]],'CODIGO MAT'!$C$2:$D$390,2,FALSE)</f>
        <v>TEL0000045</v>
      </c>
      <c r="J564">
        <v>1</v>
      </c>
      <c r="K564">
        <v>0</v>
      </c>
      <c r="L564" t="e">
        <v>#N/A</v>
      </c>
      <c r="M564" t="s">
        <v>992</v>
      </c>
      <c r="N564" t="e">
        <f>M564&amp;Tabla3[[#This Row],[CODIGO PRODUCTO TERMINADO]]&amp;"','"&amp;L564&amp;"',"&amp;Tabla3[[#This Row],[CANTIDAD MATERIAL (M)]]&amp;");"</f>
        <v>#N/A</v>
      </c>
    </row>
    <row r="565" spans="1:14" x14ac:dyDescent="0.25">
      <c r="A565" t="s">
        <v>1050</v>
      </c>
      <c r="B565" t="s">
        <v>63</v>
      </c>
      <c r="C565" t="s">
        <v>1041</v>
      </c>
      <c r="D565" t="s">
        <v>51</v>
      </c>
      <c r="E565" s="8" t="s">
        <v>308</v>
      </c>
      <c r="F565">
        <v>1.8700000000000001E-2</v>
      </c>
      <c r="G565" t="s">
        <v>78</v>
      </c>
      <c r="H565" t="str">
        <f>VLOOKUP(Tabla3[[#This Row],[DESCRIPCION MATERIAL]],'CODIGO MAT'!$C$2:$D$390,2,FALSE)</f>
        <v>AVI0000053</v>
      </c>
      <c r="J565">
        <v>1</v>
      </c>
      <c r="K565">
        <v>0</v>
      </c>
      <c r="L565" t="e">
        <v>#N/A</v>
      </c>
      <c r="M565" t="s">
        <v>992</v>
      </c>
      <c r="N565" t="e">
        <f>M565&amp;Tabla3[[#This Row],[CODIGO PRODUCTO TERMINADO]]&amp;"','"&amp;L565&amp;"',"&amp;Tabla3[[#This Row],[CANTIDAD MATERIAL (M)]]&amp;");"</f>
        <v>#N/A</v>
      </c>
    </row>
    <row r="566" spans="1:14" x14ac:dyDescent="0.25">
      <c r="A566" t="s">
        <v>1050</v>
      </c>
      <c r="B566" t="s">
        <v>63</v>
      </c>
      <c r="C566" t="s">
        <v>1041</v>
      </c>
      <c r="D566" t="s">
        <v>51</v>
      </c>
      <c r="E566" s="8" t="s">
        <v>261</v>
      </c>
      <c r="F566">
        <v>1</v>
      </c>
      <c r="G566" t="s">
        <v>396</v>
      </c>
      <c r="H566" t="str">
        <f>VLOOKUP(Tabla3[[#This Row],[DESCRIPCION MATERIAL]],'CODIGO MAT'!$C$2:$D$390,2,FALSE)</f>
        <v>AVI0000002</v>
      </c>
      <c r="J566">
        <v>1</v>
      </c>
      <c r="K566">
        <v>0</v>
      </c>
      <c r="L566" t="e">
        <v>#N/A</v>
      </c>
      <c r="M566" t="s">
        <v>992</v>
      </c>
      <c r="N566" t="e">
        <f>M566&amp;Tabla3[[#This Row],[CODIGO PRODUCTO TERMINADO]]&amp;"','"&amp;L566&amp;"',"&amp;Tabla3[[#This Row],[CANTIDAD MATERIAL (M)]]&amp;");"</f>
        <v>#N/A</v>
      </c>
    </row>
    <row r="567" spans="1:14" x14ac:dyDescent="0.25">
      <c r="A567" t="s">
        <v>1050</v>
      </c>
      <c r="B567" t="s">
        <v>63</v>
      </c>
      <c r="C567" t="s">
        <v>1041</v>
      </c>
      <c r="D567" t="s">
        <v>51</v>
      </c>
      <c r="E567" s="8" t="s">
        <v>35</v>
      </c>
      <c r="F567">
        <v>0.84</v>
      </c>
      <c r="G567" t="s">
        <v>78</v>
      </c>
      <c r="H567" t="str">
        <f>VLOOKUP(Tabla3[[#This Row],[DESCRIPCION MATERIAL]],'CODIGO MAT'!$C$2:$D$390,2,FALSE)</f>
        <v>AVI0000031</v>
      </c>
      <c r="J567">
        <v>1</v>
      </c>
      <c r="K567">
        <v>0.24</v>
      </c>
      <c r="L567" t="e">
        <v>#N/A</v>
      </c>
      <c r="M567" t="s">
        <v>992</v>
      </c>
      <c r="N567" t="e">
        <f>M567&amp;Tabla3[[#This Row],[CODIGO PRODUCTO TERMINADO]]&amp;"','"&amp;L567&amp;"',"&amp;Tabla3[[#This Row],[CANTIDAD MATERIAL (M)]]&amp;");"</f>
        <v>#N/A</v>
      </c>
    </row>
    <row r="568" spans="1:14" x14ac:dyDescent="0.25">
      <c r="A568" t="s">
        <v>1050</v>
      </c>
      <c r="B568" t="s">
        <v>63</v>
      </c>
      <c r="C568" t="s">
        <v>1041</v>
      </c>
      <c r="D568" t="s">
        <v>51</v>
      </c>
      <c r="E568" s="8" t="s">
        <v>996</v>
      </c>
      <c r="F568">
        <v>0.5</v>
      </c>
      <c r="G568" t="s">
        <v>78</v>
      </c>
      <c r="H568" t="str">
        <f>VLOOKUP(Tabla3[[#This Row],[DESCRIPCION MATERIAL]],'CODIGO MAT'!$C$2:$D$390,2,FALSE)</f>
        <v>AVI0000148</v>
      </c>
      <c r="J568">
        <v>1</v>
      </c>
      <c r="K568">
        <v>0</v>
      </c>
      <c r="L568" t="e">
        <v>#N/A</v>
      </c>
      <c r="M568" t="s">
        <v>992</v>
      </c>
      <c r="N568" t="e">
        <f>M568&amp;Tabla3[[#This Row],[CODIGO PRODUCTO TERMINADO]]&amp;"','"&amp;L568&amp;"',"&amp;Tabla3[[#This Row],[CANTIDAD MATERIAL (M)]]&amp;");"</f>
        <v>#N/A</v>
      </c>
    </row>
    <row r="569" spans="1:14" x14ac:dyDescent="0.25">
      <c r="A569" t="s">
        <v>1050</v>
      </c>
      <c r="B569" t="s">
        <v>63</v>
      </c>
      <c r="C569" t="s">
        <v>1041</v>
      </c>
      <c r="D569" t="s">
        <v>51</v>
      </c>
      <c r="E569" s="8" t="s">
        <v>398</v>
      </c>
      <c r="F569">
        <v>9</v>
      </c>
      <c r="G569" t="s">
        <v>396</v>
      </c>
      <c r="H569" t="str">
        <f>VLOOKUP(Tabla3[[#This Row],[DESCRIPCION MATERIAL]],'CODIGO MAT'!$C$2:$D$390,2,FALSE)</f>
        <v>AVI0000132</v>
      </c>
      <c r="L569" t="e">
        <v>#N/A</v>
      </c>
      <c r="M569" t="s">
        <v>992</v>
      </c>
      <c r="N569" t="e">
        <f>M569&amp;Tabla3[[#This Row],[CODIGO PRODUCTO TERMINADO]]&amp;"','"&amp;L569&amp;"',"&amp;Tabla3[[#This Row],[CANTIDAD MATERIAL (M)]]&amp;");"</f>
        <v>#N/A</v>
      </c>
    </row>
    <row r="570" spans="1:14" x14ac:dyDescent="0.25">
      <c r="A570" t="s">
        <v>1050</v>
      </c>
      <c r="B570" t="s">
        <v>63</v>
      </c>
      <c r="C570" t="s">
        <v>1041</v>
      </c>
      <c r="D570" t="s">
        <v>51</v>
      </c>
      <c r="E570" s="8" t="s">
        <v>36</v>
      </c>
      <c r="F570">
        <v>2</v>
      </c>
      <c r="G570" t="s">
        <v>396</v>
      </c>
      <c r="H570" t="str">
        <f>VLOOKUP(Tabla3[[#This Row],[DESCRIPCION MATERIAL]],'CODIGO MAT'!$C$2:$D$390,2,FALSE)</f>
        <v>AVI0000135</v>
      </c>
      <c r="L570" t="e">
        <v>#N/A</v>
      </c>
      <c r="M570" t="s">
        <v>992</v>
      </c>
      <c r="N570" t="e">
        <f>M570&amp;Tabla3[[#This Row],[CODIGO PRODUCTO TERMINADO]]&amp;"','"&amp;L570&amp;"',"&amp;Tabla3[[#This Row],[CANTIDAD MATERIAL (M)]]&amp;");"</f>
        <v>#N/A</v>
      </c>
    </row>
    <row r="571" spans="1:14" x14ac:dyDescent="0.25">
      <c r="A571" t="s">
        <v>1050</v>
      </c>
      <c r="B571" t="s">
        <v>63</v>
      </c>
      <c r="C571" t="s">
        <v>1041</v>
      </c>
      <c r="D571" t="s">
        <v>51</v>
      </c>
      <c r="E571" s="8" t="s">
        <v>1126</v>
      </c>
      <c r="F571">
        <v>2E-3</v>
      </c>
      <c r="G571" t="s">
        <v>396</v>
      </c>
      <c r="H571" t="str">
        <f>VLOOKUP(Tabla3[[#This Row],[DESCRIPCION MATERIAL]],'CODIGO MAT'!$C$2:$D$390,2,FALSE)</f>
        <v>AVI0000151</v>
      </c>
      <c r="L571" t="e">
        <v>#N/A</v>
      </c>
      <c r="M571" t="s">
        <v>992</v>
      </c>
      <c r="N571" t="e">
        <f>M571&amp;Tabla3[[#This Row],[CODIGO PRODUCTO TERMINADO]]&amp;"','"&amp;L571&amp;"',"&amp;Tabla3[[#This Row],[CANTIDAD MATERIAL (M)]]&amp;");"</f>
        <v>#N/A</v>
      </c>
    </row>
    <row r="572" spans="1:14" x14ac:dyDescent="0.25">
      <c r="A572" t="s">
        <v>1051</v>
      </c>
      <c r="B572" t="s">
        <v>63</v>
      </c>
      <c r="C572" t="s">
        <v>1042</v>
      </c>
      <c r="D572" t="s">
        <v>50</v>
      </c>
      <c r="E572" s="8" t="s">
        <v>12</v>
      </c>
      <c r="F572">
        <v>0</v>
      </c>
      <c r="G572" t="s">
        <v>78</v>
      </c>
      <c r="H572" t="str">
        <f>VLOOKUP(Tabla3[[#This Row],[DESCRIPCION MATERIAL]],'CODIGO MAT'!$C$2:$D$390,2,FALSE)</f>
        <v>TEL0000040</v>
      </c>
      <c r="J572">
        <v>1</v>
      </c>
      <c r="K572">
        <v>0</v>
      </c>
      <c r="L572" t="e">
        <v>#N/A</v>
      </c>
      <c r="M572" t="s">
        <v>992</v>
      </c>
      <c r="N572" t="e">
        <f>M572&amp;Tabla3[[#This Row],[CODIGO PRODUCTO TERMINADO]]&amp;"','"&amp;L572&amp;"',"&amp;Tabla3[[#This Row],[CANTIDAD MATERIAL (M)]]&amp;");"</f>
        <v>#N/A</v>
      </c>
    </row>
    <row r="573" spans="1:14" x14ac:dyDescent="0.25">
      <c r="A573" t="s">
        <v>1051</v>
      </c>
      <c r="B573" t="s">
        <v>63</v>
      </c>
      <c r="C573" t="s">
        <v>1042</v>
      </c>
      <c r="D573" t="s">
        <v>50</v>
      </c>
      <c r="E573" s="8" t="s">
        <v>140</v>
      </c>
      <c r="F573">
        <v>0</v>
      </c>
      <c r="G573" t="s">
        <v>78</v>
      </c>
      <c r="H573" t="str">
        <f>VLOOKUP(Tabla3[[#This Row],[DESCRIPCION MATERIAL]],'CODIGO MAT'!$C$2:$D$390,2,FALSE)</f>
        <v>TEL0000067</v>
      </c>
      <c r="J573">
        <v>1</v>
      </c>
      <c r="K573">
        <v>0</v>
      </c>
    </row>
    <row r="574" spans="1:14" x14ac:dyDescent="0.25">
      <c r="A574" t="s">
        <v>1051</v>
      </c>
      <c r="B574" t="s">
        <v>63</v>
      </c>
      <c r="C574" t="s">
        <v>1042</v>
      </c>
      <c r="D574" t="s">
        <v>50</v>
      </c>
      <c r="E574" s="8" t="s">
        <v>104</v>
      </c>
      <c r="F574">
        <v>2.69E-2</v>
      </c>
      <c r="G574" t="s">
        <v>78</v>
      </c>
      <c r="H574" t="str">
        <f>VLOOKUP(Tabla3[[#This Row],[DESCRIPCION MATERIAL]],'CODIGO MAT'!$C$2:$D$390,2,FALSE)</f>
        <v>TEL0000027</v>
      </c>
      <c r="J574">
        <v>1</v>
      </c>
      <c r="K574">
        <v>0</v>
      </c>
      <c r="L574" t="e">
        <v>#N/A</v>
      </c>
      <c r="M574" t="s">
        <v>992</v>
      </c>
      <c r="N574" t="e">
        <f>M574&amp;Tabla3[[#This Row],[CODIGO PRODUCTO TERMINADO]]&amp;"','"&amp;L574&amp;"',"&amp;Tabla3[[#This Row],[CANTIDAD MATERIAL (M)]]&amp;");"</f>
        <v>#N/A</v>
      </c>
    </row>
    <row r="575" spans="1:14" x14ac:dyDescent="0.25">
      <c r="A575" t="s">
        <v>1051</v>
      </c>
      <c r="B575" t="s">
        <v>63</v>
      </c>
      <c r="C575" t="s">
        <v>1042</v>
      </c>
      <c r="D575" t="s">
        <v>50</v>
      </c>
      <c r="E575" s="8" t="s">
        <v>118</v>
      </c>
      <c r="F575">
        <v>6.8699999999999997E-2</v>
      </c>
      <c r="G575" t="s">
        <v>78</v>
      </c>
      <c r="H575" t="str">
        <f>VLOOKUP(Tabla3[[#This Row],[DESCRIPCION MATERIAL]],'CODIGO MAT'!$C$2:$D$390,2,FALSE)</f>
        <v>TEL0000045</v>
      </c>
      <c r="J575">
        <v>1</v>
      </c>
      <c r="K575">
        <v>0</v>
      </c>
      <c r="L575" t="e">
        <v>#N/A</v>
      </c>
      <c r="M575" t="s">
        <v>992</v>
      </c>
      <c r="N575" t="e">
        <f>M575&amp;Tabla3[[#This Row],[CODIGO PRODUCTO TERMINADO]]&amp;"','"&amp;L575&amp;"',"&amp;Tabla3[[#This Row],[CANTIDAD MATERIAL (M)]]&amp;");"</f>
        <v>#N/A</v>
      </c>
    </row>
    <row r="576" spans="1:14" x14ac:dyDescent="0.25">
      <c r="A576" t="s">
        <v>1051</v>
      </c>
      <c r="B576" t="s">
        <v>63</v>
      </c>
      <c r="C576" t="s">
        <v>1042</v>
      </c>
      <c r="D576" t="s">
        <v>51</v>
      </c>
      <c r="E576" s="8" t="s">
        <v>308</v>
      </c>
      <c r="F576">
        <v>1.8700000000000001E-2</v>
      </c>
      <c r="G576" t="s">
        <v>78</v>
      </c>
      <c r="H576" t="str">
        <f>VLOOKUP(Tabla3[[#This Row],[DESCRIPCION MATERIAL]],'CODIGO MAT'!$C$2:$D$390,2,FALSE)</f>
        <v>AVI0000053</v>
      </c>
      <c r="J576">
        <v>1</v>
      </c>
      <c r="K576">
        <v>0</v>
      </c>
      <c r="L576" t="e">
        <v>#N/A</v>
      </c>
      <c r="M576" t="s">
        <v>992</v>
      </c>
      <c r="N576" t="e">
        <f>M576&amp;Tabla3[[#This Row],[CODIGO PRODUCTO TERMINADO]]&amp;"','"&amp;L576&amp;"',"&amp;Tabla3[[#This Row],[CANTIDAD MATERIAL (M)]]&amp;");"</f>
        <v>#N/A</v>
      </c>
    </row>
    <row r="577" spans="1:14" x14ac:dyDescent="0.25">
      <c r="A577" t="s">
        <v>1051</v>
      </c>
      <c r="B577" t="s">
        <v>63</v>
      </c>
      <c r="C577" t="s">
        <v>1042</v>
      </c>
      <c r="D577" t="s">
        <v>51</v>
      </c>
      <c r="E577" s="8" t="s">
        <v>261</v>
      </c>
      <c r="F577">
        <v>1</v>
      </c>
      <c r="G577" t="s">
        <v>396</v>
      </c>
      <c r="H577" t="str">
        <f>VLOOKUP(Tabla3[[#This Row],[DESCRIPCION MATERIAL]],'CODIGO MAT'!$C$2:$D$390,2,FALSE)</f>
        <v>AVI0000002</v>
      </c>
      <c r="J577">
        <v>1</v>
      </c>
      <c r="K577">
        <v>0</v>
      </c>
      <c r="L577" t="e">
        <v>#N/A</v>
      </c>
      <c r="M577" t="s">
        <v>992</v>
      </c>
      <c r="N577" t="e">
        <f>M577&amp;Tabla3[[#This Row],[CODIGO PRODUCTO TERMINADO]]&amp;"','"&amp;L577&amp;"',"&amp;Tabla3[[#This Row],[CANTIDAD MATERIAL (M)]]&amp;");"</f>
        <v>#N/A</v>
      </c>
    </row>
    <row r="578" spans="1:14" x14ac:dyDescent="0.25">
      <c r="A578" t="s">
        <v>1051</v>
      </c>
      <c r="B578" t="s">
        <v>63</v>
      </c>
      <c r="C578" t="s">
        <v>1042</v>
      </c>
      <c r="D578" t="s">
        <v>51</v>
      </c>
      <c r="E578" s="8" t="s">
        <v>35</v>
      </c>
      <c r="F578">
        <v>0.84</v>
      </c>
      <c r="G578" t="s">
        <v>78</v>
      </c>
      <c r="H578" t="str">
        <f>VLOOKUP(Tabla3[[#This Row],[DESCRIPCION MATERIAL]],'CODIGO MAT'!$C$2:$D$390,2,FALSE)</f>
        <v>AVI0000031</v>
      </c>
      <c r="J578">
        <v>1</v>
      </c>
      <c r="K578">
        <v>0.24</v>
      </c>
      <c r="L578" t="e">
        <v>#N/A</v>
      </c>
      <c r="M578" t="s">
        <v>992</v>
      </c>
      <c r="N578" t="e">
        <f>M578&amp;Tabla3[[#This Row],[CODIGO PRODUCTO TERMINADO]]&amp;"','"&amp;L578&amp;"',"&amp;Tabla3[[#This Row],[CANTIDAD MATERIAL (M)]]&amp;");"</f>
        <v>#N/A</v>
      </c>
    </row>
    <row r="579" spans="1:14" x14ac:dyDescent="0.25">
      <c r="A579" t="s">
        <v>1051</v>
      </c>
      <c r="B579" t="s">
        <v>63</v>
      </c>
      <c r="C579" t="s">
        <v>1042</v>
      </c>
      <c r="D579" t="s">
        <v>51</v>
      </c>
      <c r="E579" s="8" t="s">
        <v>996</v>
      </c>
      <c r="F579">
        <v>0.5</v>
      </c>
      <c r="G579" t="s">
        <v>78</v>
      </c>
      <c r="H579" t="str">
        <f>VLOOKUP(Tabla3[[#This Row],[DESCRIPCION MATERIAL]],'CODIGO MAT'!$C$2:$D$390,2,FALSE)</f>
        <v>AVI0000148</v>
      </c>
      <c r="J579">
        <v>1</v>
      </c>
      <c r="K579">
        <v>0</v>
      </c>
      <c r="L579" t="e">
        <v>#N/A</v>
      </c>
      <c r="M579" t="s">
        <v>992</v>
      </c>
      <c r="N579" t="e">
        <f>M579&amp;Tabla3[[#This Row],[CODIGO PRODUCTO TERMINADO]]&amp;"','"&amp;L579&amp;"',"&amp;Tabla3[[#This Row],[CANTIDAD MATERIAL (M)]]&amp;");"</f>
        <v>#N/A</v>
      </c>
    </row>
    <row r="580" spans="1:14" x14ac:dyDescent="0.25">
      <c r="A580" t="s">
        <v>1051</v>
      </c>
      <c r="B580" t="s">
        <v>63</v>
      </c>
      <c r="C580" t="s">
        <v>1042</v>
      </c>
      <c r="D580" t="s">
        <v>51</v>
      </c>
      <c r="E580" s="8" t="s">
        <v>398</v>
      </c>
      <c r="F580">
        <v>11</v>
      </c>
      <c r="G580" t="s">
        <v>396</v>
      </c>
      <c r="H580" t="str">
        <f>VLOOKUP(Tabla3[[#This Row],[DESCRIPCION MATERIAL]],'CODIGO MAT'!$C$2:$D$390,2,FALSE)</f>
        <v>AVI0000132</v>
      </c>
      <c r="L580" t="e">
        <v>#N/A</v>
      </c>
      <c r="M580" t="s">
        <v>992</v>
      </c>
      <c r="N580" t="e">
        <f>M580&amp;Tabla3[[#This Row],[CODIGO PRODUCTO TERMINADO]]&amp;"','"&amp;L580&amp;"',"&amp;Tabla3[[#This Row],[CANTIDAD MATERIAL (M)]]&amp;");"</f>
        <v>#N/A</v>
      </c>
    </row>
    <row r="581" spans="1:14" x14ac:dyDescent="0.25">
      <c r="A581" t="s">
        <v>1051</v>
      </c>
      <c r="B581" t="s">
        <v>63</v>
      </c>
      <c r="C581" t="s">
        <v>1042</v>
      </c>
      <c r="D581" t="s">
        <v>51</v>
      </c>
      <c r="E581" s="8" t="s">
        <v>36</v>
      </c>
      <c r="F581">
        <v>2</v>
      </c>
      <c r="G581" t="s">
        <v>396</v>
      </c>
      <c r="H581" t="str">
        <f>VLOOKUP(Tabla3[[#This Row],[DESCRIPCION MATERIAL]],'CODIGO MAT'!$C$2:$D$390,2,FALSE)</f>
        <v>AVI0000135</v>
      </c>
      <c r="L581" t="e">
        <v>#N/A</v>
      </c>
      <c r="M581" t="s">
        <v>992</v>
      </c>
      <c r="N581" t="e">
        <f>M581&amp;Tabla3[[#This Row],[CODIGO PRODUCTO TERMINADO]]&amp;"','"&amp;L581&amp;"',"&amp;Tabla3[[#This Row],[CANTIDAD MATERIAL (M)]]&amp;");"</f>
        <v>#N/A</v>
      </c>
    </row>
    <row r="582" spans="1:14" x14ac:dyDescent="0.25">
      <c r="A582" t="s">
        <v>1051</v>
      </c>
      <c r="B582" t="s">
        <v>63</v>
      </c>
      <c r="C582" t="s">
        <v>1042</v>
      </c>
      <c r="D582" t="s">
        <v>51</v>
      </c>
      <c r="E582" s="8" t="s">
        <v>1126</v>
      </c>
      <c r="F582">
        <v>2E-3</v>
      </c>
      <c r="G582" t="s">
        <v>396</v>
      </c>
      <c r="H582" t="str">
        <f>VLOOKUP(Tabla3[[#This Row],[DESCRIPCION MATERIAL]],'CODIGO MAT'!$C$2:$D$390,2,FALSE)</f>
        <v>AVI0000151</v>
      </c>
      <c r="L582" t="e">
        <v>#N/A</v>
      </c>
      <c r="M582" t="s">
        <v>992</v>
      </c>
      <c r="N582" t="e">
        <f>M582&amp;Tabla3[[#This Row],[CODIGO PRODUCTO TERMINADO]]&amp;"','"&amp;L582&amp;"',"&amp;Tabla3[[#This Row],[CANTIDAD MATERIAL (M)]]&amp;");"</f>
        <v>#N/A</v>
      </c>
    </row>
    <row r="583" spans="1:14" x14ac:dyDescent="0.25">
      <c r="A583" t="s">
        <v>1015</v>
      </c>
      <c r="B583" t="s">
        <v>63</v>
      </c>
      <c r="C583" t="s">
        <v>1014</v>
      </c>
      <c r="D583" t="s">
        <v>50</v>
      </c>
      <c r="E583" s="8" t="s">
        <v>128</v>
      </c>
      <c r="F583">
        <v>0.6784</v>
      </c>
      <c r="G583" t="s">
        <v>78</v>
      </c>
      <c r="H583" t="str">
        <f>VLOOKUP(Tabla3[[#This Row],[DESCRIPCION MATERIAL]],'CODIGO MAT'!$C$2:$D$390,2,FALSE)</f>
        <v>TEL0000055</v>
      </c>
      <c r="J583">
        <v>1</v>
      </c>
      <c r="K583">
        <v>0</v>
      </c>
      <c r="L583" t="e">
        <v>#N/A</v>
      </c>
      <c r="M583" t="s">
        <v>992</v>
      </c>
      <c r="N583" t="e">
        <f>M583&amp;Tabla3[[#This Row],[CODIGO PRODUCTO TERMINADO]]&amp;"','"&amp;L583&amp;"',"&amp;Tabla3[[#This Row],[CANTIDAD MATERIAL (M)]]&amp;");"</f>
        <v>#N/A</v>
      </c>
    </row>
    <row r="584" spans="1:14" x14ac:dyDescent="0.25">
      <c r="A584" t="s">
        <v>1015</v>
      </c>
      <c r="B584" t="s">
        <v>63</v>
      </c>
      <c r="C584" t="s">
        <v>1014</v>
      </c>
      <c r="D584" t="s">
        <v>50</v>
      </c>
      <c r="E584" s="8" t="s">
        <v>139</v>
      </c>
      <c r="F584">
        <v>8.5000000000000006E-2</v>
      </c>
      <c r="G584" t="s">
        <v>78</v>
      </c>
      <c r="H584" t="str">
        <f>VLOOKUP(Tabla3[[#This Row],[DESCRIPCION MATERIAL]],'CODIGO MAT'!$C$2:$D$390,2,FALSE)</f>
        <v>TEL0000066</v>
      </c>
      <c r="J584">
        <v>1</v>
      </c>
      <c r="K584">
        <v>0</v>
      </c>
    </row>
    <row r="585" spans="1:14" x14ac:dyDescent="0.25">
      <c r="A585" t="s">
        <v>1015</v>
      </c>
      <c r="B585" t="s">
        <v>63</v>
      </c>
      <c r="C585" t="s">
        <v>1014</v>
      </c>
      <c r="D585" t="s">
        <v>50</v>
      </c>
      <c r="E585" s="8" t="s">
        <v>118</v>
      </c>
      <c r="F585">
        <v>6.8699999999999997E-2</v>
      </c>
      <c r="G585" t="s">
        <v>78</v>
      </c>
      <c r="H585" t="str">
        <f>VLOOKUP(Tabla3[[#This Row],[DESCRIPCION MATERIAL]],'CODIGO MAT'!$C$2:$D$390,2,FALSE)</f>
        <v>TEL0000045</v>
      </c>
      <c r="J585">
        <v>1</v>
      </c>
      <c r="K585">
        <v>0</v>
      </c>
      <c r="L585" t="e">
        <v>#N/A</v>
      </c>
      <c r="M585" t="s">
        <v>992</v>
      </c>
      <c r="N585" t="e">
        <f>M585&amp;Tabla3[[#This Row],[CODIGO PRODUCTO TERMINADO]]&amp;"','"&amp;L585&amp;"',"&amp;Tabla3[[#This Row],[CANTIDAD MATERIAL (M)]]&amp;");"</f>
        <v>#N/A</v>
      </c>
    </row>
    <row r="586" spans="1:14" x14ac:dyDescent="0.25">
      <c r="A586" t="s">
        <v>1015</v>
      </c>
      <c r="B586" t="s">
        <v>63</v>
      </c>
      <c r="C586" t="s">
        <v>1014</v>
      </c>
      <c r="D586" t="s">
        <v>51</v>
      </c>
      <c r="E586" s="8" t="s">
        <v>308</v>
      </c>
      <c r="F586">
        <v>1.8700000000000001E-2</v>
      </c>
      <c r="G586" t="s">
        <v>78</v>
      </c>
      <c r="H586" t="str">
        <f>VLOOKUP(Tabla3[[#This Row],[DESCRIPCION MATERIAL]],'CODIGO MAT'!$C$2:$D$390,2,FALSE)</f>
        <v>AVI0000053</v>
      </c>
      <c r="J586">
        <v>1</v>
      </c>
      <c r="K586">
        <v>0</v>
      </c>
      <c r="L586" t="e">
        <v>#N/A</v>
      </c>
      <c r="M586" t="s">
        <v>992</v>
      </c>
      <c r="N586" t="e">
        <f>M586&amp;Tabla3[[#This Row],[CODIGO PRODUCTO TERMINADO]]&amp;"','"&amp;L586&amp;"',"&amp;Tabla3[[#This Row],[CANTIDAD MATERIAL (M)]]&amp;");"</f>
        <v>#N/A</v>
      </c>
    </row>
    <row r="587" spans="1:14" x14ac:dyDescent="0.25">
      <c r="A587" t="s">
        <v>1015</v>
      </c>
      <c r="B587" t="s">
        <v>63</v>
      </c>
      <c r="C587" t="s">
        <v>1014</v>
      </c>
      <c r="D587" t="s">
        <v>51</v>
      </c>
      <c r="E587" s="8" t="s">
        <v>261</v>
      </c>
      <c r="F587">
        <v>1</v>
      </c>
      <c r="G587" t="s">
        <v>396</v>
      </c>
      <c r="H587" t="str">
        <f>VLOOKUP(Tabla3[[#This Row],[DESCRIPCION MATERIAL]],'CODIGO MAT'!$C$2:$D$390,2,FALSE)</f>
        <v>AVI0000002</v>
      </c>
      <c r="J587">
        <v>1</v>
      </c>
      <c r="K587">
        <v>0</v>
      </c>
      <c r="L587" t="e">
        <v>#N/A</v>
      </c>
      <c r="M587" t="s">
        <v>992</v>
      </c>
      <c r="N587" t="e">
        <f>M587&amp;Tabla3[[#This Row],[CODIGO PRODUCTO TERMINADO]]&amp;"','"&amp;L587&amp;"',"&amp;Tabla3[[#This Row],[CANTIDAD MATERIAL (M)]]&amp;");"</f>
        <v>#N/A</v>
      </c>
    </row>
    <row r="588" spans="1:14" x14ac:dyDescent="0.25">
      <c r="A588" t="s">
        <v>1015</v>
      </c>
      <c r="B588" t="s">
        <v>63</v>
      </c>
      <c r="C588" t="s">
        <v>1014</v>
      </c>
      <c r="D588" t="s">
        <v>51</v>
      </c>
      <c r="E588" s="8" t="s">
        <v>35</v>
      </c>
      <c r="F588">
        <v>0.82</v>
      </c>
      <c r="G588" t="s">
        <v>78</v>
      </c>
      <c r="H588" t="str">
        <f>VLOOKUP(Tabla3[[#This Row],[DESCRIPCION MATERIAL]],'CODIGO MAT'!$C$2:$D$390,2,FALSE)</f>
        <v>AVI0000031</v>
      </c>
      <c r="J588">
        <v>1</v>
      </c>
      <c r="K588">
        <v>0.24</v>
      </c>
      <c r="L588" t="e">
        <v>#N/A</v>
      </c>
      <c r="M588" t="s">
        <v>992</v>
      </c>
      <c r="N588" t="e">
        <f>M588&amp;Tabla3[[#This Row],[CODIGO PRODUCTO TERMINADO]]&amp;"','"&amp;L588&amp;"',"&amp;Tabla3[[#This Row],[CANTIDAD MATERIAL (M)]]&amp;");"</f>
        <v>#N/A</v>
      </c>
    </row>
    <row r="589" spans="1:14" x14ac:dyDescent="0.25">
      <c r="A589" t="s">
        <v>1015</v>
      </c>
      <c r="B589" t="s">
        <v>63</v>
      </c>
      <c r="C589" t="s">
        <v>1014</v>
      </c>
      <c r="D589" t="s">
        <v>51</v>
      </c>
      <c r="E589" s="8" t="s">
        <v>996</v>
      </c>
      <c r="F589">
        <v>0.5</v>
      </c>
      <c r="G589" t="s">
        <v>78</v>
      </c>
      <c r="H589" t="str">
        <f>VLOOKUP(Tabla3[[#This Row],[DESCRIPCION MATERIAL]],'CODIGO MAT'!$C$2:$D$390,2,FALSE)</f>
        <v>AVI0000148</v>
      </c>
      <c r="J589">
        <v>1</v>
      </c>
      <c r="K589">
        <v>0</v>
      </c>
      <c r="L589" t="e">
        <v>#N/A</v>
      </c>
      <c r="M589" t="s">
        <v>992</v>
      </c>
      <c r="N589" t="e">
        <f>M589&amp;Tabla3[[#This Row],[CODIGO PRODUCTO TERMINADO]]&amp;"','"&amp;L589&amp;"',"&amp;Tabla3[[#This Row],[CANTIDAD MATERIAL (M)]]&amp;");"</f>
        <v>#N/A</v>
      </c>
    </row>
    <row r="590" spans="1:14" x14ac:dyDescent="0.25">
      <c r="A590" t="s">
        <v>1015</v>
      </c>
      <c r="B590" t="s">
        <v>63</v>
      </c>
      <c r="C590" t="s">
        <v>1014</v>
      </c>
      <c r="D590" t="s">
        <v>51</v>
      </c>
      <c r="E590" s="8" t="s">
        <v>398</v>
      </c>
      <c r="F590">
        <v>9</v>
      </c>
      <c r="G590" t="s">
        <v>396</v>
      </c>
      <c r="H590" t="str">
        <f>VLOOKUP(Tabla3[[#This Row],[DESCRIPCION MATERIAL]],'CODIGO MAT'!$C$2:$D$390,2,FALSE)</f>
        <v>AVI0000132</v>
      </c>
      <c r="L590" t="e">
        <v>#N/A</v>
      </c>
      <c r="M590" t="s">
        <v>992</v>
      </c>
      <c r="N590" t="e">
        <f>M590&amp;Tabla3[[#This Row],[CODIGO PRODUCTO TERMINADO]]&amp;"','"&amp;L590&amp;"',"&amp;Tabla3[[#This Row],[CANTIDAD MATERIAL (M)]]&amp;");"</f>
        <v>#N/A</v>
      </c>
    </row>
    <row r="591" spans="1:14" x14ac:dyDescent="0.25">
      <c r="A591" t="s">
        <v>1015</v>
      </c>
      <c r="B591" t="s">
        <v>63</v>
      </c>
      <c r="C591" t="s">
        <v>1014</v>
      </c>
      <c r="D591" t="s">
        <v>51</v>
      </c>
      <c r="E591" s="8" t="s">
        <v>36</v>
      </c>
      <c r="F591">
        <v>2</v>
      </c>
      <c r="G591" t="s">
        <v>396</v>
      </c>
      <c r="H591" t="str">
        <f>VLOOKUP(Tabla3[[#This Row],[DESCRIPCION MATERIAL]],'CODIGO MAT'!$C$2:$D$390,2,FALSE)</f>
        <v>AVI0000135</v>
      </c>
      <c r="L591" t="e">
        <v>#N/A</v>
      </c>
      <c r="M591" t="s">
        <v>992</v>
      </c>
      <c r="N591" t="e">
        <f>M591&amp;Tabla3[[#This Row],[CODIGO PRODUCTO TERMINADO]]&amp;"','"&amp;L591&amp;"',"&amp;Tabla3[[#This Row],[CANTIDAD MATERIAL (M)]]&amp;");"</f>
        <v>#N/A</v>
      </c>
    </row>
    <row r="592" spans="1:14" x14ac:dyDescent="0.25">
      <c r="A592" t="s">
        <v>1015</v>
      </c>
      <c r="B592" t="s">
        <v>63</v>
      </c>
      <c r="C592" t="s">
        <v>1014</v>
      </c>
      <c r="D592" t="s">
        <v>51</v>
      </c>
      <c r="E592" s="8" t="s">
        <v>1128</v>
      </c>
      <c r="F592">
        <v>5.0000000000000001E-3</v>
      </c>
      <c r="G592" t="s">
        <v>78</v>
      </c>
      <c r="H592" t="str">
        <f>VLOOKUP(Tabla3[[#This Row],[DESCRIPCION MATERIAL]],'CODIGO MAT'!$C$2:$D$390,2,FALSE)</f>
        <v>AVI0000149</v>
      </c>
      <c r="L592" t="e">
        <v>#N/A</v>
      </c>
      <c r="M592" t="s">
        <v>992</v>
      </c>
      <c r="N592" t="e">
        <f>M592&amp;Tabla3[[#This Row],[CODIGO PRODUCTO TERMINADO]]&amp;"','"&amp;L592&amp;"',"&amp;Tabla3[[#This Row],[CANTIDAD MATERIAL (M)]]&amp;");"</f>
        <v>#N/A</v>
      </c>
    </row>
    <row r="593" spans="1:14" x14ac:dyDescent="0.25">
      <c r="A593" t="s">
        <v>1015</v>
      </c>
      <c r="B593" t="s">
        <v>63</v>
      </c>
      <c r="C593" t="s">
        <v>1014</v>
      </c>
      <c r="D593" t="s">
        <v>51</v>
      </c>
      <c r="E593" s="8" t="s">
        <v>1125</v>
      </c>
      <c r="F593">
        <v>2E-3</v>
      </c>
      <c r="G593" t="s">
        <v>396</v>
      </c>
      <c r="H593" t="str">
        <f>VLOOKUP(Tabla3[[#This Row],[DESCRIPCION MATERIAL]],'CODIGO MAT'!$C$2:$D$390,2,FALSE)</f>
        <v>AVI0000150</v>
      </c>
      <c r="L593" t="e">
        <v>#N/A</v>
      </c>
      <c r="M593" t="s">
        <v>992</v>
      </c>
      <c r="N593" t="e">
        <f>M593&amp;Tabla3[[#This Row],[CODIGO PRODUCTO TERMINADO]]&amp;"','"&amp;L593&amp;"',"&amp;Tabla3[[#This Row],[CANTIDAD MATERIAL (M)]]&amp;");"</f>
        <v>#N/A</v>
      </c>
    </row>
    <row r="594" spans="1:14" x14ac:dyDescent="0.25">
      <c r="A594" t="s">
        <v>1059</v>
      </c>
      <c r="B594" t="s">
        <v>63</v>
      </c>
      <c r="C594" t="s">
        <v>1052</v>
      </c>
      <c r="D594" t="s">
        <v>50</v>
      </c>
      <c r="E594" s="8" t="s">
        <v>128</v>
      </c>
      <c r="F594">
        <v>0.79749999999999999</v>
      </c>
      <c r="G594" t="s">
        <v>78</v>
      </c>
      <c r="H594" t="str">
        <f>VLOOKUP(Tabla3[[#This Row],[DESCRIPCION MATERIAL]],'CODIGO MAT'!$C$2:$D$390,2,FALSE)</f>
        <v>TEL0000055</v>
      </c>
      <c r="J594">
        <v>1</v>
      </c>
      <c r="K594">
        <v>0</v>
      </c>
      <c r="L594" t="e">
        <v>#N/A</v>
      </c>
      <c r="M594" t="s">
        <v>992</v>
      </c>
      <c r="N594" t="e">
        <f>M594&amp;Tabla3[[#This Row],[CODIGO PRODUCTO TERMINADO]]&amp;"','"&amp;L594&amp;"',"&amp;Tabla3[[#This Row],[CANTIDAD MATERIAL (M)]]&amp;");"</f>
        <v>#N/A</v>
      </c>
    </row>
    <row r="595" spans="1:14" x14ac:dyDescent="0.25">
      <c r="A595" t="s">
        <v>1059</v>
      </c>
      <c r="B595" t="s">
        <v>63</v>
      </c>
      <c r="C595" t="s">
        <v>1052</v>
      </c>
      <c r="D595" t="s">
        <v>50</v>
      </c>
      <c r="E595" s="8" t="s">
        <v>139</v>
      </c>
      <c r="F595">
        <v>8.5000000000000006E-2</v>
      </c>
      <c r="G595" t="s">
        <v>78</v>
      </c>
      <c r="H595" t="str">
        <f>VLOOKUP(Tabla3[[#This Row],[DESCRIPCION MATERIAL]],'CODIGO MAT'!$C$2:$D$390,2,FALSE)</f>
        <v>TEL0000066</v>
      </c>
      <c r="J595">
        <v>1</v>
      </c>
      <c r="K595">
        <v>0</v>
      </c>
    </row>
    <row r="596" spans="1:14" x14ac:dyDescent="0.25">
      <c r="A596" t="s">
        <v>1059</v>
      </c>
      <c r="B596" t="s">
        <v>63</v>
      </c>
      <c r="C596" t="s">
        <v>1052</v>
      </c>
      <c r="D596" t="s">
        <v>50</v>
      </c>
      <c r="E596" s="8" t="s">
        <v>118</v>
      </c>
      <c r="F596">
        <v>6.8699999999999997E-2</v>
      </c>
      <c r="G596" t="s">
        <v>78</v>
      </c>
      <c r="H596" t="str">
        <f>VLOOKUP(Tabla3[[#This Row],[DESCRIPCION MATERIAL]],'CODIGO MAT'!$C$2:$D$390,2,FALSE)</f>
        <v>TEL0000045</v>
      </c>
      <c r="J596">
        <v>1</v>
      </c>
      <c r="K596">
        <v>0</v>
      </c>
      <c r="L596" t="e">
        <v>#N/A</v>
      </c>
      <c r="M596" t="s">
        <v>992</v>
      </c>
      <c r="N596" t="e">
        <f>M596&amp;Tabla3[[#This Row],[CODIGO PRODUCTO TERMINADO]]&amp;"','"&amp;L596&amp;"',"&amp;Tabla3[[#This Row],[CANTIDAD MATERIAL (M)]]&amp;");"</f>
        <v>#N/A</v>
      </c>
    </row>
    <row r="597" spans="1:14" x14ac:dyDescent="0.25">
      <c r="A597" t="s">
        <v>1059</v>
      </c>
      <c r="B597" t="s">
        <v>63</v>
      </c>
      <c r="C597" t="s">
        <v>1052</v>
      </c>
      <c r="D597" t="s">
        <v>51</v>
      </c>
      <c r="E597" s="8" t="s">
        <v>308</v>
      </c>
      <c r="F597">
        <v>1.8700000000000001E-2</v>
      </c>
      <c r="G597" t="s">
        <v>78</v>
      </c>
      <c r="H597" t="str">
        <f>VLOOKUP(Tabla3[[#This Row],[DESCRIPCION MATERIAL]],'CODIGO MAT'!$C$2:$D$390,2,FALSE)</f>
        <v>AVI0000053</v>
      </c>
      <c r="J597">
        <v>1</v>
      </c>
      <c r="K597">
        <v>0</v>
      </c>
      <c r="L597" t="e">
        <v>#N/A</v>
      </c>
      <c r="M597" t="s">
        <v>992</v>
      </c>
      <c r="N597" t="e">
        <f>M597&amp;Tabla3[[#This Row],[CODIGO PRODUCTO TERMINADO]]&amp;"','"&amp;L597&amp;"',"&amp;Tabla3[[#This Row],[CANTIDAD MATERIAL (M)]]&amp;");"</f>
        <v>#N/A</v>
      </c>
    </row>
    <row r="598" spans="1:14" x14ac:dyDescent="0.25">
      <c r="A598" t="s">
        <v>1059</v>
      </c>
      <c r="B598" t="s">
        <v>63</v>
      </c>
      <c r="C598" t="s">
        <v>1052</v>
      </c>
      <c r="D598" t="s">
        <v>51</v>
      </c>
      <c r="E598" s="8" t="s">
        <v>261</v>
      </c>
      <c r="F598">
        <v>1</v>
      </c>
      <c r="G598" t="s">
        <v>396</v>
      </c>
      <c r="H598" t="str">
        <f>VLOOKUP(Tabla3[[#This Row],[DESCRIPCION MATERIAL]],'CODIGO MAT'!$C$2:$D$390,2,FALSE)</f>
        <v>AVI0000002</v>
      </c>
      <c r="J598">
        <v>1</v>
      </c>
      <c r="K598">
        <v>0</v>
      </c>
      <c r="L598" t="e">
        <v>#N/A</v>
      </c>
      <c r="M598" t="s">
        <v>992</v>
      </c>
      <c r="N598" t="e">
        <f>M598&amp;Tabla3[[#This Row],[CODIGO PRODUCTO TERMINADO]]&amp;"','"&amp;L598&amp;"',"&amp;Tabla3[[#This Row],[CANTIDAD MATERIAL (M)]]&amp;");"</f>
        <v>#N/A</v>
      </c>
    </row>
    <row r="599" spans="1:14" x14ac:dyDescent="0.25">
      <c r="A599" t="s">
        <v>1059</v>
      </c>
      <c r="B599" t="s">
        <v>63</v>
      </c>
      <c r="C599" t="s">
        <v>1052</v>
      </c>
      <c r="D599" t="s">
        <v>51</v>
      </c>
      <c r="E599" s="8" t="s">
        <v>35</v>
      </c>
      <c r="F599">
        <v>0.84</v>
      </c>
      <c r="G599" t="s">
        <v>78</v>
      </c>
      <c r="H599" t="str">
        <f>VLOOKUP(Tabla3[[#This Row],[DESCRIPCION MATERIAL]],'CODIGO MAT'!$C$2:$D$390,2,FALSE)</f>
        <v>AVI0000031</v>
      </c>
      <c r="J599">
        <v>1</v>
      </c>
      <c r="K599">
        <v>0.24</v>
      </c>
      <c r="L599" t="e">
        <v>#N/A</v>
      </c>
      <c r="M599" t="s">
        <v>992</v>
      </c>
      <c r="N599" t="e">
        <f>M599&amp;Tabla3[[#This Row],[CODIGO PRODUCTO TERMINADO]]&amp;"','"&amp;L599&amp;"',"&amp;Tabla3[[#This Row],[CANTIDAD MATERIAL (M)]]&amp;");"</f>
        <v>#N/A</v>
      </c>
    </row>
    <row r="600" spans="1:14" x14ac:dyDescent="0.25">
      <c r="A600" t="s">
        <v>1059</v>
      </c>
      <c r="B600" t="s">
        <v>63</v>
      </c>
      <c r="C600" t="s">
        <v>1052</v>
      </c>
      <c r="D600" t="s">
        <v>51</v>
      </c>
      <c r="E600" s="8" t="s">
        <v>996</v>
      </c>
      <c r="F600">
        <v>0.5</v>
      </c>
      <c r="G600" t="s">
        <v>78</v>
      </c>
      <c r="H600" t="str">
        <f>VLOOKUP(Tabla3[[#This Row],[DESCRIPCION MATERIAL]],'CODIGO MAT'!$C$2:$D$390,2,FALSE)</f>
        <v>AVI0000148</v>
      </c>
      <c r="J600">
        <v>1</v>
      </c>
      <c r="K600">
        <v>0</v>
      </c>
      <c r="L600" t="e">
        <v>#N/A</v>
      </c>
      <c r="M600" t="s">
        <v>992</v>
      </c>
      <c r="N600" t="e">
        <f>M600&amp;Tabla3[[#This Row],[CODIGO PRODUCTO TERMINADO]]&amp;"','"&amp;L600&amp;"',"&amp;Tabla3[[#This Row],[CANTIDAD MATERIAL (M)]]&amp;");"</f>
        <v>#N/A</v>
      </c>
    </row>
    <row r="601" spans="1:14" x14ac:dyDescent="0.25">
      <c r="A601" t="s">
        <v>1059</v>
      </c>
      <c r="B601" t="s">
        <v>63</v>
      </c>
      <c r="C601" t="s">
        <v>1052</v>
      </c>
      <c r="D601" t="s">
        <v>51</v>
      </c>
      <c r="E601" s="8" t="s">
        <v>398</v>
      </c>
      <c r="F601">
        <v>9</v>
      </c>
      <c r="G601" t="s">
        <v>396</v>
      </c>
      <c r="H601" t="str">
        <f>VLOOKUP(Tabla3[[#This Row],[DESCRIPCION MATERIAL]],'CODIGO MAT'!$C$2:$D$390,2,FALSE)</f>
        <v>AVI0000132</v>
      </c>
      <c r="L601" t="e">
        <v>#N/A</v>
      </c>
      <c r="M601" t="s">
        <v>992</v>
      </c>
      <c r="N601" t="e">
        <f>M601&amp;Tabla3[[#This Row],[CODIGO PRODUCTO TERMINADO]]&amp;"','"&amp;L601&amp;"',"&amp;Tabla3[[#This Row],[CANTIDAD MATERIAL (M)]]&amp;");"</f>
        <v>#N/A</v>
      </c>
    </row>
    <row r="602" spans="1:14" x14ac:dyDescent="0.25">
      <c r="A602" t="s">
        <v>1059</v>
      </c>
      <c r="B602" t="s">
        <v>63</v>
      </c>
      <c r="C602" t="s">
        <v>1052</v>
      </c>
      <c r="D602" t="s">
        <v>51</v>
      </c>
      <c r="E602" s="8" t="s">
        <v>36</v>
      </c>
      <c r="F602">
        <v>2</v>
      </c>
      <c r="G602" t="s">
        <v>396</v>
      </c>
      <c r="H602" t="str">
        <f>VLOOKUP(Tabla3[[#This Row],[DESCRIPCION MATERIAL]],'CODIGO MAT'!$C$2:$D$390,2,FALSE)</f>
        <v>AVI0000135</v>
      </c>
      <c r="L602" t="e">
        <v>#N/A</v>
      </c>
      <c r="M602" t="s">
        <v>992</v>
      </c>
      <c r="N602" t="e">
        <f>M602&amp;Tabla3[[#This Row],[CODIGO PRODUCTO TERMINADO]]&amp;"','"&amp;L602&amp;"',"&amp;Tabla3[[#This Row],[CANTIDAD MATERIAL (M)]]&amp;");"</f>
        <v>#N/A</v>
      </c>
    </row>
    <row r="603" spans="1:14" x14ac:dyDescent="0.25">
      <c r="A603" t="s">
        <v>1059</v>
      </c>
      <c r="B603" t="s">
        <v>63</v>
      </c>
      <c r="C603" t="s">
        <v>1052</v>
      </c>
      <c r="D603" t="s">
        <v>51</v>
      </c>
      <c r="E603" s="8" t="s">
        <v>1128</v>
      </c>
      <c r="F603">
        <v>5.0000000000000001E-3</v>
      </c>
      <c r="G603" t="s">
        <v>78</v>
      </c>
      <c r="H603" t="str">
        <f>VLOOKUP(Tabla3[[#This Row],[DESCRIPCION MATERIAL]],'CODIGO MAT'!$C$2:$D$390,2,FALSE)</f>
        <v>AVI0000149</v>
      </c>
      <c r="L603" t="e">
        <v>#N/A</v>
      </c>
      <c r="M603" t="s">
        <v>992</v>
      </c>
      <c r="N603" t="e">
        <f>M603&amp;Tabla3[[#This Row],[CODIGO PRODUCTO TERMINADO]]&amp;"','"&amp;L603&amp;"',"&amp;Tabla3[[#This Row],[CANTIDAD MATERIAL (M)]]&amp;");"</f>
        <v>#N/A</v>
      </c>
    </row>
    <row r="604" spans="1:14" x14ac:dyDescent="0.25">
      <c r="A604" t="s">
        <v>1059</v>
      </c>
      <c r="B604" t="s">
        <v>63</v>
      </c>
      <c r="C604" t="s">
        <v>1052</v>
      </c>
      <c r="D604" t="s">
        <v>51</v>
      </c>
      <c r="E604" s="8" t="s">
        <v>1125</v>
      </c>
      <c r="F604">
        <v>2E-3</v>
      </c>
      <c r="G604" t="s">
        <v>396</v>
      </c>
      <c r="H604" t="str">
        <f>VLOOKUP(Tabla3[[#This Row],[DESCRIPCION MATERIAL]],'CODIGO MAT'!$C$2:$D$390,2,FALSE)</f>
        <v>AVI0000150</v>
      </c>
      <c r="L604" t="e">
        <v>#N/A</v>
      </c>
      <c r="M604" t="s">
        <v>992</v>
      </c>
      <c r="N604" t="e">
        <f>M604&amp;Tabla3[[#This Row],[CODIGO PRODUCTO TERMINADO]]&amp;"','"&amp;L604&amp;"',"&amp;Tabla3[[#This Row],[CANTIDAD MATERIAL (M)]]&amp;");"</f>
        <v>#N/A</v>
      </c>
    </row>
    <row r="605" spans="1:14" x14ac:dyDescent="0.25">
      <c r="A605" t="s">
        <v>1060</v>
      </c>
      <c r="B605" t="s">
        <v>63</v>
      </c>
      <c r="C605" t="s">
        <v>1053</v>
      </c>
      <c r="D605" t="s">
        <v>50</v>
      </c>
      <c r="E605" s="8" t="s">
        <v>128</v>
      </c>
      <c r="F605">
        <v>0.9</v>
      </c>
      <c r="G605" t="s">
        <v>78</v>
      </c>
      <c r="H605" t="str">
        <f>VLOOKUP(Tabla3[[#This Row],[DESCRIPCION MATERIAL]],'CODIGO MAT'!$C$2:$D$390,2,FALSE)</f>
        <v>TEL0000055</v>
      </c>
      <c r="J605">
        <v>1</v>
      </c>
      <c r="K605">
        <v>0</v>
      </c>
      <c r="L605" t="e">
        <v>#N/A</v>
      </c>
      <c r="M605" t="s">
        <v>992</v>
      </c>
      <c r="N605" t="e">
        <f>M605&amp;Tabla3[[#This Row],[CODIGO PRODUCTO TERMINADO]]&amp;"','"&amp;L605&amp;"',"&amp;Tabla3[[#This Row],[CANTIDAD MATERIAL (M)]]&amp;");"</f>
        <v>#N/A</v>
      </c>
    </row>
    <row r="606" spans="1:14" x14ac:dyDescent="0.25">
      <c r="A606" t="s">
        <v>1060</v>
      </c>
      <c r="B606" t="s">
        <v>63</v>
      </c>
      <c r="C606" t="s">
        <v>1053</v>
      </c>
      <c r="D606" t="s">
        <v>50</v>
      </c>
      <c r="E606" s="8" t="s">
        <v>139</v>
      </c>
      <c r="F606">
        <v>8.5000000000000006E-2</v>
      </c>
      <c r="G606" t="s">
        <v>78</v>
      </c>
      <c r="H606" t="str">
        <f>VLOOKUP(Tabla3[[#This Row],[DESCRIPCION MATERIAL]],'CODIGO MAT'!$C$2:$D$390,2,FALSE)</f>
        <v>TEL0000066</v>
      </c>
      <c r="J606">
        <v>1</v>
      </c>
      <c r="K606">
        <v>0</v>
      </c>
    </row>
    <row r="607" spans="1:14" x14ac:dyDescent="0.25">
      <c r="A607" t="s">
        <v>1060</v>
      </c>
      <c r="B607" t="s">
        <v>63</v>
      </c>
      <c r="C607" t="s">
        <v>1053</v>
      </c>
      <c r="D607" t="s">
        <v>50</v>
      </c>
      <c r="E607" s="8" t="s">
        <v>118</v>
      </c>
      <c r="F607">
        <v>6.8699999999999997E-2</v>
      </c>
      <c r="G607" t="s">
        <v>78</v>
      </c>
      <c r="H607" t="str">
        <f>VLOOKUP(Tabla3[[#This Row],[DESCRIPCION MATERIAL]],'CODIGO MAT'!$C$2:$D$390,2,FALSE)</f>
        <v>TEL0000045</v>
      </c>
      <c r="J607">
        <v>1</v>
      </c>
      <c r="K607">
        <v>0</v>
      </c>
      <c r="L607" t="e">
        <v>#N/A</v>
      </c>
      <c r="M607" t="s">
        <v>992</v>
      </c>
      <c r="N607" t="e">
        <f>M607&amp;Tabla3[[#This Row],[CODIGO PRODUCTO TERMINADO]]&amp;"','"&amp;L607&amp;"',"&amp;Tabla3[[#This Row],[CANTIDAD MATERIAL (M)]]&amp;");"</f>
        <v>#N/A</v>
      </c>
    </row>
    <row r="608" spans="1:14" x14ac:dyDescent="0.25">
      <c r="A608" t="s">
        <v>1060</v>
      </c>
      <c r="B608" t="s">
        <v>63</v>
      </c>
      <c r="C608" t="s">
        <v>1053</v>
      </c>
      <c r="D608" t="s">
        <v>51</v>
      </c>
      <c r="E608" s="8" t="s">
        <v>308</v>
      </c>
      <c r="F608">
        <v>1.8700000000000001E-2</v>
      </c>
      <c r="G608" t="s">
        <v>78</v>
      </c>
      <c r="H608" t="str">
        <f>VLOOKUP(Tabla3[[#This Row],[DESCRIPCION MATERIAL]],'CODIGO MAT'!$C$2:$D$390,2,FALSE)</f>
        <v>AVI0000053</v>
      </c>
      <c r="J608">
        <v>1</v>
      </c>
      <c r="K608">
        <v>0</v>
      </c>
      <c r="L608" t="e">
        <v>#N/A</v>
      </c>
      <c r="M608" t="s">
        <v>992</v>
      </c>
      <c r="N608" t="e">
        <f>M608&amp;Tabla3[[#This Row],[CODIGO PRODUCTO TERMINADO]]&amp;"','"&amp;L608&amp;"',"&amp;Tabla3[[#This Row],[CANTIDAD MATERIAL (M)]]&amp;");"</f>
        <v>#N/A</v>
      </c>
    </row>
    <row r="609" spans="1:14" x14ac:dyDescent="0.25">
      <c r="A609" t="s">
        <v>1060</v>
      </c>
      <c r="B609" t="s">
        <v>63</v>
      </c>
      <c r="C609" t="s">
        <v>1053</v>
      </c>
      <c r="D609" t="s">
        <v>51</v>
      </c>
      <c r="E609" s="8" t="s">
        <v>261</v>
      </c>
      <c r="F609">
        <v>1</v>
      </c>
      <c r="G609" t="s">
        <v>396</v>
      </c>
      <c r="H609" t="str">
        <f>VLOOKUP(Tabla3[[#This Row],[DESCRIPCION MATERIAL]],'CODIGO MAT'!$C$2:$D$390,2,FALSE)</f>
        <v>AVI0000002</v>
      </c>
      <c r="J609">
        <v>1</v>
      </c>
      <c r="K609">
        <v>0</v>
      </c>
      <c r="L609" t="e">
        <v>#N/A</v>
      </c>
      <c r="M609" t="s">
        <v>992</v>
      </c>
      <c r="N609" t="e">
        <f>M609&amp;Tabla3[[#This Row],[CODIGO PRODUCTO TERMINADO]]&amp;"','"&amp;L609&amp;"',"&amp;Tabla3[[#This Row],[CANTIDAD MATERIAL (M)]]&amp;");"</f>
        <v>#N/A</v>
      </c>
    </row>
    <row r="610" spans="1:14" x14ac:dyDescent="0.25">
      <c r="A610" t="s">
        <v>1060</v>
      </c>
      <c r="B610" t="s">
        <v>63</v>
      </c>
      <c r="C610" t="s">
        <v>1053</v>
      </c>
      <c r="D610" t="s">
        <v>51</v>
      </c>
      <c r="E610" s="8" t="s">
        <v>35</v>
      </c>
      <c r="F610">
        <v>0.84</v>
      </c>
      <c r="G610" t="s">
        <v>78</v>
      </c>
      <c r="H610" t="str">
        <f>VLOOKUP(Tabla3[[#This Row],[DESCRIPCION MATERIAL]],'CODIGO MAT'!$C$2:$D$390,2,FALSE)</f>
        <v>AVI0000031</v>
      </c>
      <c r="J610">
        <v>1</v>
      </c>
      <c r="K610">
        <v>0.24</v>
      </c>
      <c r="L610" t="e">
        <v>#N/A</v>
      </c>
      <c r="M610" t="s">
        <v>992</v>
      </c>
      <c r="N610" t="e">
        <f>M610&amp;Tabla3[[#This Row],[CODIGO PRODUCTO TERMINADO]]&amp;"','"&amp;L610&amp;"',"&amp;Tabla3[[#This Row],[CANTIDAD MATERIAL (M)]]&amp;");"</f>
        <v>#N/A</v>
      </c>
    </row>
    <row r="611" spans="1:14" x14ac:dyDescent="0.25">
      <c r="A611" t="s">
        <v>1060</v>
      </c>
      <c r="B611" t="s">
        <v>63</v>
      </c>
      <c r="C611" t="s">
        <v>1053</v>
      </c>
      <c r="D611" t="s">
        <v>51</v>
      </c>
      <c r="E611" s="8" t="s">
        <v>996</v>
      </c>
      <c r="F611">
        <v>0.5</v>
      </c>
      <c r="G611" t="s">
        <v>78</v>
      </c>
      <c r="H611" t="str">
        <f>VLOOKUP(Tabla3[[#This Row],[DESCRIPCION MATERIAL]],'CODIGO MAT'!$C$2:$D$390,2,FALSE)</f>
        <v>AVI0000148</v>
      </c>
      <c r="J611">
        <v>1</v>
      </c>
      <c r="K611">
        <v>0</v>
      </c>
      <c r="L611" t="e">
        <v>#N/A</v>
      </c>
      <c r="M611" t="s">
        <v>992</v>
      </c>
      <c r="N611" t="e">
        <f>M611&amp;Tabla3[[#This Row],[CODIGO PRODUCTO TERMINADO]]&amp;"','"&amp;L611&amp;"',"&amp;Tabla3[[#This Row],[CANTIDAD MATERIAL (M)]]&amp;");"</f>
        <v>#N/A</v>
      </c>
    </row>
    <row r="612" spans="1:14" x14ac:dyDescent="0.25">
      <c r="A612" t="s">
        <v>1060</v>
      </c>
      <c r="B612" t="s">
        <v>63</v>
      </c>
      <c r="C612" t="s">
        <v>1053</v>
      </c>
      <c r="D612" t="s">
        <v>51</v>
      </c>
      <c r="E612" s="8" t="s">
        <v>398</v>
      </c>
      <c r="F612">
        <v>9</v>
      </c>
      <c r="G612" t="s">
        <v>396</v>
      </c>
      <c r="H612" t="str">
        <f>VLOOKUP(Tabla3[[#This Row],[DESCRIPCION MATERIAL]],'CODIGO MAT'!$C$2:$D$390,2,FALSE)</f>
        <v>AVI0000132</v>
      </c>
      <c r="L612" t="e">
        <v>#N/A</v>
      </c>
      <c r="M612" t="s">
        <v>992</v>
      </c>
      <c r="N612" t="e">
        <f>M612&amp;Tabla3[[#This Row],[CODIGO PRODUCTO TERMINADO]]&amp;"','"&amp;L612&amp;"',"&amp;Tabla3[[#This Row],[CANTIDAD MATERIAL (M)]]&amp;");"</f>
        <v>#N/A</v>
      </c>
    </row>
    <row r="613" spans="1:14" x14ac:dyDescent="0.25">
      <c r="A613" t="s">
        <v>1060</v>
      </c>
      <c r="B613" t="s">
        <v>63</v>
      </c>
      <c r="C613" t="s">
        <v>1053</v>
      </c>
      <c r="D613" t="s">
        <v>51</v>
      </c>
      <c r="E613" s="8" t="s">
        <v>36</v>
      </c>
      <c r="F613">
        <v>2</v>
      </c>
      <c r="G613" t="s">
        <v>396</v>
      </c>
      <c r="H613" t="str">
        <f>VLOOKUP(Tabla3[[#This Row],[DESCRIPCION MATERIAL]],'CODIGO MAT'!$C$2:$D$390,2,FALSE)</f>
        <v>AVI0000135</v>
      </c>
      <c r="L613" t="e">
        <v>#N/A</v>
      </c>
      <c r="M613" t="s">
        <v>992</v>
      </c>
      <c r="N613" t="e">
        <f>M613&amp;Tabla3[[#This Row],[CODIGO PRODUCTO TERMINADO]]&amp;"','"&amp;L613&amp;"',"&amp;Tabla3[[#This Row],[CANTIDAD MATERIAL (M)]]&amp;");"</f>
        <v>#N/A</v>
      </c>
    </row>
    <row r="614" spans="1:14" x14ac:dyDescent="0.25">
      <c r="A614" t="s">
        <v>1060</v>
      </c>
      <c r="B614" t="s">
        <v>63</v>
      </c>
      <c r="C614" t="s">
        <v>1053</v>
      </c>
      <c r="D614" t="s">
        <v>51</v>
      </c>
      <c r="E614" s="8" t="s">
        <v>1128</v>
      </c>
      <c r="F614">
        <v>5.0000000000000001E-3</v>
      </c>
      <c r="G614" t="s">
        <v>78</v>
      </c>
      <c r="H614" t="str">
        <f>VLOOKUP(Tabla3[[#This Row],[DESCRIPCION MATERIAL]],'CODIGO MAT'!$C$2:$D$390,2,FALSE)</f>
        <v>AVI0000149</v>
      </c>
      <c r="L614" t="e">
        <v>#N/A</v>
      </c>
      <c r="M614" t="s">
        <v>992</v>
      </c>
      <c r="N614" t="e">
        <f>M614&amp;Tabla3[[#This Row],[CODIGO PRODUCTO TERMINADO]]&amp;"','"&amp;L614&amp;"',"&amp;Tabla3[[#This Row],[CANTIDAD MATERIAL (M)]]&amp;");"</f>
        <v>#N/A</v>
      </c>
    </row>
    <row r="615" spans="1:14" x14ac:dyDescent="0.25">
      <c r="A615" t="s">
        <v>1060</v>
      </c>
      <c r="B615" t="s">
        <v>63</v>
      </c>
      <c r="C615" t="s">
        <v>1053</v>
      </c>
      <c r="D615" t="s">
        <v>51</v>
      </c>
      <c r="E615" s="8" t="s">
        <v>1125</v>
      </c>
      <c r="F615">
        <v>2E-3</v>
      </c>
      <c r="G615" t="s">
        <v>396</v>
      </c>
      <c r="H615" t="str">
        <f>VLOOKUP(Tabla3[[#This Row],[DESCRIPCION MATERIAL]],'CODIGO MAT'!$C$2:$D$390,2,FALSE)</f>
        <v>AVI0000150</v>
      </c>
      <c r="L615" t="e">
        <v>#N/A</v>
      </c>
      <c r="M615" t="s">
        <v>992</v>
      </c>
      <c r="N615" t="e">
        <f>M615&amp;Tabla3[[#This Row],[CODIGO PRODUCTO TERMINADO]]&amp;"','"&amp;L615&amp;"',"&amp;Tabla3[[#This Row],[CANTIDAD MATERIAL (M)]]&amp;");"</f>
        <v>#N/A</v>
      </c>
    </row>
    <row r="616" spans="1:14" x14ac:dyDescent="0.25">
      <c r="A616" t="s">
        <v>1061</v>
      </c>
      <c r="B616" t="s">
        <v>63</v>
      </c>
      <c r="C616" t="s">
        <v>1054</v>
      </c>
      <c r="D616" t="s">
        <v>50</v>
      </c>
      <c r="E616" s="8" t="s">
        <v>128</v>
      </c>
      <c r="F616">
        <v>0.96</v>
      </c>
      <c r="G616" t="s">
        <v>78</v>
      </c>
      <c r="H616" t="str">
        <f>VLOOKUP(Tabla3[[#This Row],[DESCRIPCION MATERIAL]],'CODIGO MAT'!$C$2:$D$390,2,FALSE)</f>
        <v>TEL0000055</v>
      </c>
      <c r="J616">
        <v>1</v>
      </c>
      <c r="K616">
        <v>0</v>
      </c>
      <c r="L616" t="e">
        <v>#N/A</v>
      </c>
      <c r="M616" t="s">
        <v>992</v>
      </c>
      <c r="N616" t="e">
        <f>M616&amp;Tabla3[[#This Row],[CODIGO PRODUCTO TERMINADO]]&amp;"','"&amp;L616&amp;"',"&amp;Tabla3[[#This Row],[CANTIDAD MATERIAL (M)]]&amp;");"</f>
        <v>#N/A</v>
      </c>
    </row>
    <row r="617" spans="1:14" x14ac:dyDescent="0.25">
      <c r="A617" t="s">
        <v>1061</v>
      </c>
      <c r="B617" t="s">
        <v>63</v>
      </c>
      <c r="C617" t="s">
        <v>1054</v>
      </c>
      <c r="D617" t="s">
        <v>50</v>
      </c>
      <c r="E617" s="8" t="s">
        <v>139</v>
      </c>
      <c r="F617">
        <v>8.5000000000000006E-2</v>
      </c>
      <c r="G617" t="s">
        <v>78</v>
      </c>
      <c r="H617" t="str">
        <f>VLOOKUP(Tabla3[[#This Row],[DESCRIPCION MATERIAL]],'CODIGO MAT'!$C$2:$D$390,2,FALSE)</f>
        <v>TEL0000066</v>
      </c>
      <c r="J617">
        <v>1</v>
      </c>
      <c r="K617">
        <v>0</v>
      </c>
    </row>
    <row r="618" spans="1:14" x14ac:dyDescent="0.25">
      <c r="A618" t="s">
        <v>1061</v>
      </c>
      <c r="B618" t="s">
        <v>63</v>
      </c>
      <c r="C618" t="s">
        <v>1054</v>
      </c>
      <c r="D618" t="s">
        <v>50</v>
      </c>
      <c r="E618" s="8" t="s">
        <v>118</v>
      </c>
      <c r="F618">
        <v>6.8699999999999997E-2</v>
      </c>
      <c r="G618" t="s">
        <v>78</v>
      </c>
      <c r="H618" t="str">
        <f>VLOOKUP(Tabla3[[#This Row],[DESCRIPCION MATERIAL]],'CODIGO MAT'!$C$2:$D$390,2,FALSE)</f>
        <v>TEL0000045</v>
      </c>
      <c r="J618">
        <v>1</v>
      </c>
      <c r="K618">
        <v>0</v>
      </c>
      <c r="L618" t="e">
        <v>#N/A</v>
      </c>
      <c r="M618" t="s">
        <v>992</v>
      </c>
      <c r="N618" t="e">
        <f>M618&amp;Tabla3[[#This Row],[CODIGO PRODUCTO TERMINADO]]&amp;"','"&amp;L618&amp;"',"&amp;Tabla3[[#This Row],[CANTIDAD MATERIAL (M)]]&amp;");"</f>
        <v>#N/A</v>
      </c>
    </row>
    <row r="619" spans="1:14" x14ac:dyDescent="0.25">
      <c r="A619" t="s">
        <v>1061</v>
      </c>
      <c r="B619" t="s">
        <v>63</v>
      </c>
      <c r="C619" t="s">
        <v>1054</v>
      </c>
      <c r="D619" t="s">
        <v>51</v>
      </c>
      <c r="E619" s="8" t="s">
        <v>308</v>
      </c>
      <c r="F619">
        <v>1.8700000000000001E-2</v>
      </c>
      <c r="G619" t="s">
        <v>78</v>
      </c>
      <c r="H619" t="str">
        <f>VLOOKUP(Tabla3[[#This Row],[DESCRIPCION MATERIAL]],'CODIGO MAT'!$C$2:$D$390,2,FALSE)</f>
        <v>AVI0000053</v>
      </c>
      <c r="J619">
        <v>1</v>
      </c>
      <c r="K619">
        <v>0</v>
      </c>
      <c r="L619" t="e">
        <v>#N/A</v>
      </c>
      <c r="M619" t="s">
        <v>992</v>
      </c>
      <c r="N619" t="e">
        <f>M619&amp;Tabla3[[#This Row],[CODIGO PRODUCTO TERMINADO]]&amp;"','"&amp;L619&amp;"',"&amp;Tabla3[[#This Row],[CANTIDAD MATERIAL (M)]]&amp;");"</f>
        <v>#N/A</v>
      </c>
    </row>
    <row r="620" spans="1:14" x14ac:dyDescent="0.25">
      <c r="A620" t="s">
        <v>1061</v>
      </c>
      <c r="B620" t="s">
        <v>63</v>
      </c>
      <c r="C620" t="s">
        <v>1054</v>
      </c>
      <c r="D620" t="s">
        <v>51</v>
      </c>
      <c r="E620" s="8" t="s">
        <v>261</v>
      </c>
      <c r="F620">
        <v>1</v>
      </c>
      <c r="G620" t="s">
        <v>396</v>
      </c>
      <c r="H620" t="str">
        <f>VLOOKUP(Tabla3[[#This Row],[DESCRIPCION MATERIAL]],'CODIGO MAT'!$C$2:$D$390,2,FALSE)</f>
        <v>AVI0000002</v>
      </c>
      <c r="J620">
        <v>1</v>
      </c>
      <c r="K620">
        <v>0</v>
      </c>
      <c r="L620" t="e">
        <v>#N/A</v>
      </c>
      <c r="M620" t="s">
        <v>992</v>
      </c>
      <c r="N620" t="e">
        <f>M620&amp;Tabla3[[#This Row],[CODIGO PRODUCTO TERMINADO]]&amp;"','"&amp;L620&amp;"',"&amp;Tabla3[[#This Row],[CANTIDAD MATERIAL (M)]]&amp;");"</f>
        <v>#N/A</v>
      </c>
    </row>
    <row r="621" spans="1:14" x14ac:dyDescent="0.25">
      <c r="A621" t="s">
        <v>1061</v>
      </c>
      <c r="B621" t="s">
        <v>63</v>
      </c>
      <c r="C621" t="s">
        <v>1054</v>
      </c>
      <c r="D621" t="s">
        <v>51</v>
      </c>
      <c r="E621" s="8" t="s">
        <v>35</v>
      </c>
      <c r="F621">
        <v>0.84</v>
      </c>
      <c r="G621" t="s">
        <v>78</v>
      </c>
      <c r="H621" t="str">
        <f>VLOOKUP(Tabla3[[#This Row],[DESCRIPCION MATERIAL]],'CODIGO MAT'!$C$2:$D$390,2,FALSE)</f>
        <v>AVI0000031</v>
      </c>
      <c r="J621">
        <v>1</v>
      </c>
      <c r="K621">
        <v>0.24</v>
      </c>
      <c r="L621" t="e">
        <v>#N/A</v>
      </c>
      <c r="M621" t="s">
        <v>992</v>
      </c>
      <c r="N621" t="e">
        <f>M621&amp;Tabla3[[#This Row],[CODIGO PRODUCTO TERMINADO]]&amp;"','"&amp;L621&amp;"',"&amp;Tabla3[[#This Row],[CANTIDAD MATERIAL (M)]]&amp;");"</f>
        <v>#N/A</v>
      </c>
    </row>
    <row r="622" spans="1:14" x14ac:dyDescent="0.25">
      <c r="A622" t="s">
        <v>1061</v>
      </c>
      <c r="B622" t="s">
        <v>63</v>
      </c>
      <c r="C622" t="s">
        <v>1054</v>
      </c>
      <c r="D622" t="s">
        <v>51</v>
      </c>
      <c r="E622" s="8" t="s">
        <v>996</v>
      </c>
      <c r="F622">
        <v>0.5</v>
      </c>
      <c r="G622" t="s">
        <v>78</v>
      </c>
      <c r="H622" t="str">
        <f>VLOOKUP(Tabla3[[#This Row],[DESCRIPCION MATERIAL]],'CODIGO MAT'!$C$2:$D$390,2,FALSE)</f>
        <v>AVI0000148</v>
      </c>
      <c r="J622">
        <v>1</v>
      </c>
      <c r="K622">
        <v>0</v>
      </c>
      <c r="L622" t="e">
        <v>#N/A</v>
      </c>
      <c r="M622" t="s">
        <v>992</v>
      </c>
      <c r="N622" t="e">
        <f>M622&amp;Tabla3[[#This Row],[CODIGO PRODUCTO TERMINADO]]&amp;"','"&amp;L622&amp;"',"&amp;Tabla3[[#This Row],[CANTIDAD MATERIAL (M)]]&amp;");"</f>
        <v>#N/A</v>
      </c>
    </row>
    <row r="623" spans="1:14" x14ac:dyDescent="0.25">
      <c r="A623" t="s">
        <v>1061</v>
      </c>
      <c r="B623" t="s">
        <v>63</v>
      </c>
      <c r="C623" t="s">
        <v>1054</v>
      </c>
      <c r="D623" t="s">
        <v>51</v>
      </c>
      <c r="E623" s="8" t="s">
        <v>398</v>
      </c>
      <c r="F623">
        <v>10</v>
      </c>
      <c r="G623" t="s">
        <v>396</v>
      </c>
      <c r="H623" t="str">
        <f>VLOOKUP(Tabla3[[#This Row],[DESCRIPCION MATERIAL]],'CODIGO MAT'!$C$2:$D$390,2,FALSE)</f>
        <v>AVI0000132</v>
      </c>
      <c r="L623" t="e">
        <v>#N/A</v>
      </c>
      <c r="M623" t="s">
        <v>992</v>
      </c>
      <c r="N623" t="e">
        <f>M623&amp;Tabla3[[#This Row],[CODIGO PRODUCTO TERMINADO]]&amp;"','"&amp;L623&amp;"',"&amp;Tabla3[[#This Row],[CANTIDAD MATERIAL (M)]]&amp;");"</f>
        <v>#N/A</v>
      </c>
    </row>
    <row r="624" spans="1:14" x14ac:dyDescent="0.25">
      <c r="A624" t="s">
        <v>1061</v>
      </c>
      <c r="B624" t="s">
        <v>63</v>
      </c>
      <c r="C624" t="s">
        <v>1054</v>
      </c>
      <c r="D624" t="s">
        <v>51</v>
      </c>
      <c r="E624" s="8" t="s">
        <v>36</v>
      </c>
      <c r="F624">
        <v>2</v>
      </c>
      <c r="G624" t="s">
        <v>396</v>
      </c>
      <c r="H624" t="str">
        <f>VLOOKUP(Tabla3[[#This Row],[DESCRIPCION MATERIAL]],'CODIGO MAT'!$C$2:$D$390,2,FALSE)</f>
        <v>AVI0000135</v>
      </c>
      <c r="L624" t="e">
        <v>#N/A</v>
      </c>
      <c r="M624" t="s">
        <v>992</v>
      </c>
      <c r="N624" t="e">
        <f>M624&amp;Tabla3[[#This Row],[CODIGO PRODUCTO TERMINADO]]&amp;"','"&amp;L624&amp;"',"&amp;Tabla3[[#This Row],[CANTIDAD MATERIAL (M)]]&amp;");"</f>
        <v>#N/A</v>
      </c>
    </row>
    <row r="625" spans="1:14" x14ac:dyDescent="0.25">
      <c r="A625" t="s">
        <v>1061</v>
      </c>
      <c r="B625" t="s">
        <v>63</v>
      </c>
      <c r="C625" t="s">
        <v>1054</v>
      </c>
      <c r="D625" t="s">
        <v>51</v>
      </c>
      <c r="E625" s="8" t="s">
        <v>1128</v>
      </c>
      <c r="F625">
        <v>5.0000000000000001E-3</v>
      </c>
      <c r="G625" t="s">
        <v>78</v>
      </c>
      <c r="H625" t="str">
        <f>VLOOKUP(Tabla3[[#This Row],[DESCRIPCION MATERIAL]],'CODIGO MAT'!$C$2:$D$390,2,FALSE)</f>
        <v>AVI0000149</v>
      </c>
      <c r="L625" t="e">
        <v>#N/A</v>
      </c>
      <c r="M625" t="s">
        <v>992</v>
      </c>
      <c r="N625" t="e">
        <f>M625&amp;Tabla3[[#This Row],[CODIGO PRODUCTO TERMINADO]]&amp;"','"&amp;L625&amp;"',"&amp;Tabla3[[#This Row],[CANTIDAD MATERIAL (M)]]&amp;");"</f>
        <v>#N/A</v>
      </c>
    </row>
    <row r="626" spans="1:14" x14ac:dyDescent="0.25">
      <c r="A626" t="s">
        <v>1061</v>
      </c>
      <c r="B626" t="s">
        <v>63</v>
      </c>
      <c r="C626" t="s">
        <v>1054</v>
      </c>
      <c r="D626" t="s">
        <v>51</v>
      </c>
      <c r="E626" s="8" t="s">
        <v>1125</v>
      </c>
      <c r="F626">
        <v>2E-3</v>
      </c>
      <c r="G626" t="s">
        <v>396</v>
      </c>
      <c r="H626" t="str">
        <f>VLOOKUP(Tabla3[[#This Row],[DESCRIPCION MATERIAL]],'CODIGO MAT'!$C$2:$D$390,2,FALSE)</f>
        <v>AVI0000150</v>
      </c>
      <c r="L626" t="e">
        <v>#N/A</v>
      </c>
      <c r="M626" t="s">
        <v>992</v>
      </c>
      <c r="N626" t="e">
        <f>M626&amp;Tabla3[[#This Row],[CODIGO PRODUCTO TERMINADO]]&amp;"','"&amp;L626&amp;"',"&amp;Tabla3[[#This Row],[CANTIDAD MATERIAL (M)]]&amp;");"</f>
        <v>#N/A</v>
      </c>
    </row>
    <row r="627" spans="1:14" x14ac:dyDescent="0.25">
      <c r="A627" t="s">
        <v>1062</v>
      </c>
      <c r="B627" t="s">
        <v>63</v>
      </c>
      <c r="C627" t="s">
        <v>1055</v>
      </c>
      <c r="D627" t="s">
        <v>50</v>
      </c>
      <c r="E627" s="8" t="s">
        <v>128</v>
      </c>
      <c r="F627">
        <v>1.1575</v>
      </c>
      <c r="G627" t="s">
        <v>78</v>
      </c>
      <c r="H627" t="str">
        <f>VLOOKUP(Tabla3[[#This Row],[DESCRIPCION MATERIAL]],'CODIGO MAT'!$C$2:$D$390,2,FALSE)</f>
        <v>TEL0000055</v>
      </c>
      <c r="J627">
        <v>1</v>
      </c>
      <c r="K627">
        <v>0</v>
      </c>
      <c r="L627" t="e">
        <v>#N/A</v>
      </c>
      <c r="M627" t="s">
        <v>992</v>
      </c>
      <c r="N627" t="e">
        <f>M627&amp;Tabla3[[#This Row],[CODIGO PRODUCTO TERMINADO]]&amp;"','"&amp;L627&amp;"',"&amp;Tabla3[[#This Row],[CANTIDAD MATERIAL (M)]]&amp;");"</f>
        <v>#N/A</v>
      </c>
    </row>
    <row r="628" spans="1:14" x14ac:dyDescent="0.25">
      <c r="A628" t="s">
        <v>1062</v>
      </c>
      <c r="B628" t="s">
        <v>63</v>
      </c>
      <c r="C628" t="s">
        <v>1055</v>
      </c>
      <c r="D628" t="s">
        <v>50</v>
      </c>
      <c r="E628" s="8" t="s">
        <v>139</v>
      </c>
      <c r="F628">
        <v>8.5000000000000006E-2</v>
      </c>
      <c r="G628" t="s">
        <v>78</v>
      </c>
      <c r="H628" t="str">
        <f>VLOOKUP(Tabla3[[#This Row],[DESCRIPCION MATERIAL]],'CODIGO MAT'!$C$2:$D$390,2,FALSE)</f>
        <v>TEL0000066</v>
      </c>
      <c r="J628">
        <v>1</v>
      </c>
      <c r="K628">
        <v>0</v>
      </c>
    </row>
    <row r="629" spans="1:14" x14ac:dyDescent="0.25">
      <c r="A629" t="s">
        <v>1062</v>
      </c>
      <c r="B629" t="s">
        <v>63</v>
      </c>
      <c r="C629" t="s">
        <v>1055</v>
      </c>
      <c r="D629" t="s">
        <v>50</v>
      </c>
      <c r="E629" s="8" t="s">
        <v>118</v>
      </c>
      <c r="F629">
        <v>6.8699999999999997E-2</v>
      </c>
      <c r="G629" t="s">
        <v>78</v>
      </c>
      <c r="H629" t="str">
        <f>VLOOKUP(Tabla3[[#This Row],[DESCRIPCION MATERIAL]],'CODIGO MAT'!$C$2:$D$390,2,FALSE)</f>
        <v>TEL0000045</v>
      </c>
      <c r="J629">
        <v>1</v>
      </c>
      <c r="K629">
        <v>0</v>
      </c>
      <c r="L629" t="e">
        <v>#N/A</v>
      </c>
      <c r="M629" t="s">
        <v>992</v>
      </c>
      <c r="N629" t="e">
        <f>M629&amp;Tabla3[[#This Row],[CODIGO PRODUCTO TERMINADO]]&amp;"','"&amp;L629&amp;"',"&amp;Tabla3[[#This Row],[CANTIDAD MATERIAL (M)]]&amp;");"</f>
        <v>#N/A</v>
      </c>
    </row>
    <row r="630" spans="1:14" x14ac:dyDescent="0.25">
      <c r="A630" t="s">
        <v>1062</v>
      </c>
      <c r="B630" t="s">
        <v>63</v>
      </c>
      <c r="C630" t="s">
        <v>1055</v>
      </c>
      <c r="D630" t="s">
        <v>51</v>
      </c>
      <c r="E630" s="8" t="s">
        <v>308</v>
      </c>
      <c r="F630">
        <v>1.8700000000000001E-2</v>
      </c>
      <c r="G630" t="s">
        <v>78</v>
      </c>
      <c r="H630" t="str">
        <f>VLOOKUP(Tabla3[[#This Row],[DESCRIPCION MATERIAL]],'CODIGO MAT'!$C$2:$D$390,2,FALSE)</f>
        <v>AVI0000053</v>
      </c>
      <c r="J630">
        <v>1</v>
      </c>
      <c r="K630">
        <v>0</v>
      </c>
      <c r="L630" t="e">
        <v>#N/A</v>
      </c>
      <c r="M630" t="s">
        <v>992</v>
      </c>
      <c r="N630" t="e">
        <f>M630&amp;Tabla3[[#This Row],[CODIGO PRODUCTO TERMINADO]]&amp;"','"&amp;L630&amp;"',"&amp;Tabla3[[#This Row],[CANTIDAD MATERIAL (M)]]&amp;");"</f>
        <v>#N/A</v>
      </c>
    </row>
    <row r="631" spans="1:14" x14ac:dyDescent="0.25">
      <c r="A631" t="s">
        <v>1062</v>
      </c>
      <c r="B631" t="s">
        <v>63</v>
      </c>
      <c r="C631" t="s">
        <v>1055</v>
      </c>
      <c r="D631" t="s">
        <v>51</v>
      </c>
      <c r="E631" s="8" t="s">
        <v>261</v>
      </c>
      <c r="F631">
        <v>1</v>
      </c>
      <c r="G631" t="s">
        <v>396</v>
      </c>
      <c r="H631" t="str">
        <f>VLOOKUP(Tabla3[[#This Row],[DESCRIPCION MATERIAL]],'CODIGO MAT'!$C$2:$D$390,2,FALSE)</f>
        <v>AVI0000002</v>
      </c>
      <c r="J631">
        <v>1</v>
      </c>
      <c r="K631">
        <v>0</v>
      </c>
      <c r="L631" t="e">
        <v>#N/A</v>
      </c>
      <c r="M631" t="s">
        <v>992</v>
      </c>
      <c r="N631" t="e">
        <f>M631&amp;Tabla3[[#This Row],[CODIGO PRODUCTO TERMINADO]]&amp;"','"&amp;L631&amp;"',"&amp;Tabla3[[#This Row],[CANTIDAD MATERIAL (M)]]&amp;");"</f>
        <v>#N/A</v>
      </c>
    </row>
    <row r="632" spans="1:14" x14ac:dyDescent="0.25">
      <c r="A632" t="s">
        <v>1062</v>
      </c>
      <c r="B632" t="s">
        <v>63</v>
      </c>
      <c r="C632" t="s">
        <v>1055</v>
      </c>
      <c r="D632" t="s">
        <v>51</v>
      </c>
      <c r="E632" s="8" t="s">
        <v>35</v>
      </c>
      <c r="F632">
        <v>0.84</v>
      </c>
      <c r="G632" t="s">
        <v>78</v>
      </c>
      <c r="H632" t="str">
        <f>VLOOKUP(Tabla3[[#This Row],[DESCRIPCION MATERIAL]],'CODIGO MAT'!$C$2:$D$390,2,FALSE)</f>
        <v>AVI0000031</v>
      </c>
      <c r="J632">
        <v>1</v>
      </c>
      <c r="K632">
        <v>0.24</v>
      </c>
      <c r="L632" t="e">
        <v>#N/A</v>
      </c>
      <c r="M632" t="s">
        <v>992</v>
      </c>
      <c r="N632" t="e">
        <f>M632&amp;Tabla3[[#This Row],[CODIGO PRODUCTO TERMINADO]]&amp;"','"&amp;L632&amp;"',"&amp;Tabla3[[#This Row],[CANTIDAD MATERIAL (M)]]&amp;");"</f>
        <v>#N/A</v>
      </c>
    </row>
    <row r="633" spans="1:14" x14ac:dyDescent="0.25">
      <c r="A633" t="s">
        <v>1062</v>
      </c>
      <c r="B633" t="s">
        <v>63</v>
      </c>
      <c r="C633" t="s">
        <v>1055</v>
      </c>
      <c r="D633" t="s">
        <v>51</v>
      </c>
      <c r="E633" s="8" t="s">
        <v>996</v>
      </c>
      <c r="F633">
        <v>0.5</v>
      </c>
      <c r="G633" t="s">
        <v>78</v>
      </c>
      <c r="H633" t="str">
        <f>VLOOKUP(Tabla3[[#This Row],[DESCRIPCION MATERIAL]],'CODIGO MAT'!$C$2:$D$390,2,FALSE)</f>
        <v>AVI0000148</v>
      </c>
      <c r="J633">
        <v>1</v>
      </c>
      <c r="K633">
        <v>0</v>
      </c>
      <c r="L633" t="e">
        <v>#N/A</v>
      </c>
      <c r="M633" t="s">
        <v>992</v>
      </c>
      <c r="N633" t="e">
        <f>M633&amp;Tabla3[[#This Row],[CODIGO PRODUCTO TERMINADO]]&amp;"','"&amp;L633&amp;"',"&amp;Tabla3[[#This Row],[CANTIDAD MATERIAL (M)]]&amp;");"</f>
        <v>#N/A</v>
      </c>
    </row>
    <row r="634" spans="1:14" x14ac:dyDescent="0.25">
      <c r="A634" t="s">
        <v>1062</v>
      </c>
      <c r="B634" t="s">
        <v>63</v>
      </c>
      <c r="C634" t="s">
        <v>1055</v>
      </c>
      <c r="D634" t="s">
        <v>51</v>
      </c>
      <c r="E634" s="8" t="s">
        <v>398</v>
      </c>
      <c r="F634">
        <v>10</v>
      </c>
      <c r="G634" t="s">
        <v>396</v>
      </c>
      <c r="H634" t="str">
        <f>VLOOKUP(Tabla3[[#This Row],[DESCRIPCION MATERIAL]],'CODIGO MAT'!$C$2:$D$390,2,FALSE)</f>
        <v>AVI0000132</v>
      </c>
      <c r="L634" t="e">
        <v>#N/A</v>
      </c>
      <c r="M634" t="s">
        <v>992</v>
      </c>
      <c r="N634" t="e">
        <f>M634&amp;Tabla3[[#This Row],[CODIGO PRODUCTO TERMINADO]]&amp;"','"&amp;L634&amp;"',"&amp;Tabla3[[#This Row],[CANTIDAD MATERIAL (M)]]&amp;");"</f>
        <v>#N/A</v>
      </c>
    </row>
    <row r="635" spans="1:14" x14ac:dyDescent="0.25">
      <c r="A635" t="s">
        <v>1062</v>
      </c>
      <c r="B635" t="s">
        <v>63</v>
      </c>
      <c r="C635" t="s">
        <v>1055</v>
      </c>
      <c r="D635" t="s">
        <v>51</v>
      </c>
      <c r="E635" s="8" t="s">
        <v>36</v>
      </c>
      <c r="F635">
        <v>2</v>
      </c>
      <c r="G635" t="s">
        <v>396</v>
      </c>
      <c r="H635" t="str">
        <f>VLOOKUP(Tabla3[[#This Row],[DESCRIPCION MATERIAL]],'CODIGO MAT'!$C$2:$D$390,2,FALSE)</f>
        <v>AVI0000135</v>
      </c>
      <c r="L635" t="e">
        <v>#N/A</v>
      </c>
      <c r="M635" t="s">
        <v>992</v>
      </c>
      <c r="N635" t="e">
        <f>M635&amp;Tabla3[[#This Row],[CODIGO PRODUCTO TERMINADO]]&amp;"','"&amp;L635&amp;"',"&amp;Tabla3[[#This Row],[CANTIDAD MATERIAL (M)]]&amp;");"</f>
        <v>#N/A</v>
      </c>
    </row>
    <row r="636" spans="1:14" x14ac:dyDescent="0.25">
      <c r="A636" t="s">
        <v>1062</v>
      </c>
      <c r="B636" t="s">
        <v>63</v>
      </c>
      <c r="C636" t="s">
        <v>1055</v>
      </c>
      <c r="D636" t="s">
        <v>51</v>
      </c>
      <c r="E636" s="8" t="s">
        <v>1128</v>
      </c>
      <c r="F636">
        <v>5.0000000000000001E-3</v>
      </c>
      <c r="G636" t="s">
        <v>78</v>
      </c>
      <c r="H636" t="str">
        <f>VLOOKUP(Tabla3[[#This Row],[DESCRIPCION MATERIAL]],'CODIGO MAT'!$C$2:$D$390,2,FALSE)</f>
        <v>AVI0000149</v>
      </c>
      <c r="L636" t="e">
        <v>#N/A</v>
      </c>
      <c r="M636" t="s">
        <v>992</v>
      </c>
      <c r="N636" t="e">
        <f>M636&amp;Tabla3[[#This Row],[CODIGO PRODUCTO TERMINADO]]&amp;"','"&amp;L636&amp;"',"&amp;Tabla3[[#This Row],[CANTIDAD MATERIAL (M)]]&amp;");"</f>
        <v>#N/A</v>
      </c>
    </row>
    <row r="637" spans="1:14" x14ac:dyDescent="0.25">
      <c r="A637" t="s">
        <v>1062</v>
      </c>
      <c r="B637" t="s">
        <v>63</v>
      </c>
      <c r="C637" t="s">
        <v>1055</v>
      </c>
      <c r="D637" t="s">
        <v>51</v>
      </c>
      <c r="E637" s="8" t="s">
        <v>1125</v>
      </c>
      <c r="F637">
        <v>2E-3</v>
      </c>
      <c r="G637" t="s">
        <v>396</v>
      </c>
      <c r="H637" t="str">
        <f>VLOOKUP(Tabla3[[#This Row],[DESCRIPCION MATERIAL]],'CODIGO MAT'!$C$2:$D$390,2,FALSE)</f>
        <v>AVI0000150</v>
      </c>
      <c r="L637" t="e">
        <v>#N/A</v>
      </c>
      <c r="M637" t="s">
        <v>992</v>
      </c>
      <c r="N637" t="e">
        <f>M637&amp;Tabla3[[#This Row],[CODIGO PRODUCTO TERMINADO]]&amp;"','"&amp;L637&amp;"',"&amp;Tabla3[[#This Row],[CANTIDAD MATERIAL (M)]]&amp;");"</f>
        <v>#N/A</v>
      </c>
    </row>
    <row r="638" spans="1:14" x14ac:dyDescent="0.25">
      <c r="A638" t="s">
        <v>1063</v>
      </c>
      <c r="B638" t="s">
        <v>63</v>
      </c>
      <c r="C638" t="s">
        <v>1056</v>
      </c>
      <c r="D638" t="s">
        <v>50</v>
      </c>
      <c r="E638" s="8" t="s">
        <v>128</v>
      </c>
      <c r="F638">
        <v>1.29</v>
      </c>
      <c r="G638" t="s">
        <v>78</v>
      </c>
      <c r="H638" t="str">
        <f>VLOOKUP(Tabla3[[#This Row],[DESCRIPCION MATERIAL]],'CODIGO MAT'!$C$2:$D$390,2,FALSE)</f>
        <v>TEL0000055</v>
      </c>
      <c r="J638">
        <v>1</v>
      </c>
      <c r="K638">
        <v>0</v>
      </c>
      <c r="L638" t="e">
        <v>#N/A</v>
      </c>
      <c r="M638" t="s">
        <v>992</v>
      </c>
      <c r="N638" t="e">
        <f>M638&amp;Tabla3[[#This Row],[CODIGO PRODUCTO TERMINADO]]&amp;"','"&amp;L638&amp;"',"&amp;Tabla3[[#This Row],[CANTIDAD MATERIAL (M)]]&amp;");"</f>
        <v>#N/A</v>
      </c>
    </row>
    <row r="639" spans="1:14" x14ac:dyDescent="0.25">
      <c r="A639" t="s">
        <v>1063</v>
      </c>
      <c r="B639" t="s">
        <v>63</v>
      </c>
      <c r="C639" t="s">
        <v>1056</v>
      </c>
      <c r="D639" t="s">
        <v>50</v>
      </c>
      <c r="E639" s="8" t="s">
        <v>139</v>
      </c>
      <c r="F639">
        <v>8.5000000000000006E-2</v>
      </c>
      <c r="G639" t="s">
        <v>78</v>
      </c>
      <c r="H639" t="str">
        <f>VLOOKUP(Tabla3[[#This Row],[DESCRIPCION MATERIAL]],'CODIGO MAT'!$C$2:$D$390,2,FALSE)</f>
        <v>TEL0000066</v>
      </c>
      <c r="J639">
        <v>1</v>
      </c>
      <c r="K639">
        <v>0</v>
      </c>
    </row>
    <row r="640" spans="1:14" x14ac:dyDescent="0.25">
      <c r="A640" t="s">
        <v>1063</v>
      </c>
      <c r="B640" t="s">
        <v>63</v>
      </c>
      <c r="C640" t="s">
        <v>1056</v>
      </c>
      <c r="D640" t="s">
        <v>50</v>
      </c>
      <c r="E640" s="8" t="s">
        <v>118</v>
      </c>
      <c r="F640">
        <v>6.8699999999999997E-2</v>
      </c>
      <c r="G640" t="s">
        <v>78</v>
      </c>
      <c r="H640" t="str">
        <f>VLOOKUP(Tabla3[[#This Row],[DESCRIPCION MATERIAL]],'CODIGO MAT'!$C$2:$D$390,2,FALSE)</f>
        <v>TEL0000045</v>
      </c>
      <c r="J640">
        <v>1</v>
      </c>
      <c r="K640">
        <v>0</v>
      </c>
      <c r="L640" t="e">
        <v>#N/A</v>
      </c>
      <c r="M640" t="s">
        <v>992</v>
      </c>
      <c r="N640" t="e">
        <f>M640&amp;Tabla3[[#This Row],[CODIGO PRODUCTO TERMINADO]]&amp;"','"&amp;L640&amp;"',"&amp;Tabla3[[#This Row],[CANTIDAD MATERIAL (M)]]&amp;");"</f>
        <v>#N/A</v>
      </c>
    </row>
    <row r="641" spans="1:14" x14ac:dyDescent="0.25">
      <c r="A641" t="s">
        <v>1063</v>
      </c>
      <c r="B641" t="s">
        <v>63</v>
      </c>
      <c r="C641" t="s">
        <v>1056</v>
      </c>
      <c r="D641" t="s">
        <v>51</v>
      </c>
      <c r="E641" s="8" t="s">
        <v>308</v>
      </c>
      <c r="F641">
        <v>1.8700000000000001E-2</v>
      </c>
      <c r="G641" t="s">
        <v>78</v>
      </c>
      <c r="H641" t="str">
        <f>VLOOKUP(Tabla3[[#This Row],[DESCRIPCION MATERIAL]],'CODIGO MAT'!$C$2:$D$390,2,FALSE)</f>
        <v>AVI0000053</v>
      </c>
      <c r="J641">
        <v>1</v>
      </c>
      <c r="K641">
        <v>0</v>
      </c>
      <c r="L641" t="e">
        <v>#N/A</v>
      </c>
      <c r="M641" t="s">
        <v>992</v>
      </c>
      <c r="N641" t="e">
        <f>M641&amp;Tabla3[[#This Row],[CODIGO PRODUCTO TERMINADO]]&amp;"','"&amp;L641&amp;"',"&amp;Tabla3[[#This Row],[CANTIDAD MATERIAL (M)]]&amp;");"</f>
        <v>#N/A</v>
      </c>
    </row>
    <row r="642" spans="1:14" x14ac:dyDescent="0.25">
      <c r="A642" t="s">
        <v>1063</v>
      </c>
      <c r="B642" t="s">
        <v>63</v>
      </c>
      <c r="C642" t="s">
        <v>1056</v>
      </c>
      <c r="D642" t="s">
        <v>51</v>
      </c>
      <c r="E642" s="8" t="s">
        <v>261</v>
      </c>
      <c r="F642">
        <v>1</v>
      </c>
      <c r="G642" t="s">
        <v>396</v>
      </c>
      <c r="H642" t="str">
        <f>VLOOKUP(Tabla3[[#This Row],[DESCRIPCION MATERIAL]],'CODIGO MAT'!$C$2:$D$390,2,FALSE)</f>
        <v>AVI0000002</v>
      </c>
      <c r="J642">
        <v>1</v>
      </c>
      <c r="K642">
        <v>0</v>
      </c>
      <c r="L642" t="e">
        <v>#N/A</v>
      </c>
      <c r="M642" t="s">
        <v>992</v>
      </c>
      <c r="N642" t="e">
        <f>M642&amp;Tabla3[[#This Row],[CODIGO PRODUCTO TERMINADO]]&amp;"','"&amp;L642&amp;"',"&amp;Tabla3[[#This Row],[CANTIDAD MATERIAL (M)]]&amp;");"</f>
        <v>#N/A</v>
      </c>
    </row>
    <row r="643" spans="1:14" x14ac:dyDescent="0.25">
      <c r="A643" t="s">
        <v>1063</v>
      </c>
      <c r="B643" t="s">
        <v>63</v>
      </c>
      <c r="C643" t="s">
        <v>1056</v>
      </c>
      <c r="D643" t="s">
        <v>51</v>
      </c>
      <c r="E643" s="8" t="s">
        <v>35</v>
      </c>
      <c r="F643">
        <v>0.84</v>
      </c>
      <c r="G643" t="s">
        <v>78</v>
      </c>
      <c r="H643" t="str">
        <f>VLOOKUP(Tabla3[[#This Row],[DESCRIPCION MATERIAL]],'CODIGO MAT'!$C$2:$D$390,2,FALSE)</f>
        <v>AVI0000031</v>
      </c>
      <c r="J643">
        <v>1</v>
      </c>
      <c r="K643">
        <v>0.24</v>
      </c>
      <c r="L643" t="e">
        <v>#N/A</v>
      </c>
      <c r="M643" t="s">
        <v>992</v>
      </c>
      <c r="N643" t="e">
        <f>M643&amp;Tabla3[[#This Row],[CODIGO PRODUCTO TERMINADO]]&amp;"','"&amp;L643&amp;"',"&amp;Tabla3[[#This Row],[CANTIDAD MATERIAL (M)]]&amp;");"</f>
        <v>#N/A</v>
      </c>
    </row>
    <row r="644" spans="1:14" x14ac:dyDescent="0.25">
      <c r="A644" t="s">
        <v>1063</v>
      </c>
      <c r="B644" t="s">
        <v>63</v>
      </c>
      <c r="C644" t="s">
        <v>1056</v>
      </c>
      <c r="D644" t="s">
        <v>51</v>
      </c>
      <c r="E644" s="8" t="s">
        <v>996</v>
      </c>
      <c r="F644">
        <v>0.5</v>
      </c>
      <c r="G644" t="s">
        <v>78</v>
      </c>
      <c r="H644" t="str">
        <f>VLOOKUP(Tabla3[[#This Row],[DESCRIPCION MATERIAL]],'CODIGO MAT'!$C$2:$D$390,2,FALSE)</f>
        <v>AVI0000148</v>
      </c>
      <c r="J644">
        <v>1</v>
      </c>
      <c r="K644">
        <v>0</v>
      </c>
      <c r="L644" t="e">
        <v>#N/A</v>
      </c>
      <c r="M644" t="s">
        <v>992</v>
      </c>
      <c r="N644" t="e">
        <f>M644&amp;Tabla3[[#This Row],[CODIGO PRODUCTO TERMINADO]]&amp;"','"&amp;L644&amp;"',"&amp;Tabla3[[#This Row],[CANTIDAD MATERIAL (M)]]&amp;");"</f>
        <v>#N/A</v>
      </c>
    </row>
    <row r="645" spans="1:14" x14ac:dyDescent="0.25">
      <c r="A645" t="s">
        <v>1063</v>
      </c>
      <c r="B645" t="s">
        <v>63</v>
      </c>
      <c r="C645" t="s">
        <v>1056</v>
      </c>
      <c r="D645" t="s">
        <v>51</v>
      </c>
      <c r="E645" s="8" t="s">
        <v>398</v>
      </c>
      <c r="F645">
        <v>10</v>
      </c>
      <c r="G645" t="s">
        <v>396</v>
      </c>
      <c r="H645" t="str">
        <f>VLOOKUP(Tabla3[[#This Row],[DESCRIPCION MATERIAL]],'CODIGO MAT'!$C$2:$D$390,2,FALSE)</f>
        <v>AVI0000132</v>
      </c>
      <c r="L645" t="e">
        <v>#N/A</v>
      </c>
      <c r="M645" t="s">
        <v>992</v>
      </c>
      <c r="N645" t="e">
        <f>M645&amp;Tabla3[[#This Row],[CODIGO PRODUCTO TERMINADO]]&amp;"','"&amp;L645&amp;"',"&amp;Tabla3[[#This Row],[CANTIDAD MATERIAL (M)]]&amp;");"</f>
        <v>#N/A</v>
      </c>
    </row>
    <row r="646" spans="1:14" x14ac:dyDescent="0.25">
      <c r="A646" t="s">
        <v>1063</v>
      </c>
      <c r="B646" t="s">
        <v>63</v>
      </c>
      <c r="C646" t="s">
        <v>1056</v>
      </c>
      <c r="D646" t="s">
        <v>51</v>
      </c>
      <c r="E646" s="8" t="s">
        <v>36</v>
      </c>
      <c r="F646">
        <v>2</v>
      </c>
      <c r="G646" t="s">
        <v>396</v>
      </c>
      <c r="H646" t="str">
        <f>VLOOKUP(Tabla3[[#This Row],[DESCRIPCION MATERIAL]],'CODIGO MAT'!$C$2:$D$390,2,FALSE)</f>
        <v>AVI0000135</v>
      </c>
      <c r="L646" t="e">
        <v>#N/A</v>
      </c>
      <c r="M646" t="s">
        <v>992</v>
      </c>
      <c r="N646" t="e">
        <f>M646&amp;Tabla3[[#This Row],[CODIGO PRODUCTO TERMINADO]]&amp;"','"&amp;L646&amp;"',"&amp;Tabla3[[#This Row],[CANTIDAD MATERIAL (M)]]&amp;");"</f>
        <v>#N/A</v>
      </c>
    </row>
    <row r="647" spans="1:14" x14ac:dyDescent="0.25">
      <c r="A647" t="s">
        <v>1063</v>
      </c>
      <c r="B647" t="s">
        <v>63</v>
      </c>
      <c r="C647" t="s">
        <v>1056</v>
      </c>
      <c r="D647" t="s">
        <v>51</v>
      </c>
      <c r="E647" s="8" t="s">
        <v>1128</v>
      </c>
      <c r="F647">
        <v>5.0000000000000001E-3</v>
      </c>
      <c r="G647" t="s">
        <v>78</v>
      </c>
      <c r="H647" t="str">
        <f>VLOOKUP(Tabla3[[#This Row],[DESCRIPCION MATERIAL]],'CODIGO MAT'!$C$2:$D$390,2,FALSE)</f>
        <v>AVI0000149</v>
      </c>
      <c r="L647" t="e">
        <v>#N/A</v>
      </c>
      <c r="M647" t="s">
        <v>992</v>
      </c>
      <c r="N647" t="e">
        <f>M647&amp;Tabla3[[#This Row],[CODIGO PRODUCTO TERMINADO]]&amp;"','"&amp;L647&amp;"',"&amp;Tabla3[[#This Row],[CANTIDAD MATERIAL (M)]]&amp;");"</f>
        <v>#N/A</v>
      </c>
    </row>
    <row r="648" spans="1:14" x14ac:dyDescent="0.25">
      <c r="A648" t="s">
        <v>1063</v>
      </c>
      <c r="B648" t="s">
        <v>63</v>
      </c>
      <c r="C648" t="s">
        <v>1056</v>
      </c>
      <c r="D648" t="s">
        <v>51</v>
      </c>
      <c r="E648" s="8" t="s">
        <v>1125</v>
      </c>
      <c r="F648">
        <v>2E-3</v>
      </c>
      <c r="G648" t="s">
        <v>396</v>
      </c>
      <c r="H648" t="str">
        <f>VLOOKUP(Tabla3[[#This Row],[DESCRIPCION MATERIAL]],'CODIGO MAT'!$C$2:$D$390,2,FALSE)</f>
        <v>AVI0000150</v>
      </c>
      <c r="L648" t="e">
        <v>#N/A</v>
      </c>
      <c r="M648" t="s">
        <v>992</v>
      </c>
      <c r="N648" t="e">
        <f>M648&amp;Tabla3[[#This Row],[CODIGO PRODUCTO TERMINADO]]&amp;"','"&amp;L648&amp;"',"&amp;Tabla3[[#This Row],[CANTIDAD MATERIAL (M)]]&amp;");"</f>
        <v>#N/A</v>
      </c>
    </row>
    <row r="649" spans="1:14" x14ac:dyDescent="0.25">
      <c r="A649" t="s">
        <v>1064</v>
      </c>
      <c r="B649" t="s">
        <v>63</v>
      </c>
      <c r="C649" t="s">
        <v>1057</v>
      </c>
      <c r="D649" t="s">
        <v>50</v>
      </c>
      <c r="E649" s="8" t="s">
        <v>128</v>
      </c>
      <c r="F649">
        <v>1.415</v>
      </c>
      <c r="G649" t="s">
        <v>78</v>
      </c>
      <c r="H649" t="str">
        <f>VLOOKUP(Tabla3[[#This Row],[DESCRIPCION MATERIAL]],'CODIGO MAT'!$C$2:$D$390,2,FALSE)</f>
        <v>TEL0000055</v>
      </c>
      <c r="J649">
        <v>1</v>
      </c>
      <c r="K649">
        <v>0</v>
      </c>
      <c r="L649" t="e">
        <v>#N/A</v>
      </c>
      <c r="M649" t="s">
        <v>992</v>
      </c>
      <c r="N649" t="e">
        <f>M649&amp;Tabla3[[#This Row],[CODIGO PRODUCTO TERMINADO]]&amp;"','"&amp;L649&amp;"',"&amp;Tabla3[[#This Row],[CANTIDAD MATERIAL (M)]]&amp;");"</f>
        <v>#N/A</v>
      </c>
    </row>
    <row r="650" spans="1:14" x14ac:dyDescent="0.25">
      <c r="A650" t="s">
        <v>1064</v>
      </c>
      <c r="B650" t="s">
        <v>63</v>
      </c>
      <c r="C650" t="s">
        <v>1057</v>
      </c>
      <c r="D650" t="s">
        <v>50</v>
      </c>
      <c r="E650" s="8" t="s">
        <v>139</v>
      </c>
      <c r="F650">
        <v>8.5000000000000006E-2</v>
      </c>
      <c r="G650" t="s">
        <v>78</v>
      </c>
      <c r="H650" t="str">
        <f>VLOOKUP(Tabla3[[#This Row],[DESCRIPCION MATERIAL]],'CODIGO MAT'!$C$2:$D$390,2,FALSE)</f>
        <v>TEL0000066</v>
      </c>
      <c r="J650">
        <v>1</v>
      </c>
      <c r="K650">
        <v>0</v>
      </c>
    </row>
    <row r="651" spans="1:14" x14ac:dyDescent="0.25">
      <c r="A651" t="s">
        <v>1064</v>
      </c>
      <c r="B651" t="s">
        <v>63</v>
      </c>
      <c r="C651" t="s">
        <v>1057</v>
      </c>
      <c r="D651" t="s">
        <v>50</v>
      </c>
      <c r="E651" s="8" t="s">
        <v>118</v>
      </c>
      <c r="F651">
        <v>6.8699999999999997E-2</v>
      </c>
      <c r="G651" t="s">
        <v>78</v>
      </c>
      <c r="H651" t="str">
        <f>VLOOKUP(Tabla3[[#This Row],[DESCRIPCION MATERIAL]],'CODIGO MAT'!$C$2:$D$390,2,FALSE)</f>
        <v>TEL0000045</v>
      </c>
      <c r="J651">
        <v>1</v>
      </c>
      <c r="K651">
        <v>0</v>
      </c>
      <c r="L651" t="e">
        <v>#N/A</v>
      </c>
      <c r="M651" t="s">
        <v>992</v>
      </c>
      <c r="N651" t="e">
        <f>M651&amp;Tabla3[[#This Row],[CODIGO PRODUCTO TERMINADO]]&amp;"','"&amp;L651&amp;"',"&amp;Tabla3[[#This Row],[CANTIDAD MATERIAL (M)]]&amp;");"</f>
        <v>#N/A</v>
      </c>
    </row>
    <row r="652" spans="1:14" x14ac:dyDescent="0.25">
      <c r="A652" t="s">
        <v>1064</v>
      </c>
      <c r="B652" t="s">
        <v>63</v>
      </c>
      <c r="C652" t="s">
        <v>1057</v>
      </c>
      <c r="D652" t="s">
        <v>51</v>
      </c>
      <c r="E652" s="8" t="s">
        <v>308</v>
      </c>
      <c r="F652">
        <v>1.8700000000000001E-2</v>
      </c>
      <c r="G652" t="s">
        <v>78</v>
      </c>
      <c r="H652" t="str">
        <f>VLOOKUP(Tabla3[[#This Row],[DESCRIPCION MATERIAL]],'CODIGO MAT'!$C$2:$D$390,2,FALSE)</f>
        <v>AVI0000053</v>
      </c>
      <c r="J652">
        <v>1</v>
      </c>
      <c r="K652">
        <v>0</v>
      </c>
      <c r="L652" t="e">
        <v>#N/A</v>
      </c>
      <c r="M652" t="s">
        <v>992</v>
      </c>
      <c r="N652" t="e">
        <f>M652&amp;Tabla3[[#This Row],[CODIGO PRODUCTO TERMINADO]]&amp;"','"&amp;L652&amp;"',"&amp;Tabla3[[#This Row],[CANTIDAD MATERIAL (M)]]&amp;");"</f>
        <v>#N/A</v>
      </c>
    </row>
    <row r="653" spans="1:14" x14ac:dyDescent="0.25">
      <c r="A653" t="s">
        <v>1064</v>
      </c>
      <c r="B653" t="s">
        <v>63</v>
      </c>
      <c r="C653" t="s">
        <v>1057</v>
      </c>
      <c r="D653" t="s">
        <v>51</v>
      </c>
      <c r="E653" s="8" t="s">
        <v>261</v>
      </c>
      <c r="F653">
        <v>1</v>
      </c>
      <c r="G653" t="s">
        <v>396</v>
      </c>
      <c r="H653" t="str">
        <f>VLOOKUP(Tabla3[[#This Row],[DESCRIPCION MATERIAL]],'CODIGO MAT'!$C$2:$D$390,2,FALSE)</f>
        <v>AVI0000002</v>
      </c>
      <c r="J653">
        <v>1</v>
      </c>
      <c r="K653">
        <v>0</v>
      </c>
      <c r="L653" t="e">
        <v>#N/A</v>
      </c>
      <c r="M653" t="s">
        <v>992</v>
      </c>
      <c r="N653" t="e">
        <f>M653&amp;Tabla3[[#This Row],[CODIGO PRODUCTO TERMINADO]]&amp;"','"&amp;L653&amp;"',"&amp;Tabla3[[#This Row],[CANTIDAD MATERIAL (M)]]&amp;");"</f>
        <v>#N/A</v>
      </c>
    </row>
    <row r="654" spans="1:14" x14ac:dyDescent="0.25">
      <c r="A654" t="s">
        <v>1064</v>
      </c>
      <c r="B654" t="s">
        <v>63</v>
      </c>
      <c r="C654" t="s">
        <v>1057</v>
      </c>
      <c r="D654" t="s">
        <v>51</v>
      </c>
      <c r="E654" s="8" t="s">
        <v>35</v>
      </c>
      <c r="F654">
        <v>0.84</v>
      </c>
      <c r="G654" t="s">
        <v>78</v>
      </c>
      <c r="H654" t="str">
        <f>VLOOKUP(Tabla3[[#This Row],[DESCRIPCION MATERIAL]],'CODIGO MAT'!$C$2:$D$390,2,FALSE)</f>
        <v>AVI0000031</v>
      </c>
      <c r="J654">
        <v>1</v>
      </c>
      <c r="K654">
        <v>0.24</v>
      </c>
      <c r="L654" t="e">
        <v>#N/A</v>
      </c>
      <c r="M654" t="s">
        <v>992</v>
      </c>
      <c r="N654" t="e">
        <f>M654&amp;Tabla3[[#This Row],[CODIGO PRODUCTO TERMINADO]]&amp;"','"&amp;L654&amp;"',"&amp;Tabla3[[#This Row],[CANTIDAD MATERIAL (M)]]&amp;");"</f>
        <v>#N/A</v>
      </c>
    </row>
    <row r="655" spans="1:14" x14ac:dyDescent="0.25">
      <c r="A655" t="s">
        <v>1064</v>
      </c>
      <c r="B655" t="s">
        <v>63</v>
      </c>
      <c r="C655" t="s">
        <v>1057</v>
      </c>
      <c r="D655" t="s">
        <v>51</v>
      </c>
      <c r="E655" s="8" t="s">
        <v>996</v>
      </c>
      <c r="F655">
        <v>0.5</v>
      </c>
      <c r="G655" t="s">
        <v>78</v>
      </c>
      <c r="H655" t="str">
        <f>VLOOKUP(Tabla3[[#This Row],[DESCRIPCION MATERIAL]],'CODIGO MAT'!$C$2:$D$390,2,FALSE)</f>
        <v>AVI0000148</v>
      </c>
      <c r="J655">
        <v>1</v>
      </c>
      <c r="K655">
        <v>0</v>
      </c>
      <c r="L655" t="e">
        <v>#N/A</v>
      </c>
      <c r="M655" t="s">
        <v>992</v>
      </c>
      <c r="N655" t="e">
        <f>M655&amp;Tabla3[[#This Row],[CODIGO PRODUCTO TERMINADO]]&amp;"','"&amp;L655&amp;"',"&amp;Tabla3[[#This Row],[CANTIDAD MATERIAL (M)]]&amp;");"</f>
        <v>#N/A</v>
      </c>
    </row>
    <row r="656" spans="1:14" x14ac:dyDescent="0.25">
      <c r="A656" t="s">
        <v>1064</v>
      </c>
      <c r="B656" t="s">
        <v>63</v>
      </c>
      <c r="C656" t="s">
        <v>1057</v>
      </c>
      <c r="D656" t="s">
        <v>51</v>
      </c>
      <c r="E656" s="8" t="s">
        <v>398</v>
      </c>
      <c r="F656">
        <v>10</v>
      </c>
      <c r="G656" t="s">
        <v>396</v>
      </c>
      <c r="H656" t="str">
        <f>VLOOKUP(Tabla3[[#This Row],[DESCRIPCION MATERIAL]],'CODIGO MAT'!$C$2:$D$390,2,FALSE)</f>
        <v>AVI0000132</v>
      </c>
      <c r="L656" t="e">
        <v>#N/A</v>
      </c>
      <c r="M656" t="s">
        <v>992</v>
      </c>
      <c r="N656" t="e">
        <f>M656&amp;Tabla3[[#This Row],[CODIGO PRODUCTO TERMINADO]]&amp;"','"&amp;L656&amp;"',"&amp;Tabla3[[#This Row],[CANTIDAD MATERIAL (M)]]&amp;");"</f>
        <v>#N/A</v>
      </c>
    </row>
    <row r="657" spans="1:14" x14ac:dyDescent="0.25">
      <c r="A657" t="s">
        <v>1064</v>
      </c>
      <c r="B657" t="s">
        <v>63</v>
      </c>
      <c r="C657" t="s">
        <v>1057</v>
      </c>
      <c r="D657" t="s">
        <v>51</v>
      </c>
      <c r="E657" s="8" t="s">
        <v>36</v>
      </c>
      <c r="F657">
        <v>2</v>
      </c>
      <c r="G657" t="s">
        <v>396</v>
      </c>
      <c r="H657" t="str">
        <f>VLOOKUP(Tabla3[[#This Row],[DESCRIPCION MATERIAL]],'CODIGO MAT'!$C$2:$D$390,2,FALSE)</f>
        <v>AVI0000135</v>
      </c>
      <c r="L657" t="e">
        <v>#N/A</v>
      </c>
      <c r="M657" t="s">
        <v>992</v>
      </c>
      <c r="N657" t="e">
        <f>M657&amp;Tabla3[[#This Row],[CODIGO PRODUCTO TERMINADO]]&amp;"','"&amp;L657&amp;"',"&amp;Tabla3[[#This Row],[CANTIDAD MATERIAL (M)]]&amp;");"</f>
        <v>#N/A</v>
      </c>
    </row>
    <row r="658" spans="1:14" x14ac:dyDescent="0.25">
      <c r="A658" t="s">
        <v>1064</v>
      </c>
      <c r="B658" t="s">
        <v>63</v>
      </c>
      <c r="C658" t="s">
        <v>1057</v>
      </c>
      <c r="D658" t="s">
        <v>51</v>
      </c>
      <c r="E658" s="8" t="s">
        <v>1128</v>
      </c>
      <c r="F658">
        <v>5.0000000000000001E-3</v>
      </c>
      <c r="G658" t="s">
        <v>78</v>
      </c>
      <c r="H658" t="str">
        <f>VLOOKUP(Tabla3[[#This Row],[DESCRIPCION MATERIAL]],'CODIGO MAT'!$C$2:$D$390,2,FALSE)</f>
        <v>AVI0000149</v>
      </c>
      <c r="L658" t="e">
        <v>#N/A</v>
      </c>
      <c r="M658" t="s">
        <v>992</v>
      </c>
      <c r="N658" t="e">
        <f>M658&amp;Tabla3[[#This Row],[CODIGO PRODUCTO TERMINADO]]&amp;"','"&amp;L658&amp;"',"&amp;Tabla3[[#This Row],[CANTIDAD MATERIAL (M)]]&amp;");"</f>
        <v>#N/A</v>
      </c>
    </row>
    <row r="659" spans="1:14" x14ac:dyDescent="0.25">
      <c r="A659" t="s">
        <v>1064</v>
      </c>
      <c r="B659" t="s">
        <v>63</v>
      </c>
      <c r="C659" t="s">
        <v>1057</v>
      </c>
      <c r="D659" t="s">
        <v>51</v>
      </c>
      <c r="E659" s="8" t="s">
        <v>1125</v>
      </c>
      <c r="F659">
        <v>2E-3</v>
      </c>
      <c r="G659" t="s">
        <v>396</v>
      </c>
      <c r="H659" t="str">
        <f>VLOOKUP(Tabla3[[#This Row],[DESCRIPCION MATERIAL]],'CODIGO MAT'!$C$2:$D$390,2,FALSE)</f>
        <v>AVI0000150</v>
      </c>
      <c r="L659" t="e">
        <v>#N/A</v>
      </c>
      <c r="M659" t="s">
        <v>992</v>
      </c>
      <c r="N659" t="e">
        <f>M659&amp;Tabla3[[#This Row],[CODIGO PRODUCTO TERMINADO]]&amp;"','"&amp;L659&amp;"',"&amp;Tabla3[[#This Row],[CANTIDAD MATERIAL (M)]]&amp;");"</f>
        <v>#N/A</v>
      </c>
    </row>
    <row r="660" spans="1:14" x14ac:dyDescent="0.25">
      <c r="A660" t="s">
        <v>1065</v>
      </c>
      <c r="B660" t="s">
        <v>63</v>
      </c>
      <c r="C660" t="s">
        <v>1058</v>
      </c>
      <c r="D660" t="s">
        <v>50</v>
      </c>
      <c r="E660" s="8" t="s">
        <v>128</v>
      </c>
      <c r="F660">
        <v>0</v>
      </c>
      <c r="G660" t="s">
        <v>78</v>
      </c>
      <c r="H660" t="str">
        <f>VLOOKUP(Tabla3[[#This Row],[DESCRIPCION MATERIAL]],'CODIGO MAT'!$C$2:$D$390,2,FALSE)</f>
        <v>TEL0000055</v>
      </c>
      <c r="J660">
        <v>1</v>
      </c>
      <c r="K660">
        <v>0</v>
      </c>
      <c r="L660" t="e">
        <v>#N/A</v>
      </c>
      <c r="M660" t="s">
        <v>992</v>
      </c>
      <c r="N660" t="e">
        <f>M660&amp;Tabla3[[#This Row],[CODIGO PRODUCTO TERMINADO]]&amp;"','"&amp;L660&amp;"',"&amp;Tabla3[[#This Row],[CANTIDAD MATERIAL (M)]]&amp;");"</f>
        <v>#N/A</v>
      </c>
    </row>
    <row r="661" spans="1:14" x14ac:dyDescent="0.25">
      <c r="A661" t="s">
        <v>1065</v>
      </c>
      <c r="B661" t="s">
        <v>63</v>
      </c>
      <c r="C661" t="s">
        <v>1058</v>
      </c>
      <c r="D661" t="s">
        <v>50</v>
      </c>
      <c r="E661" s="8" t="s">
        <v>139</v>
      </c>
      <c r="F661">
        <v>9.1999999999999998E-2</v>
      </c>
      <c r="G661" t="s">
        <v>78</v>
      </c>
      <c r="H661" t="str">
        <f>VLOOKUP(Tabla3[[#This Row],[DESCRIPCION MATERIAL]],'CODIGO MAT'!$C$2:$D$390,2,FALSE)</f>
        <v>TEL0000066</v>
      </c>
      <c r="J661">
        <v>1</v>
      </c>
      <c r="K661">
        <v>0</v>
      </c>
    </row>
    <row r="662" spans="1:14" x14ac:dyDescent="0.25">
      <c r="A662" t="s">
        <v>1065</v>
      </c>
      <c r="B662" t="s">
        <v>63</v>
      </c>
      <c r="C662" t="s">
        <v>1058</v>
      </c>
      <c r="D662" t="s">
        <v>50</v>
      </c>
      <c r="E662" s="8" t="s">
        <v>118</v>
      </c>
      <c r="F662">
        <v>6.8699999999999997E-2</v>
      </c>
      <c r="G662" t="s">
        <v>78</v>
      </c>
      <c r="H662" t="str">
        <f>VLOOKUP(Tabla3[[#This Row],[DESCRIPCION MATERIAL]],'CODIGO MAT'!$C$2:$D$390,2,FALSE)</f>
        <v>TEL0000045</v>
      </c>
      <c r="J662">
        <v>1</v>
      </c>
      <c r="K662">
        <v>0</v>
      </c>
      <c r="L662" t="e">
        <v>#N/A</v>
      </c>
      <c r="M662" t="s">
        <v>992</v>
      </c>
      <c r="N662" t="e">
        <f>M662&amp;Tabla3[[#This Row],[CODIGO PRODUCTO TERMINADO]]&amp;"','"&amp;L662&amp;"',"&amp;Tabla3[[#This Row],[CANTIDAD MATERIAL (M)]]&amp;");"</f>
        <v>#N/A</v>
      </c>
    </row>
    <row r="663" spans="1:14" x14ac:dyDescent="0.25">
      <c r="A663" t="s">
        <v>1065</v>
      </c>
      <c r="B663" t="s">
        <v>63</v>
      </c>
      <c r="C663" t="s">
        <v>1058</v>
      </c>
      <c r="D663" t="s">
        <v>51</v>
      </c>
      <c r="E663" s="8" t="s">
        <v>308</v>
      </c>
      <c r="F663">
        <v>1.8700000000000001E-2</v>
      </c>
      <c r="G663" t="s">
        <v>78</v>
      </c>
      <c r="H663" t="str">
        <f>VLOOKUP(Tabla3[[#This Row],[DESCRIPCION MATERIAL]],'CODIGO MAT'!$C$2:$D$390,2,FALSE)</f>
        <v>AVI0000053</v>
      </c>
      <c r="J663">
        <v>1</v>
      </c>
      <c r="K663">
        <v>0</v>
      </c>
      <c r="L663" t="e">
        <v>#N/A</v>
      </c>
      <c r="M663" t="s">
        <v>992</v>
      </c>
      <c r="N663" t="e">
        <f>M663&amp;Tabla3[[#This Row],[CODIGO PRODUCTO TERMINADO]]&amp;"','"&amp;L663&amp;"',"&amp;Tabla3[[#This Row],[CANTIDAD MATERIAL (M)]]&amp;");"</f>
        <v>#N/A</v>
      </c>
    </row>
    <row r="664" spans="1:14" x14ac:dyDescent="0.25">
      <c r="A664" t="s">
        <v>1065</v>
      </c>
      <c r="B664" t="s">
        <v>63</v>
      </c>
      <c r="C664" t="s">
        <v>1058</v>
      </c>
      <c r="D664" t="s">
        <v>51</v>
      </c>
      <c r="E664" s="8" t="s">
        <v>261</v>
      </c>
      <c r="F664">
        <v>1</v>
      </c>
      <c r="G664" t="s">
        <v>396</v>
      </c>
      <c r="H664" t="str">
        <f>VLOOKUP(Tabla3[[#This Row],[DESCRIPCION MATERIAL]],'CODIGO MAT'!$C$2:$D$390,2,FALSE)</f>
        <v>AVI0000002</v>
      </c>
      <c r="J664">
        <v>1</v>
      </c>
      <c r="K664">
        <v>0</v>
      </c>
      <c r="L664" t="e">
        <v>#N/A</v>
      </c>
      <c r="M664" t="s">
        <v>992</v>
      </c>
      <c r="N664" t="e">
        <f>M664&amp;Tabla3[[#This Row],[CODIGO PRODUCTO TERMINADO]]&amp;"','"&amp;L664&amp;"',"&amp;Tabla3[[#This Row],[CANTIDAD MATERIAL (M)]]&amp;");"</f>
        <v>#N/A</v>
      </c>
    </row>
    <row r="665" spans="1:14" x14ac:dyDescent="0.25">
      <c r="A665" t="s">
        <v>1065</v>
      </c>
      <c r="B665" t="s">
        <v>63</v>
      </c>
      <c r="C665" t="s">
        <v>1058</v>
      </c>
      <c r="D665" t="s">
        <v>51</v>
      </c>
      <c r="E665" s="8" t="s">
        <v>35</v>
      </c>
      <c r="F665">
        <v>0.84</v>
      </c>
      <c r="G665" t="s">
        <v>78</v>
      </c>
      <c r="H665" t="str">
        <f>VLOOKUP(Tabla3[[#This Row],[DESCRIPCION MATERIAL]],'CODIGO MAT'!$C$2:$D$390,2,FALSE)</f>
        <v>AVI0000031</v>
      </c>
      <c r="J665">
        <v>1</v>
      </c>
      <c r="K665">
        <v>0.24</v>
      </c>
      <c r="L665" t="e">
        <v>#N/A</v>
      </c>
      <c r="M665" t="s">
        <v>992</v>
      </c>
      <c r="N665" t="e">
        <f>M665&amp;Tabla3[[#This Row],[CODIGO PRODUCTO TERMINADO]]&amp;"','"&amp;L665&amp;"',"&amp;Tabla3[[#This Row],[CANTIDAD MATERIAL (M)]]&amp;");"</f>
        <v>#N/A</v>
      </c>
    </row>
    <row r="666" spans="1:14" x14ac:dyDescent="0.25">
      <c r="A666" t="s">
        <v>1065</v>
      </c>
      <c r="B666" t="s">
        <v>63</v>
      </c>
      <c r="C666" t="s">
        <v>1058</v>
      </c>
      <c r="D666" t="s">
        <v>51</v>
      </c>
      <c r="E666" s="8" t="s">
        <v>996</v>
      </c>
      <c r="F666">
        <v>0.5</v>
      </c>
      <c r="G666" t="s">
        <v>78</v>
      </c>
      <c r="H666" t="str">
        <f>VLOOKUP(Tabla3[[#This Row],[DESCRIPCION MATERIAL]],'CODIGO MAT'!$C$2:$D$390,2,FALSE)</f>
        <v>AVI0000148</v>
      </c>
      <c r="J666">
        <v>1</v>
      </c>
      <c r="K666">
        <v>0</v>
      </c>
      <c r="L666" t="e">
        <v>#N/A</v>
      </c>
      <c r="M666" t="s">
        <v>992</v>
      </c>
      <c r="N666" t="e">
        <f>M666&amp;Tabla3[[#This Row],[CODIGO PRODUCTO TERMINADO]]&amp;"','"&amp;L666&amp;"',"&amp;Tabla3[[#This Row],[CANTIDAD MATERIAL (M)]]&amp;");"</f>
        <v>#N/A</v>
      </c>
    </row>
    <row r="667" spans="1:14" x14ac:dyDescent="0.25">
      <c r="A667" t="s">
        <v>1065</v>
      </c>
      <c r="B667" t="s">
        <v>63</v>
      </c>
      <c r="C667" t="s">
        <v>1058</v>
      </c>
      <c r="D667" t="s">
        <v>51</v>
      </c>
      <c r="E667" s="8" t="s">
        <v>398</v>
      </c>
      <c r="F667">
        <v>9</v>
      </c>
      <c r="G667" t="s">
        <v>396</v>
      </c>
      <c r="H667" t="str">
        <f>VLOOKUP(Tabla3[[#This Row],[DESCRIPCION MATERIAL]],'CODIGO MAT'!$C$2:$D$390,2,FALSE)</f>
        <v>AVI0000132</v>
      </c>
      <c r="L667" t="e">
        <v>#N/A</v>
      </c>
      <c r="M667" t="s">
        <v>992</v>
      </c>
      <c r="N667" t="e">
        <f>M667&amp;Tabla3[[#This Row],[CODIGO PRODUCTO TERMINADO]]&amp;"','"&amp;L667&amp;"',"&amp;Tabla3[[#This Row],[CANTIDAD MATERIAL (M)]]&amp;");"</f>
        <v>#N/A</v>
      </c>
    </row>
    <row r="668" spans="1:14" x14ac:dyDescent="0.25">
      <c r="A668" t="s">
        <v>1065</v>
      </c>
      <c r="B668" t="s">
        <v>63</v>
      </c>
      <c r="C668" t="s">
        <v>1058</v>
      </c>
      <c r="D668" t="s">
        <v>51</v>
      </c>
      <c r="E668" s="8" t="s">
        <v>36</v>
      </c>
      <c r="F668">
        <v>2</v>
      </c>
      <c r="G668" t="s">
        <v>396</v>
      </c>
      <c r="H668" t="str">
        <f>VLOOKUP(Tabla3[[#This Row],[DESCRIPCION MATERIAL]],'CODIGO MAT'!$C$2:$D$390,2,FALSE)</f>
        <v>AVI0000135</v>
      </c>
      <c r="L668" t="e">
        <v>#N/A</v>
      </c>
      <c r="M668" t="s">
        <v>992</v>
      </c>
      <c r="N668" t="e">
        <f>M668&amp;Tabla3[[#This Row],[CODIGO PRODUCTO TERMINADO]]&amp;"','"&amp;L668&amp;"',"&amp;Tabla3[[#This Row],[CANTIDAD MATERIAL (M)]]&amp;");"</f>
        <v>#N/A</v>
      </c>
    </row>
    <row r="669" spans="1:14" x14ac:dyDescent="0.25">
      <c r="A669" t="s">
        <v>1065</v>
      </c>
      <c r="B669" t="s">
        <v>63</v>
      </c>
      <c r="C669" t="s">
        <v>1058</v>
      </c>
      <c r="D669" t="s">
        <v>51</v>
      </c>
      <c r="E669" s="8" t="s">
        <v>1128</v>
      </c>
      <c r="F669">
        <v>5.0000000000000001E-3</v>
      </c>
      <c r="G669" t="s">
        <v>78</v>
      </c>
      <c r="H669" t="str">
        <f>VLOOKUP(Tabla3[[#This Row],[DESCRIPCION MATERIAL]],'CODIGO MAT'!$C$2:$D$390,2,FALSE)</f>
        <v>AVI0000149</v>
      </c>
      <c r="L669" t="e">
        <v>#N/A</v>
      </c>
      <c r="M669" t="s">
        <v>992</v>
      </c>
      <c r="N669" t="e">
        <f>M669&amp;Tabla3[[#This Row],[CODIGO PRODUCTO TERMINADO]]&amp;"','"&amp;L669&amp;"',"&amp;Tabla3[[#This Row],[CANTIDAD MATERIAL (M)]]&amp;");"</f>
        <v>#N/A</v>
      </c>
    </row>
    <row r="670" spans="1:14" x14ac:dyDescent="0.25">
      <c r="A670" t="s">
        <v>1065</v>
      </c>
      <c r="B670" t="s">
        <v>63</v>
      </c>
      <c r="C670" t="s">
        <v>1058</v>
      </c>
      <c r="D670" t="s">
        <v>51</v>
      </c>
      <c r="E670" s="8" t="s">
        <v>1125</v>
      </c>
      <c r="F670">
        <v>2E-3</v>
      </c>
      <c r="G670" t="s">
        <v>396</v>
      </c>
      <c r="H670" t="str">
        <f>VLOOKUP(Tabla3[[#This Row],[DESCRIPCION MATERIAL]],'CODIGO MAT'!$C$2:$D$390,2,FALSE)</f>
        <v>AVI0000150</v>
      </c>
      <c r="L670" t="e">
        <v>#N/A</v>
      </c>
      <c r="M670" t="s">
        <v>992</v>
      </c>
      <c r="N670" t="e">
        <f>M670&amp;Tabla3[[#This Row],[CODIGO PRODUCTO TERMINADO]]&amp;"','"&amp;L670&amp;"',"&amp;Tabla3[[#This Row],[CANTIDAD MATERIAL (M)]]&amp;");"</f>
        <v>#N/A</v>
      </c>
    </row>
    <row r="671" spans="1:14" x14ac:dyDescent="0.25">
      <c r="A671" t="s">
        <v>1066</v>
      </c>
      <c r="B671" t="s">
        <v>63</v>
      </c>
      <c r="C671" t="s">
        <v>1013</v>
      </c>
      <c r="D671" t="s">
        <v>50</v>
      </c>
      <c r="E671" s="8" t="s">
        <v>128</v>
      </c>
      <c r="F671">
        <v>0</v>
      </c>
      <c r="G671" t="s">
        <v>78</v>
      </c>
      <c r="H671" t="str">
        <f>VLOOKUP(Tabla3[[#This Row],[DESCRIPCION MATERIAL]],'CODIGO MAT'!$C$2:$D$390,2,FALSE)</f>
        <v>TEL0000055</v>
      </c>
      <c r="J671">
        <v>1</v>
      </c>
      <c r="K671">
        <v>0</v>
      </c>
      <c r="L671" t="e">
        <v>#N/A</v>
      </c>
      <c r="M671" t="s">
        <v>992</v>
      </c>
      <c r="N671" t="e">
        <f>M671&amp;Tabla3[[#This Row],[CODIGO PRODUCTO TERMINADO]]&amp;"','"&amp;L671&amp;"',"&amp;Tabla3[[#This Row],[CANTIDAD MATERIAL (M)]]&amp;");"</f>
        <v>#N/A</v>
      </c>
    </row>
    <row r="672" spans="1:14" x14ac:dyDescent="0.25">
      <c r="A672" t="s">
        <v>1066</v>
      </c>
      <c r="B672" t="s">
        <v>63</v>
      </c>
      <c r="C672" t="s">
        <v>1013</v>
      </c>
      <c r="D672" t="s">
        <v>50</v>
      </c>
      <c r="E672" s="8" t="s">
        <v>139</v>
      </c>
      <c r="F672">
        <v>9.1999999999999998E-2</v>
      </c>
      <c r="G672" t="s">
        <v>78</v>
      </c>
      <c r="H672" t="str">
        <f>VLOOKUP(Tabla3[[#This Row],[DESCRIPCION MATERIAL]],'CODIGO MAT'!$C$2:$D$390,2,FALSE)</f>
        <v>TEL0000066</v>
      </c>
      <c r="J672">
        <v>1</v>
      </c>
      <c r="K672">
        <v>0</v>
      </c>
      <c r="L672" t="e">
        <v>#N/A</v>
      </c>
      <c r="M672" t="s">
        <v>992</v>
      </c>
      <c r="N672" t="e">
        <f>M672&amp;Tabla3[[#This Row],[CODIGO PRODUCTO TERMINADO]]&amp;"','"&amp;L672&amp;"',"&amp;Tabla3[[#This Row],[CANTIDAD MATERIAL (M)]]&amp;");"</f>
        <v>#N/A</v>
      </c>
    </row>
    <row r="673" spans="1:14" x14ac:dyDescent="0.25">
      <c r="A673" t="s">
        <v>1066</v>
      </c>
      <c r="B673" t="s">
        <v>63</v>
      </c>
      <c r="C673" t="s">
        <v>1013</v>
      </c>
      <c r="D673" t="s">
        <v>50</v>
      </c>
      <c r="E673" s="8" t="s">
        <v>118</v>
      </c>
      <c r="F673">
        <v>6.8699999999999997E-2</v>
      </c>
      <c r="G673" t="s">
        <v>78</v>
      </c>
      <c r="H673" t="str">
        <f>VLOOKUP(Tabla3[[#This Row],[DESCRIPCION MATERIAL]],'CODIGO MAT'!$C$2:$D$390,2,FALSE)</f>
        <v>TEL0000045</v>
      </c>
      <c r="J673">
        <v>1</v>
      </c>
      <c r="K673">
        <v>0</v>
      </c>
      <c r="L673" t="e">
        <v>#N/A</v>
      </c>
      <c r="M673" t="s">
        <v>992</v>
      </c>
      <c r="N673" t="e">
        <f>M673&amp;Tabla3[[#This Row],[CODIGO PRODUCTO TERMINADO]]&amp;"','"&amp;L673&amp;"',"&amp;Tabla3[[#This Row],[CANTIDAD MATERIAL (M)]]&amp;");"</f>
        <v>#N/A</v>
      </c>
    </row>
    <row r="674" spans="1:14" x14ac:dyDescent="0.25">
      <c r="A674" t="s">
        <v>1066</v>
      </c>
      <c r="B674" t="s">
        <v>63</v>
      </c>
      <c r="C674" t="s">
        <v>1013</v>
      </c>
      <c r="D674" t="s">
        <v>51</v>
      </c>
      <c r="E674" s="8" t="s">
        <v>308</v>
      </c>
      <c r="F674">
        <v>1.8700000000000001E-2</v>
      </c>
      <c r="G674" t="s">
        <v>78</v>
      </c>
      <c r="H674" t="str">
        <f>VLOOKUP(Tabla3[[#This Row],[DESCRIPCION MATERIAL]],'CODIGO MAT'!$C$2:$D$390,2,FALSE)</f>
        <v>AVI0000053</v>
      </c>
      <c r="J674">
        <v>1</v>
      </c>
      <c r="K674">
        <v>0</v>
      </c>
      <c r="L674" t="e">
        <v>#N/A</v>
      </c>
      <c r="M674" t="s">
        <v>992</v>
      </c>
      <c r="N674" t="e">
        <f>M674&amp;Tabla3[[#This Row],[CODIGO PRODUCTO TERMINADO]]&amp;"','"&amp;L674&amp;"',"&amp;Tabla3[[#This Row],[CANTIDAD MATERIAL (M)]]&amp;");"</f>
        <v>#N/A</v>
      </c>
    </row>
    <row r="675" spans="1:14" x14ac:dyDescent="0.25">
      <c r="A675" t="s">
        <v>1066</v>
      </c>
      <c r="B675" t="s">
        <v>63</v>
      </c>
      <c r="C675" t="s">
        <v>1013</v>
      </c>
      <c r="D675" t="s">
        <v>51</v>
      </c>
      <c r="E675" s="8" t="s">
        <v>261</v>
      </c>
      <c r="F675">
        <v>1</v>
      </c>
      <c r="G675" t="s">
        <v>396</v>
      </c>
      <c r="H675" t="str">
        <f>VLOOKUP(Tabla3[[#This Row],[DESCRIPCION MATERIAL]],'CODIGO MAT'!$C$2:$D$390,2,FALSE)</f>
        <v>AVI0000002</v>
      </c>
      <c r="J675">
        <v>1</v>
      </c>
      <c r="K675">
        <v>0</v>
      </c>
      <c r="L675" t="e">
        <v>#N/A</v>
      </c>
      <c r="M675" t="s">
        <v>992</v>
      </c>
      <c r="N675" t="e">
        <f>M675&amp;Tabla3[[#This Row],[CODIGO PRODUCTO TERMINADO]]&amp;"','"&amp;L675&amp;"',"&amp;Tabla3[[#This Row],[CANTIDAD MATERIAL (M)]]&amp;");"</f>
        <v>#N/A</v>
      </c>
    </row>
    <row r="676" spans="1:14" x14ac:dyDescent="0.25">
      <c r="A676" t="s">
        <v>1066</v>
      </c>
      <c r="B676" t="s">
        <v>63</v>
      </c>
      <c r="C676" t="s">
        <v>1013</v>
      </c>
      <c r="D676" t="s">
        <v>51</v>
      </c>
      <c r="E676" s="8" t="s">
        <v>35</v>
      </c>
      <c r="F676">
        <v>0.84</v>
      </c>
      <c r="G676" t="s">
        <v>78</v>
      </c>
      <c r="H676" t="str">
        <f>VLOOKUP(Tabla3[[#This Row],[DESCRIPCION MATERIAL]],'CODIGO MAT'!$C$2:$D$390,2,FALSE)</f>
        <v>AVI0000031</v>
      </c>
      <c r="J676">
        <v>1</v>
      </c>
      <c r="K676">
        <v>0.24</v>
      </c>
      <c r="L676" t="e">
        <v>#N/A</v>
      </c>
      <c r="M676" t="s">
        <v>992</v>
      </c>
      <c r="N676" t="e">
        <f>M676&amp;Tabla3[[#This Row],[CODIGO PRODUCTO TERMINADO]]&amp;"','"&amp;L676&amp;"',"&amp;Tabla3[[#This Row],[CANTIDAD MATERIAL (M)]]&amp;");"</f>
        <v>#N/A</v>
      </c>
    </row>
    <row r="677" spans="1:14" x14ac:dyDescent="0.25">
      <c r="A677" t="s">
        <v>1066</v>
      </c>
      <c r="B677" t="s">
        <v>63</v>
      </c>
      <c r="C677" t="s">
        <v>1013</v>
      </c>
      <c r="D677" t="s">
        <v>51</v>
      </c>
      <c r="E677" s="8" t="s">
        <v>996</v>
      </c>
      <c r="F677">
        <v>0.5</v>
      </c>
      <c r="G677" t="s">
        <v>78</v>
      </c>
      <c r="H677" t="str">
        <f>VLOOKUP(Tabla3[[#This Row],[DESCRIPCION MATERIAL]],'CODIGO MAT'!$C$2:$D$390,2,FALSE)</f>
        <v>AVI0000148</v>
      </c>
      <c r="J677">
        <v>1</v>
      </c>
      <c r="K677">
        <v>0</v>
      </c>
      <c r="L677" t="e">
        <v>#N/A</v>
      </c>
      <c r="M677" t="s">
        <v>992</v>
      </c>
      <c r="N677" t="e">
        <f>M677&amp;Tabla3[[#This Row],[CODIGO PRODUCTO TERMINADO]]&amp;"','"&amp;L677&amp;"',"&amp;Tabla3[[#This Row],[CANTIDAD MATERIAL (M)]]&amp;");"</f>
        <v>#N/A</v>
      </c>
    </row>
    <row r="678" spans="1:14" x14ac:dyDescent="0.25">
      <c r="A678" t="s">
        <v>1066</v>
      </c>
      <c r="B678" t="s">
        <v>63</v>
      </c>
      <c r="C678" t="s">
        <v>1013</v>
      </c>
      <c r="D678" t="s">
        <v>51</v>
      </c>
      <c r="E678" s="8" t="s">
        <v>398</v>
      </c>
      <c r="F678">
        <v>11</v>
      </c>
      <c r="G678" t="s">
        <v>396</v>
      </c>
      <c r="H678" t="str">
        <f>VLOOKUP(Tabla3[[#This Row],[DESCRIPCION MATERIAL]],'CODIGO MAT'!$C$2:$D$390,2,FALSE)</f>
        <v>AVI0000132</v>
      </c>
      <c r="L678" t="e">
        <v>#N/A</v>
      </c>
      <c r="M678" t="s">
        <v>992</v>
      </c>
      <c r="N678" t="e">
        <f>M678&amp;Tabla3[[#This Row],[CODIGO PRODUCTO TERMINADO]]&amp;"','"&amp;L678&amp;"',"&amp;Tabla3[[#This Row],[CANTIDAD MATERIAL (M)]]&amp;");"</f>
        <v>#N/A</v>
      </c>
    </row>
    <row r="679" spans="1:14" x14ac:dyDescent="0.25">
      <c r="A679" t="s">
        <v>1066</v>
      </c>
      <c r="B679" t="s">
        <v>63</v>
      </c>
      <c r="C679" t="s">
        <v>1013</v>
      </c>
      <c r="D679" t="s">
        <v>51</v>
      </c>
      <c r="E679" s="8" t="s">
        <v>36</v>
      </c>
      <c r="F679">
        <v>2</v>
      </c>
      <c r="G679" t="s">
        <v>396</v>
      </c>
      <c r="H679" t="str">
        <f>VLOOKUP(Tabla3[[#This Row],[DESCRIPCION MATERIAL]],'CODIGO MAT'!$C$2:$D$390,2,FALSE)</f>
        <v>AVI0000135</v>
      </c>
      <c r="L679" t="e">
        <v>#N/A</v>
      </c>
      <c r="M679" t="s">
        <v>992</v>
      </c>
      <c r="N679" t="e">
        <f>M679&amp;Tabla3[[#This Row],[CODIGO PRODUCTO TERMINADO]]&amp;"','"&amp;L679&amp;"',"&amp;Tabla3[[#This Row],[CANTIDAD MATERIAL (M)]]&amp;");"</f>
        <v>#N/A</v>
      </c>
    </row>
    <row r="680" spans="1:14" x14ac:dyDescent="0.25">
      <c r="A680" t="s">
        <v>1066</v>
      </c>
      <c r="B680" t="s">
        <v>63</v>
      </c>
      <c r="C680" t="s">
        <v>1013</v>
      </c>
      <c r="D680" t="s">
        <v>51</v>
      </c>
      <c r="E680" s="8" t="s">
        <v>1128</v>
      </c>
      <c r="F680">
        <v>5.0000000000000001E-3</v>
      </c>
      <c r="G680" t="s">
        <v>78</v>
      </c>
      <c r="H680" t="str">
        <f>VLOOKUP(Tabla3[[#This Row],[DESCRIPCION MATERIAL]],'CODIGO MAT'!$C$2:$D$390,2,FALSE)</f>
        <v>AVI0000149</v>
      </c>
      <c r="L680" t="e">
        <v>#N/A</v>
      </c>
      <c r="M680" t="s">
        <v>992</v>
      </c>
      <c r="N680" t="e">
        <f>M680&amp;Tabla3[[#This Row],[CODIGO PRODUCTO TERMINADO]]&amp;"','"&amp;L680&amp;"',"&amp;Tabla3[[#This Row],[CANTIDAD MATERIAL (M)]]&amp;");"</f>
        <v>#N/A</v>
      </c>
    </row>
    <row r="681" spans="1:14" x14ac:dyDescent="0.25">
      <c r="A681" t="s">
        <v>1066</v>
      </c>
      <c r="B681" t="s">
        <v>63</v>
      </c>
      <c r="C681" t="s">
        <v>1013</v>
      </c>
      <c r="D681" t="s">
        <v>51</v>
      </c>
      <c r="E681" s="8" t="s">
        <v>1125</v>
      </c>
      <c r="F681">
        <v>2E-3</v>
      </c>
      <c r="G681" t="s">
        <v>396</v>
      </c>
      <c r="H681" t="str">
        <f>VLOOKUP(Tabla3[[#This Row],[DESCRIPCION MATERIAL]],'CODIGO MAT'!$C$2:$D$390,2,FALSE)</f>
        <v>AVI0000150</v>
      </c>
      <c r="L681" t="e">
        <v>#N/A</v>
      </c>
      <c r="M681" t="s">
        <v>992</v>
      </c>
      <c r="N681" t="e">
        <f>M681&amp;Tabla3[[#This Row],[CODIGO PRODUCTO TERMINADO]]&amp;"','"&amp;L681&amp;"',"&amp;Tabla3[[#This Row],[CANTIDAD MATERIAL (M)]]&amp;");"</f>
        <v>#N/A</v>
      </c>
    </row>
    <row r="682" spans="1:14" x14ac:dyDescent="0.25">
      <c r="A682" t="s">
        <v>1017</v>
      </c>
      <c r="B682" t="s">
        <v>63</v>
      </c>
      <c r="C682" t="s">
        <v>1067</v>
      </c>
      <c r="D682" t="s">
        <v>50</v>
      </c>
      <c r="E682" s="8" t="s">
        <v>32</v>
      </c>
      <c r="F682">
        <v>0.6784</v>
      </c>
      <c r="G682" t="s">
        <v>78</v>
      </c>
      <c r="H682" t="str">
        <f>VLOOKUP(Tabla3[[#This Row],[DESCRIPCION MATERIAL]],'CODIGO MAT'!$C$2:$D$390,2,FALSE)</f>
        <v>TEL0000041</v>
      </c>
      <c r="J682">
        <v>1</v>
      </c>
      <c r="K682">
        <v>0</v>
      </c>
      <c r="L682" t="e">
        <v>#N/A</v>
      </c>
      <c r="M682" t="s">
        <v>992</v>
      </c>
      <c r="N682" t="e">
        <f>M682&amp;Tabla3[[#This Row],[CODIGO PRODUCTO TERMINADO]]&amp;"','"&amp;L682&amp;"',"&amp;Tabla3[[#This Row],[CANTIDAD MATERIAL (M)]]&amp;");"</f>
        <v>#N/A</v>
      </c>
    </row>
    <row r="683" spans="1:14" x14ac:dyDescent="0.25">
      <c r="A683" t="s">
        <v>1017</v>
      </c>
      <c r="B683" t="s">
        <v>63</v>
      </c>
      <c r="C683" t="s">
        <v>1067</v>
      </c>
      <c r="D683" t="s">
        <v>50</v>
      </c>
      <c r="E683" s="8" t="s">
        <v>141</v>
      </c>
      <c r="F683">
        <v>8.5000000000000006E-2</v>
      </c>
      <c r="G683" t="s">
        <v>78</v>
      </c>
      <c r="H683" t="str">
        <f>VLOOKUP(Tabla3[[#This Row],[DESCRIPCION MATERIAL]],'CODIGO MAT'!$C$2:$D$390,2,FALSE)</f>
        <v>TEL0000068</v>
      </c>
      <c r="J683">
        <v>1</v>
      </c>
      <c r="K683">
        <v>0</v>
      </c>
      <c r="L683" t="e">
        <v>#N/A</v>
      </c>
      <c r="M683" t="s">
        <v>992</v>
      </c>
      <c r="N683" t="e">
        <f>M683&amp;Tabla3[[#This Row],[CODIGO PRODUCTO TERMINADO]]&amp;"','"&amp;L683&amp;"',"&amp;Tabla3[[#This Row],[CANTIDAD MATERIAL (M)]]&amp;");"</f>
        <v>#N/A</v>
      </c>
    </row>
    <row r="684" spans="1:14" x14ac:dyDescent="0.25">
      <c r="A684" t="s">
        <v>1017</v>
      </c>
      <c r="B684" t="s">
        <v>63</v>
      </c>
      <c r="C684" t="s">
        <v>1067</v>
      </c>
      <c r="D684" t="s">
        <v>50</v>
      </c>
      <c r="E684" s="8" t="s">
        <v>118</v>
      </c>
      <c r="F684">
        <v>6.8699999999999997E-2</v>
      </c>
      <c r="G684" t="s">
        <v>78</v>
      </c>
      <c r="H684" t="str">
        <f>VLOOKUP(Tabla3[[#This Row],[DESCRIPCION MATERIAL]],'CODIGO MAT'!$C$2:$D$390,2,FALSE)</f>
        <v>TEL0000045</v>
      </c>
      <c r="J684">
        <v>1</v>
      </c>
      <c r="K684">
        <v>0</v>
      </c>
      <c r="L684" t="e">
        <v>#N/A</v>
      </c>
      <c r="M684" t="s">
        <v>992</v>
      </c>
      <c r="N684" t="e">
        <f>M684&amp;Tabla3[[#This Row],[CODIGO PRODUCTO TERMINADO]]&amp;"','"&amp;L684&amp;"',"&amp;Tabla3[[#This Row],[CANTIDAD MATERIAL (M)]]&amp;");"</f>
        <v>#N/A</v>
      </c>
    </row>
    <row r="685" spans="1:14" x14ac:dyDescent="0.25">
      <c r="A685" t="s">
        <v>1017</v>
      </c>
      <c r="B685" t="s">
        <v>63</v>
      </c>
      <c r="C685" t="s">
        <v>1067</v>
      </c>
      <c r="D685" t="s">
        <v>51</v>
      </c>
      <c r="E685" s="8" t="s">
        <v>308</v>
      </c>
      <c r="F685">
        <v>1.8700000000000001E-2</v>
      </c>
      <c r="G685" t="s">
        <v>78</v>
      </c>
      <c r="H685" t="str">
        <f>VLOOKUP(Tabla3[[#This Row],[DESCRIPCION MATERIAL]],'CODIGO MAT'!$C$2:$D$390,2,FALSE)</f>
        <v>AVI0000053</v>
      </c>
      <c r="J685">
        <v>1</v>
      </c>
      <c r="K685">
        <v>0</v>
      </c>
      <c r="L685" t="e">
        <v>#N/A</v>
      </c>
      <c r="M685" t="s">
        <v>992</v>
      </c>
      <c r="N685" t="e">
        <f>M685&amp;Tabla3[[#This Row],[CODIGO PRODUCTO TERMINADO]]&amp;"','"&amp;L685&amp;"',"&amp;Tabla3[[#This Row],[CANTIDAD MATERIAL (M)]]&amp;");"</f>
        <v>#N/A</v>
      </c>
    </row>
    <row r="686" spans="1:14" x14ac:dyDescent="0.25">
      <c r="A686" t="s">
        <v>1017</v>
      </c>
      <c r="B686" t="s">
        <v>63</v>
      </c>
      <c r="C686" t="s">
        <v>1067</v>
      </c>
      <c r="D686" t="s">
        <v>51</v>
      </c>
      <c r="E686" s="8" t="s">
        <v>261</v>
      </c>
      <c r="F686">
        <v>1</v>
      </c>
      <c r="G686" t="s">
        <v>396</v>
      </c>
      <c r="H686" t="str">
        <f>VLOOKUP(Tabla3[[#This Row],[DESCRIPCION MATERIAL]],'CODIGO MAT'!$C$2:$D$390,2,FALSE)</f>
        <v>AVI0000002</v>
      </c>
      <c r="J686">
        <v>1</v>
      </c>
      <c r="K686">
        <v>0</v>
      </c>
      <c r="L686" t="e">
        <v>#N/A</v>
      </c>
      <c r="M686" t="s">
        <v>992</v>
      </c>
      <c r="N686" t="e">
        <f>M686&amp;Tabla3[[#This Row],[CODIGO PRODUCTO TERMINADO]]&amp;"','"&amp;L686&amp;"',"&amp;Tabla3[[#This Row],[CANTIDAD MATERIAL (M)]]&amp;");"</f>
        <v>#N/A</v>
      </c>
    </row>
    <row r="687" spans="1:14" x14ac:dyDescent="0.25">
      <c r="A687" t="s">
        <v>1017</v>
      </c>
      <c r="B687" t="s">
        <v>63</v>
      </c>
      <c r="C687" t="s">
        <v>1067</v>
      </c>
      <c r="D687" t="s">
        <v>51</v>
      </c>
      <c r="E687" s="8" t="s">
        <v>35</v>
      </c>
      <c r="F687">
        <v>0.82</v>
      </c>
      <c r="G687" t="s">
        <v>78</v>
      </c>
      <c r="H687" t="str">
        <f>VLOOKUP(Tabla3[[#This Row],[DESCRIPCION MATERIAL]],'CODIGO MAT'!$C$2:$D$390,2,FALSE)</f>
        <v>AVI0000031</v>
      </c>
      <c r="J687">
        <v>1</v>
      </c>
      <c r="K687">
        <v>0.24</v>
      </c>
      <c r="L687" t="e">
        <v>#N/A</v>
      </c>
      <c r="M687" t="s">
        <v>992</v>
      </c>
      <c r="N687" t="e">
        <f>M687&amp;Tabla3[[#This Row],[CODIGO PRODUCTO TERMINADO]]&amp;"','"&amp;L687&amp;"',"&amp;Tabla3[[#This Row],[CANTIDAD MATERIAL (M)]]&amp;");"</f>
        <v>#N/A</v>
      </c>
    </row>
    <row r="688" spans="1:14" x14ac:dyDescent="0.25">
      <c r="A688" t="s">
        <v>1017</v>
      </c>
      <c r="B688" t="s">
        <v>63</v>
      </c>
      <c r="C688" t="s">
        <v>1067</v>
      </c>
      <c r="D688" t="s">
        <v>51</v>
      </c>
      <c r="E688" s="8" t="s">
        <v>996</v>
      </c>
      <c r="F688">
        <v>0.5</v>
      </c>
      <c r="G688" t="s">
        <v>78</v>
      </c>
      <c r="H688" t="str">
        <f>VLOOKUP(Tabla3[[#This Row],[DESCRIPCION MATERIAL]],'CODIGO MAT'!$C$2:$D$390,2,FALSE)</f>
        <v>AVI0000148</v>
      </c>
      <c r="J688">
        <v>1</v>
      </c>
      <c r="K688">
        <v>0</v>
      </c>
      <c r="L688" t="e">
        <v>#N/A</v>
      </c>
      <c r="M688" t="s">
        <v>992</v>
      </c>
      <c r="N688" t="e">
        <f>M688&amp;Tabla3[[#This Row],[CODIGO PRODUCTO TERMINADO]]&amp;"','"&amp;L688&amp;"',"&amp;Tabla3[[#This Row],[CANTIDAD MATERIAL (M)]]&amp;");"</f>
        <v>#N/A</v>
      </c>
    </row>
    <row r="689" spans="1:14" x14ac:dyDescent="0.25">
      <c r="A689" t="s">
        <v>1017</v>
      </c>
      <c r="B689" t="s">
        <v>63</v>
      </c>
      <c r="C689" t="s">
        <v>1067</v>
      </c>
      <c r="D689" t="s">
        <v>51</v>
      </c>
      <c r="E689" s="8" t="s">
        <v>398</v>
      </c>
      <c r="F689">
        <v>9</v>
      </c>
      <c r="G689" t="s">
        <v>396</v>
      </c>
      <c r="H689" t="str">
        <f>VLOOKUP(Tabla3[[#This Row],[DESCRIPCION MATERIAL]],'CODIGO MAT'!$C$2:$D$390,2,FALSE)</f>
        <v>AVI0000132</v>
      </c>
      <c r="L689" t="e">
        <v>#N/A</v>
      </c>
      <c r="M689" t="s">
        <v>992</v>
      </c>
      <c r="N689" t="e">
        <f>M689&amp;Tabla3[[#This Row],[CODIGO PRODUCTO TERMINADO]]&amp;"','"&amp;L689&amp;"',"&amp;Tabla3[[#This Row],[CANTIDAD MATERIAL (M)]]&amp;");"</f>
        <v>#N/A</v>
      </c>
    </row>
    <row r="690" spans="1:14" x14ac:dyDescent="0.25">
      <c r="A690" t="s">
        <v>1017</v>
      </c>
      <c r="B690" t="s">
        <v>63</v>
      </c>
      <c r="C690" t="s">
        <v>1067</v>
      </c>
      <c r="D690" t="s">
        <v>51</v>
      </c>
      <c r="E690" s="8" t="s">
        <v>36</v>
      </c>
      <c r="F690">
        <v>2</v>
      </c>
      <c r="G690" t="s">
        <v>396</v>
      </c>
      <c r="H690" t="str">
        <f>VLOOKUP(Tabla3[[#This Row],[DESCRIPCION MATERIAL]],'CODIGO MAT'!$C$2:$D$390,2,FALSE)</f>
        <v>AVI0000135</v>
      </c>
      <c r="L690" t="e">
        <v>#N/A</v>
      </c>
      <c r="M690" t="s">
        <v>992</v>
      </c>
      <c r="N690" t="e">
        <f>M690&amp;Tabla3[[#This Row],[CODIGO PRODUCTO TERMINADO]]&amp;"','"&amp;L690&amp;"',"&amp;Tabla3[[#This Row],[CANTIDAD MATERIAL (M)]]&amp;");"</f>
        <v>#N/A</v>
      </c>
    </row>
    <row r="691" spans="1:14" x14ac:dyDescent="0.25">
      <c r="A691" t="s">
        <v>1017</v>
      </c>
      <c r="B691" t="s">
        <v>63</v>
      </c>
      <c r="C691" t="s">
        <v>1067</v>
      </c>
      <c r="D691" t="s">
        <v>51</v>
      </c>
      <c r="E691" s="8" t="s">
        <v>1126</v>
      </c>
      <c r="F691">
        <v>2E-3</v>
      </c>
      <c r="G691" t="s">
        <v>396</v>
      </c>
      <c r="H691" t="str">
        <f>VLOOKUP(Tabla3[[#This Row],[DESCRIPCION MATERIAL]],'CODIGO MAT'!$C$2:$D$390,2,FALSE)</f>
        <v>AVI0000151</v>
      </c>
      <c r="L691" t="e">
        <v>#N/A</v>
      </c>
      <c r="M691" t="s">
        <v>992</v>
      </c>
      <c r="N691" t="e">
        <f>M691&amp;Tabla3[[#This Row],[CODIGO PRODUCTO TERMINADO]]&amp;"','"&amp;L691&amp;"',"&amp;Tabla3[[#This Row],[CANTIDAD MATERIAL (M)]]&amp;");"</f>
        <v>#N/A</v>
      </c>
    </row>
    <row r="692" spans="1:14" x14ac:dyDescent="0.25">
      <c r="A692" t="s">
        <v>1026</v>
      </c>
      <c r="B692" t="s">
        <v>63</v>
      </c>
      <c r="C692" t="s">
        <v>1068</v>
      </c>
      <c r="D692" t="s">
        <v>50</v>
      </c>
      <c r="E692" s="8" t="s">
        <v>32</v>
      </c>
      <c r="F692">
        <v>0.79749999999999999</v>
      </c>
      <c r="G692" t="s">
        <v>78</v>
      </c>
      <c r="H692" t="str">
        <f>VLOOKUP(Tabla3[[#This Row],[DESCRIPCION MATERIAL]],'CODIGO MAT'!$C$2:$D$390,2,FALSE)</f>
        <v>TEL0000041</v>
      </c>
      <c r="J692">
        <v>1</v>
      </c>
      <c r="K692">
        <v>0</v>
      </c>
      <c r="L692" t="e">
        <v>#N/A</v>
      </c>
      <c r="M692" t="s">
        <v>992</v>
      </c>
      <c r="N692" t="e">
        <f>M692&amp;Tabla3[[#This Row],[CODIGO PRODUCTO TERMINADO]]&amp;"','"&amp;L692&amp;"',"&amp;Tabla3[[#This Row],[CANTIDAD MATERIAL (M)]]&amp;");"</f>
        <v>#N/A</v>
      </c>
    </row>
    <row r="693" spans="1:14" x14ac:dyDescent="0.25">
      <c r="A693" t="s">
        <v>1026</v>
      </c>
      <c r="B693" t="s">
        <v>63</v>
      </c>
      <c r="C693" t="s">
        <v>1068</v>
      </c>
      <c r="D693" t="s">
        <v>50</v>
      </c>
      <c r="E693" s="8" t="s">
        <v>141</v>
      </c>
      <c r="F693">
        <v>8.5000000000000006E-2</v>
      </c>
      <c r="G693" t="s">
        <v>78</v>
      </c>
      <c r="H693" t="str">
        <f>VLOOKUP(Tabla3[[#This Row],[DESCRIPCION MATERIAL]],'CODIGO MAT'!$C$2:$D$390,2,FALSE)</f>
        <v>TEL0000068</v>
      </c>
      <c r="J693">
        <v>1</v>
      </c>
      <c r="K693">
        <v>0</v>
      </c>
      <c r="L693" t="e">
        <v>#N/A</v>
      </c>
      <c r="M693" t="s">
        <v>992</v>
      </c>
      <c r="N693" t="e">
        <f>M693&amp;Tabla3[[#This Row],[CODIGO PRODUCTO TERMINADO]]&amp;"','"&amp;L693&amp;"',"&amp;Tabla3[[#This Row],[CANTIDAD MATERIAL (M)]]&amp;");"</f>
        <v>#N/A</v>
      </c>
    </row>
    <row r="694" spans="1:14" x14ac:dyDescent="0.25">
      <c r="A694" t="s">
        <v>1026</v>
      </c>
      <c r="B694" t="s">
        <v>63</v>
      </c>
      <c r="C694" t="s">
        <v>1068</v>
      </c>
      <c r="D694" t="s">
        <v>50</v>
      </c>
      <c r="E694" s="8" t="s">
        <v>118</v>
      </c>
      <c r="F694">
        <v>6.8699999999999997E-2</v>
      </c>
      <c r="G694" t="s">
        <v>78</v>
      </c>
      <c r="H694" t="str">
        <f>VLOOKUP(Tabla3[[#This Row],[DESCRIPCION MATERIAL]],'CODIGO MAT'!$C$2:$D$390,2,FALSE)</f>
        <v>TEL0000045</v>
      </c>
      <c r="J694">
        <v>1</v>
      </c>
      <c r="K694">
        <v>0</v>
      </c>
      <c r="L694" t="e">
        <v>#N/A</v>
      </c>
      <c r="M694" t="s">
        <v>992</v>
      </c>
      <c r="N694" t="e">
        <f>M694&amp;Tabla3[[#This Row],[CODIGO PRODUCTO TERMINADO]]&amp;"','"&amp;L694&amp;"',"&amp;Tabla3[[#This Row],[CANTIDAD MATERIAL (M)]]&amp;");"</f>
        <v>#N/A</v>
      </c>
    </row>
    <row r="695" spans="1:14" x14ac:dyDescent="0.25">
      <c r="A695" t="s">
        <v>1026</v>
      </c>
      <c r="B695" t="s">
        <v>63</v>
      </c>
      <c r="C695" t="s">
        <v>1068</v>
      </c>
      <c r="D695" t="s">
        <v>51</v>
      </c>
      <c r="E695" s="8" t="s">
        <v>308</v>
      </c>
      <c r="F695">
        <v>1.8700000000000001E-2</v>
      </c>
      <c r="G695" t="s">
        <v>78</v>
      </c>
      <c r="H695" t="str">
        <f>VLOOKUP(Tabla3[[#This Row],[DESCRIPCION MATERIAL]],'CODIGO MAT'!$C$2:$D$390,2,FALSE)</f>
        <v>AVI0000053</v>
      </c>
      <c r="J695">
        <v>1</v>
      </c>
      <c r="K695">
        <v>0</v>
      </c>
      <c r="L695" t="e">
        <v>#N/A</v>
      </c>
      <c r="M695" t="s">
        <v>992</v>
      </c>
      <c r="N695" t="e">
        <f>M695&amp;Tabla3[[#This Row],[CODIGO PRODUCTO TERMINADO]]&amp;"','"&amp;L695&amp;"',"&amp;Tabla3[[#This Row],[CANTIDAD MATERIAL (M)]]&amp;");"</f>
        <v>#N/A</v>
      </c>
    </row>
    <row r="696" spans="1:14" x14ac:dyDescent="0.25">
      <c r="A696" t="s">
        <v>1026</v>
      </c>
      <c r="B696" t="s">
        <v>63</v>
      </c>
      <c r="C696" t="s">
        <v>1068</v>
      </c>
      <c r="D696" t="s">
        <v>51</v>
      </c>
      <c r="E696" s="8" t="s">
        <v>261</v>
      </c>
      <c r="F696">
        <v>1</v>
      </c>
      <c r="G696" t="s">
        <v>396</v>
      </c>
      <c r="H696" t="str">
        <f>VLOOKUP(Tabla3[[#This Row],[DESCRIPCION MATERIAL]],'CODIGO MAT'!$C$2:$D$390,2,FALSE)</f>
        <v>AVI0000002</v>
      </c>
      <c r="J696">
        <v>1</v>
      </c>
      <c r="K696">
        <v>0</v>
      </c>
      <c r="L696" t="e">
        <v>#N/A</v>
      </c>
      <c r="M696" t="s">
        <v>992</v>
      </c>
      <c r="N696" t="e">
        <f>M696&amp;Tabla3[[#This Row],[CODIGO PRODUCTO TERMINADO]]&amp;"','"&amp;L696&amp;"',"&amp;Tabla3[[#This Row],[CANTIDAD MATERIAL (M)]]&amp;");"</f>
        <v>#N/A</v>
      </c>
    </row>
    <row r="697" spans="1:14" x14ac:dyDescent="0.25">
      <c r="A697" t="s">
        <v>1026</v>
      </c>
      <c r="B697" t="s">
        <v>63</v>
      </c>
      <c r="C697" t="s">
        <v>1068</v>
      </c>
      <c r="D697" t="s">
        <v>51</v>
      </c>
      <c r="E697" s="8" t="s">
        <v>35</v>
      </c>
      <c r="F697">
        <v>0.84</v>
      </c>
      <c r="G697" t="s">
        <v>78</v>
      </c>
      <c r="H697" t="str">
        <f>VLOOKUP(Tabla3[[#This Row],[DESCRIPCION MATERIAL]],'CODIGO MAT'!$C$2:$D$390,2,FALSE)</f>
        <v>AVI0000031</v>
      </c>
      <c r="J697">
        <v>1</v>
      </c>
      <c r="K697">
        <v>0.24</v>
      </c>
      <c r="L697" t="e">
        <v>#N/A</v>
      </c>
      <c r="M697" t="s">
        <v>992</v>
      </c>
      <c r="N697" t="e">
        <f>M697&amp;Tabla3[[#This Row],[CODIGO PRODUCTO TERMINADO]]&amp;"','"&amp;L697&amp;"',"&amp;Tabla3[[#This Row],[CANTIDAD MATERIAL (M)]]&amp;");"</f>
        <v>#N/A</v>
      </c>
    </row>
    <row r="698" spans="1:14" x14ac:dyDescent="0.25">
      <c r="A698" t="s">
        <v>1026</v>
      </c>
      <c r="B698" t="s">
        <v>63</v>
      </c>
      <c r="C698" t="s">
        <v>1068</v>
      </c>
      <c r="D698" t="s">
        <v>51</v>
      </c>
      <c r="E698" s="8" t="s">
        <v>996</v>
      </c>
      <c r="F698">
        <v>0.5</v>
      </c>
      <c r="G698" t="s">
        <v>78</v>
      </c>
      <c r="H698" t="str">
        <f>VLOOKUP(Tabla3[[#This Row],[DESCRIPCION MATERIAL]],'CODIGO MAT'!$C$2:$D$390,2,FALSE)</f>
        <v>AVI0000148</v>
      </c>
      <c r="J698">
        <v>1</v>
      </c>
      <c r="K698">
        <v>0</v>
      </c>
      <c r="L698" t="e">
        <v>#N/A</v>
      </c>
      <c r="M698" t="s">
        <v>992</v>
      </c>
      <c r="N698" t="e">
        <f>M698&amp;Tabla3[[#This Row],[CODIGO PRODUCTO TERMINADO]]&amp;"','"&amp;L698&amp;"',"&amp;Tabla3[[#This Row],[CANTIDAD MATERIAL (M)]]&amp;");"</f>
        <v>#N/A</v>
      </c>
    </row>
    <row r="699" spans="1:14" x14ac:dyDescent="0.25">
      <c r="A699" t="s">
        <v>1026</v>
      </c>
      <c r="B699" t="s">
        <v>63</v>
      </c>
      <c r="C699" t="s">
        <v>1068</v>
      </c>
      <c r="D699" t="s">
        <v>51</v>
      </c>
      <c r="E699" s="8" t="s">
        <v>398</v>
      </c>
      <c r="F699">
        <v>9</v>
      </c>
      <c r="G699" t="s">
        <v>396</v>
      </c>
      <c r="H699" t="str">
        <f>VLOOKUP(Tabla3[[#This Row],[DESCRIPCION MATERIAL]],'CODIGO MAT'!$C$2:$D$390,2,FALSE)</f>
        <v>AVI0000132</v>
      </c>
      <c r="L699" t="e">
        <v>#N/A</v>
      </c>
      <c r="M699" t="s">
        <v>992</v>
      </c>
      <c r="N699" t="e">
        <f>M699&amp;Tabla3[[#This Row],[CODIGO PRODUCTO TERMINADO]]&amp;"','"&amp;L699&amp;"',"&amp;Tabla3[[#This Row],[CANTIDAD MATERIAL (M)]]&amp;");"</f>
        <v>#N/A</v>
      </c>
    </row>
    <row r="700" spans="1:14" x14ac:dyDescent="0.25">
      <c r="A700" t="s">
        <v>1026</v>
      </c>
      <c r="B700" t="s">
        <v>63</v>
      </c>
      <c r="C700" t="s">
        <v>1068</v>
      </c>
      <c r="D700" t="s">
        <v>51</v>
      </c>
      <c r="E700" s="8" t="s">
        <v>36</v>
      </c>
      <c r="F700">
        <v>2</v>
      </c>
      <c r="G700" t="s">
        <v>396</v>
      </c>
      <c r="H700" t="str">
        <f>VLOOKUP(Tabla3[[#This Row],[DESCRIPCION MATERIAL]],'CODIGO MAT'!$C$2:$D$390,2,FALSE)</f>
        <v>AVI0000135</v>
      </c>
      <c r="L700" t="e">
        <v>#N/A</v>
      </c>
      <c r="M700" t="s">
        <v>992</v>
      </c>
      <c r="N700" t="e">
        <f>M700&amp;Tabla3[[#This Row],[CODIGO PRODUCTO TERMINADO]]&amp;"','"&amp;L700&amp;"',"&amp;Tabla3[[#This Row],[CANTIDAD MATERIAL (M)]]&amp;");"</f>
        <v>#N/A</v>
      </c>
    </row>
    <row r="701" spans="1:14" x14ac:dyDescent="0.25">
      <c r="A701" t="s">
        <v>1026</v>
      </c>
      <c r="B701" t="s">
        <v>63</v>
      </c>
      <c r="C701" t="s">
        <v>1068</v>
      </c>
      <c r="D701" t="s">
        <v>51</v>
      </c>
      <c r="E701" s="8" t="s">
        <v>1126</v>
      </c>
      <c r="F701">
        <v>2E-3</v>
      </c>
      <c r="G701" t="s">
        <v>396</v>
      </c>
      <c r="H701" t="str">
        <f>VLOOKUP(Tabla3[[#This Row],[DESCRIPCION MATERIAL]],'CODIGO MAT'!$C$2:$D$390,2,FALSE)</f>
        <v>AVI0000151</v>
      </c>
      <c r="L701" t="e">
        <v>#N/A</v>
      </c>
      <c r="M701" t="s">
        <v>992</v>
      </c>
      <c r="N701" t="e">
        <f>M701&amp;Tabla3[[#This Row],[CODIGO PRODUCTO TERMINADO]]&amp;"','"&amp;L701&amp;"',"&amp;Tabla3[[#This Row],[CANTIDAD MATERIAL (M)]]&amp;");"</f>
        <v>#N/A</v>
      </c>
    </row>
    <row r="702" spans="1:14" x14ac:dyDescent="0.25">
      <c r="A702" t="s">
        <v>1027</v>
      </c>
      <c r="B702" t="s">
        <v>63</v>
      </c>
      <c r="C702" t="s">
        <v>1069</v>
      </c>
      <c r="D702" t="s">
        <v>50</v>
      </c>
      <c r="E702" s="8" t="s">
        <v>32</v>
      </c>
      <c r="F702">
        <v>0.9</v>
      </c>
      <c r="G702" t="s">
        <v>78</v>
      </c>
      <c r="H702" t="str">
        <f>VLOOKUP(Tabla3[[#This Row],[DESCRIPCION MATERIAL]],'CODIGO MAT'!$C$2:$D$390,2,FALSE)</f>
        <v>TEL0000041</v>
      </c>
      <c r="J702">
        <v>1</v>
      </c>
      <c r="K702">
        <v>0</v>
      </c>
      <c r="L702" t="e">
        <v>#N/A</v>
      </c>
      <c r="M702" t="s">
        <v>992</v>
      </c>
      <c r="N702" t="e">
        <f>M702&amp;Tabla3[[#This Row],[CODIGO PRODUCTO TERMINADO]]&amp;"','"&amp;L702&amp;"',"&amp;Tabla3[[#This Row],[CANTIDAD MATERIAL (M)]]&amp;");"</f>
        <v>#N/A</v>
      </c>
    </row>
    <row r="703" spans="1:14" x14ac:dyDescent="0.25">
      <c r="A703" t="s">
        <v>1027</v>
      </c>
      <c r="B703" t="s">
        <v>63</v>
      </c>
      <c r="C703" t="s">
        <v>1069</v>
      </c>
      <c r="D703" t="s">
        <v>50</v>
      </c>
      <c r="E703" s="8" t="s">
        <v>141</v>
      </c>
      <c r="F703">
        <v>8.5000000000000006E-2</v>
      </c>
      <c r="G703" t="s">
        <v>78</v>
      </c>
      <c r="H703" t="str">
        <f>VLOOKUP(Tabla3[[#This Row],[DESCRIPCION MATERIAL]],'CODIGO MAT'!$C$2:$D$390,2,FALSE)</f>
        <v>TEL0000068</v>
      </c>
      <c r="J703">
        <v>1</v>
      </c>
      <c r="K703">
        <v>0</v>
      </c>
      <c r="L703" t="e">
        <v>#N/A</v>
      </c>
      <c r="M703" t="s">
        <v>992</v>
      </c>
      <c r="N703" t="e">
        <f>M703&amp;Tabla3[[#This Row],[CODIGO PRODUCTO TERMINADO]]&amp;"','"&amp;L703&amp;"',"&amp;Tabla3[[#This Row],[CANTIDAD MATERIAL (M)]]&amp;");"</f>
        <v>#N/A</v>
      </c>
    </row>
    <row r="704" spans="1:14" x14ac:dyDescent="0.25">
      <c r="A704" t="s">
        <v>1027</v>
      </c>
      <c r="B704" t="s">
        <v>63</v>
      </c>
      <c r="C704" t="s">
        <v>1069</v>
      </c>
      <c r="D704" t="s">
        <v>50</v>
      </c>
      <c r="E704" s="8" t="s">
        <v>118</v>
      </c>
      <c r="F704">
        <v>6.8699999999999997E-2</v>
      </c>
      <c r="G704" t="s">
        <v>78</v>
      </c>
      <c r="H704" t="str">
        <f>VLOOKUP(Tabla3[[#This Row],[DESCRIPCION MATERIAL]],'CODIGO MAT'!$C$2:$D$390,2,FALSE)</f>
        <v>TEL0000045</v>
      </c>
      <c r="J704">
        <v>1</v>
      </c>
      <c r="K704">
        <v>0</v>
      </c>
      <c r="L704" t="e">
        <v>#N/A</v>
      </c>
      <c r="M704" t="s">
        <v>992</v>
      </c>
      <c r="N704" t="e">
        <f>M704&amp;Tabla3[[#This Row],[CODIGO PRODUCTO TERMINADO]]&amp;"','"&amp;L704&amp;"',"&amp;Tabla3[[#This Row],[CANTIDAD MATERIAL (M)]]&amp;");"</f>
        <v>#N/A</v>
      </c>
    </row>
    <row r="705" spans="1:14" x14ac:dyDescent="0.25">
      <c r="A705" t="s">
        <v>1027</v>
      </c>
      <c r="B705" t="s">
        <v>63</v>
      </c>
      <c r="C705" t="s">
        <v>1069</v>
      </c>
      <c r="D705" t="s">
        <v>51</v>
      </c>
      <c r="E705" s="8" t="s">
        <v>308</v>
      </c>
      <c r="F705">
        <v>1.8700000000000001E-2</v>
      </c>
      <c r="G705" t="s">
        <v>78</v>
      </c>
      <c r="H705" t="str">
        <f>VLOOKUP(Tabla3[[#This Row],[DESCRIPCION MATERIAL]],'CODIGO MAT'!$C$2:$D$390,2,FALSE)</f>
        <v>AVI0000053</v>
      </c>
      <c r="J705">
        <v>1</v>
      </c>
      <c r="K705">
        <v>0</v>
      </c>
      <c r="L705" t="e">
        <v>#N/A</v>
      </c>
      <c r="M705" t="s">
        <v>992</v>
      </c>
      <c r="N705" t="e">
        <f>M705&amp;Tabla3[[#This Row],[CODIGO PRODUCTO TERMINADO]]&amp;"','"&amp;L705&amp;"',"&amp;Tabla3[[#This Row],[CANTIDAD MATERIAL (M)]]&amp;");"</f>
        <v>#N/A</v>
      </c>
    </row>
    <row r="706" spans="1:14" x14ac:dyDescent="0.25">
      <c r="A706" t="s">
        <v>1027</v>
      </c>
      <c r="B706" t="s">
        <v>63</v>
      </c>
      <c r="C706" t="s">
        <v>1069</v>
      </c>
      <c r="D706" t="s">
        <v>51</v>
      </c>
      <c r="E706" s="8" t="s">
        <v>261</v>
      </c>
      <c r="F706">
        <v>1</v>
      </c>
      <c r="G706" t="s">
        <v>396</v>
      </c>
      <c r="H706" t="str">
        <f>VLOOKUP(Tabla3[[#This Row],[DESCRIPCION MATERIAL]],'CODIGO MAT'!$C$2:$D$390,2,FALSE)</f>
        <v>AVI0000002</v>
      </c>
      <c r="J706">
        <v>1</v>
      </c>
      <c r="K706">
        <v>0</v>
      </c>
      <c r="L706" t="e">
        <v>#N/A</v>
      </c>
      <c r="M706" t="s">
        <v>992</v>
      </c>
      <c r="N706" t="e">
        <f>M706&amp;Tabla3[[#This Row],[CODIGO PRODUCTO TERMINADO]]&amp;"','"&amp;L706&amp;"',"&amp;Tabla3[[#This Row],[CANTIDAD MATERIAL (M)]]&amp;");"</f>
        <v>#N/A</v>
      </c>
    </row>
    <row r="707" spans="1:14" x14ac:dyDescent="0.25">
      <c r="A707" t="s">
        <v>1027</v>
      </c>
      <c r="B707" t="s">
        <v>63</v>
      </c>
      <c r="C707" t="s">
        <v>1069</v>
      </c>
      <c r="D707" t="s">
        <v>51</v>
      </c>
      <c r="E707" s="8" t="s">
        <v>35</v>
      </c>
      <c r="F707">
        <v>0.84</v>
      </c>
      <c r="G707" t="s">
        <v>78</v>
      </c>
      <c r="H707" t="str">
        <f>VLOOKUP(Tabla3[[#This Row],[DESCRIPCION MATERIAL]],'CODIGO MAT'!$C$2:$D$390,2,FALSE)</f>
        <v>AVI0000031</v>
      </c>
      <c r="J707">
        <v>1</v>
      </c>
      <c r="K707">
        <v>0.24</v>
      </c>
      <c r="L707" t="e">
        <v>#N/A</v>
      </c>
      <c r="M707" t="s">
        <v>992</v>
      </c>
      <c r="N707" t="e">
        <f>M707&amp;Tabla3[[#This Row],[CODIGO PRODUCTO TERMINADO]]&amp;"','"&amp;L707&amp;"',"&amp;Tabla3[[#This Row],[CANTIDAD MATERIAL (M)]]&amp;");"</f>
        <v>#N/A</v>
      </c>
    </row>
    <row r="708" spans="1:14" x14ac:dyDescent="0.25">
      <c r="A708" t="s">
        <v>1027</v>
      </c>
      <c r="B708" t="s">
        <v>63</v>
      </c>
      <c r="C708" t="s">
        <v>1069</v>
      </c>
      <c r="D708" t="s">
        <v>51</v>
      </c>
      <c r="E708" s="8" t="s">
        <v>996</v>
      </c>
      <c r="F708">
        <v>0.5</v>
      </c>
      <c r="G708" t="s">
        <v>78</v>
      </c>
      <c r="H708" t="str">
        <f>VLOOKUP(Tabla3[[#This Row],[DESCRIPCION MATERIAL]],'CODIGO MAT'!$C$2:$D$390,2,FALSE)</f>
        <v>AVI0000148</v>
      </c>
      <c r="J708">
        <v>1</v>
      </c>
      <c r="K708">
        <v>0</v>
      </c>
      <c r="L708" t="e">
        <v>#N/A</v>
      </c>
      <c r="M708" t="s">
        <v>992</v>
      </c>
      <c r="N708" t="e">
        <f>M708&amp;Tabla3[[#This Row],[CODIGO PRODUCTO TERMINADO]]&amp;"','"&amp;L708&amp;"',"&amp;Tabla3[[#This Row],[CANTIDAD MATERIAL (M)]]&amp;");"</f>
        <v>#N/A</v>
      </c>
    </row>
    <row r="709" spans="1:14" x14ac:dyDescent="0.25">
      <c r="A709" t="s">
        <v>1027</v>
      </c>
      <c r="B709" t="s">
        <v>63</v>
      </c>
      <c r="C709" t="s">
        <v>1069</v>
      </c>
      <c r="D709" t="s">
        <v>51</v>
      </c>
      <c r="E709" s="8" t="s">
        <v>398</v>
      </c>
      <c r="F709">
        <v>9</v>
      </c>
      <c r="G709" t="s">
        <v>396</v>
      </c>
      <c r="H709" t="str">
        <f>VLOOKUP(Tabla3[[#This Row],[DESCRIPCION MATERIAL]],'CODIGO MAT'!$C$2:$D$390,2,FALSE)</f>
        <v>AVI0000132</v>
      </c>
      <c r="L709" t="e">
        <v>#N/A</v>
      </c>
      <c r="M709" t="s">
        <v>992</v>
      </c>
      <c r="N709" t="e">
        <f>M709&amp;Tabla3[[#This Row],[CODIGO PRODUCTO TERMINADO]]&amp;"','"&amp;L709&amp;"',"&amp;Tabla3[[#This Row],[CANTIDAD MATERIAL (M)]]&amp;");"</f>
        <v>#N/A</v>
      </c>
    </row>
    <row r="710" spans="1:14" x14ac:dyDescent="0.25">
      <c r="A710" t="s">
        <v>1027</v>
      </c>
      <c r="B710" t="s">
        <v>63</v>
      </c>
      <c r="C710" t="s">
        <v>1069</v>
      </c>
      <c r="D710" t="s">
        <v>51</v>
      </c>
      <c r="E710" s="8" t="s">
        <v>36</v>
      </c>
      <c r="F710">
        <v>2</v>
      </c>
      <c r="G710" t="s">
        <v>396</v>
      </c>
      <c r="H710" t="str">
        <f>VLOOKUP(Tabla3[[#This Row],[DESCRIPCION MATERIAL]],'CODIGO MAT'!$C$2:$D$390,2,FALSE)</f>
        <v>AVI0000135</v>
      </c>
      <c r="L710" t="e">
        <v>#N/A</v>
      </c>
      <c r="M710" t="s">
        <v>992</v>
      </c>
      <c r="N710" t="e">
        <f>M710&amp;Tabla3[[#This Row],[CODIGO PRODUCTO TERMINADO]]&amp;"','"&amp;L710&amp;"',"&amp;Tabla3[[#This Row],[CANTIDAD MATERIAL (M)]]&amp;");"</f>
        <v>#N/A</v>
      </c>
    </row>
    <row r="711" spans="1:14" x14ac:dyDescent="0.25">
      <c r="A711" t="s">
        <v>1027</v>
      </c>
      <c r="B711" t="s">
        <v>63</v>
      </c>
      <c r="C711" t="s">
        <v>1069</v>
      </c>
      <c r="D711" t="s">
        <v>51</v>
      </c>
      <c r="E711" s="8" t="s">
        <v>1126</v>
      </c>
      <c r="F711">
        <v>2E-3</v>
      </c>
      <c r="G711" t="s">
        <v>396</v>
      </c>
      <c r="H711" t="str">
        <f>VLOOKUP(Tabla3[[#This Row],[DESCRIPCION MATERIAL]],'CODIGO MAT'!$C$2:$D$390,2,FALSE)</f>
        <v>AVI0000151</v>
      </c>
      <c r="L711" t="e">
        <v>#N/A</v>
      </c>
      <c r="M711" t="s">
        <v>992</v>
      </c>
      <c r="N711" t="e">
        <f>M711&amp;Tabla3[[#This Row],[CODIGO PRODUCTO TERMINADO]]&amp;"','"&amp;L711&amp;"',"&amp;Tabla3[[#This Row],[CANTIDAD MATERIAL (M)]]&amp;");"</f>
        <v>#N/A</v>
      </c>
    </row>
    <row r="712" spans="1:14" x14ac:dyDescent="0.25">
      <c r="A712" t="s">
        <v>1028</v>
      </c>
      <c r="B712" t="s">
        <v>63</v>
      </c>
      <c r="C712" t="s">
        <v>1070</v>
      </c>
      <c r="D712" t="s">
        <v>50</v>
      </c>
      <c r="E712" s="8" t="s">
        <v>32</v>
      </c>
      <c r="F712">
        <v>0.96</v>
      </c>
      <c r="G712" t="s">
        <v>78</v>
      </c>
      <c r="H712" t="str">
        <f>VLOOKUP(Tabla3[[#This Row],[DESCRIPCION MATERIAL]],'CODIGO MAT'!$C$2:$D$390,2,FALSE)</f>
        <v>TEL0000041</v>
      </c>
      <c r="J712">
        <v>1</v>
      </c>
      <c r="K712">
        <v>0</v>
      </c>
      <c r="L712" t="e">
        <v>#N/A</v>
      </c>
      <c r="M712" t="s">
        <v>992</v>
      </c>
      <c r="N712" t="e">
        <f>M712&amp;Tabla3[[#This Row],[CODIGO PRODUCTO TERMINADO]]&amp;"','"&amp;L712&amp;"',"&amp;Tabla3[[#This Row],[CANTIDAD MATERIAL (M)]]&amp;");"</f>
        <v>#N/A</v>
      </c>
    </row>
    <row r="713" spans="1:14" x14ac:dyDescent="0.25">
      <c r="A713" t="s">
        <v>1028</v>
      </c>
      <c r="B713" t="s">
        <v>63</v>
      </c>
      <c r="C713" t="s">
        <v>1070</v>
      </c>
      <c r="D713" t="s">
        <v>50</v>
      </c>
      <c r="E713" s="8" t="s">
        <v>141</v>
      </c>
      <c r="F713">
        <v>8.5000000000000006E-2</v>
      </c>
      <c r="G713" t="s">
        <v>78</v>
      </c>
      <c r="H713" t="str">
        <f>VLOOKUP(Tabla3[[#This Row],[DESCRIPCION MATERIAL]],'CODIGO MAT'!$C$2:$D$390,2,FALSE)</f>
        <v>TEL0000068</v>
      </c>
      <c r="J713">
        <v>1</v>
      </c>
      <c r="K713">
        <v>0</v>
      </c>
      <c r="L713" t="e">
        <v>#N/A</v>
      </c>
      <c r="M713" t="s">
        <v>992</v>
      </c>
      <c r="N713" t="e">
        <f>M713&amp;Tabla3[[#This Row],[CODIGO PRODUCTO TERMINADO]]&amp;"','"&amp;L713&amp;"',"&amp;Tabla3[[#This Row],[CANTIDAD MATERIAL (M)]]&amp;");"</f>
        <v>#N/A</v>
      </c>
    </row>
    <row r="714" spans="1:14" x14ac:dyDescent="0.25">
      <c r="A714" t="s">
        <v>1028</v>
      </c>
      <c r="B714" t="s">
        <v>63</v>
      </c>
      <c r="C714" t="s">
        <v>1070</v>
      </c>
      <c r="D714" t="s">
        <v>50</v>
      </c>
      <c r="E714" s="8" t="s">
        <v>118</v>
      </c>
      <c r="F714">
        <v>6.8699999999999997E-2</v>
      </c>
      <c r="G714" t="s">
        <v>78</v>
      </c>
      <c r="H714" t="str">
        <f>VLOOKUP(Tabla3[[#This Row],[DESCRIPCION MATERIAL]],'CODIGO MAT'!$C$2:$D$390,2,FALSE)</f>
        <v>TEL0000045</v>
      </c>
      <c r="J714">
        <v>1</v>
      </c>
      <c r="K714">
        <v>0</v>
      </c>
      <c r="L714" t="e">
        <v>#N/A</v>
      </c>
      <c r="M714" t="s">
        <v>992</v>
      </c>
      <c r="N714" t="e">
        <f>M714&amp;Tabla3[[#This Row],[CODIGO PRODUCTO TERMINADO]]&amp;"','"&amp;L714&amp;"',"&amp;Tabla3[[#This Row],[CANTIDAD MATERIAL (M)]]&amp;");"</f>
        <v>#N/A</v>
      </c>
    </row>
    <row r="715" spans="1:14" x14ac:dyDescent="0.25">
      <c r="A715" t="s">
        <v>1028</v>
      </c>
      <c r="B715" t="s">
        <v>63</v>
      </c>
      <c r="C715" t="s">
        <v>1070</v>
      </c>
      <c r="D715" t="s">
        <v>51</v>
      </c>
      <c r="E715" s="8" t="s">
        <v>308</v>
      </c>
      <c r="F715">
        <v>1.8700000000000001E-2</v>
      </c>
      <c r="G715" t="s">
        <v>78</v>
      </c>
      <c r="H715" t="str">
        <f>VLOOKUP(Tabla3[[#This Row],[DESCRIPCION MATERIAL]],'CODIGO MAT'!$C$2:$D$390,2,FALSE)</f>
        <v>AVI0000053</v>
      </c>
      <c r="J715">
        <v>1</v>
      </c>
      <c r="K715">
        <v>0</v>
      </c>
      <c r="L715" t="e">
        <v>#N/A</v>
      </c>
      <c r="M715" t="s">
        <v>992</v>
      </c>
      <c r="N715" t="e">
        <f>M715&amp;Tabla3[[#This Row],[CODIGO PRODUCTO TERMINADO]]&amp;"','"&amp;L715&amp;"',"&amp;Tabla3[[#This Row],[CANTIDAD MATERIAL (M)]]&amp;");"</f>
        <v>#N/A</v>
      </c>
    </row>
    <row r="716" spans="1:14" x14ac:dyDescent="0.25">
      <c r="A716" t="s">
        <v>1028</v>
      </c>
      <c r="B716" t="s">
        <v>63</v>
      </c>
      <c r="C716" t="s">
        <v>1070</v>
      </c>
      <c r="D716" t="s">
        <v>51</v>
      </c>
      <c r="E716" s="8" t="s">
        <v>261</v>
      </c>
      <c r="F716">
        <v>1</v>
      </c>
      <c r="G716" t="s">
        <v>396</v>
      </c>
      <c r="H716" t="str">
        <f>VLOOKUP(Tabla3[[#This Row],[DESCRIPCION MATERIAL]],'CODIGO MAT'!$C$2:$D$390,2,FALSE)</f>
        <v>AVI0000002</v>
      </c>
      <c r="J716">
        <v>1</v>
      </c>
      <c r="K716">
        <v>0</v>
      </c>
      <c r="L716" t="e">
        <v>#N/A</v>
      </c>
      <c r="M716" t="s">
        <v>992</v>
      </c>
      <c r="N716" t="e">
        <f>M716&amp;Tabla3[[#This Row],[CODIGO PRODUCTO TERMINADO]]&amp;"','"&amp;L716&amp;"',"&amp;Tabla3[[#This Row],[CANTIDAD MATERIAL (M)]]&amp;");"</f>
        <v>#N/A</v>
      </c>
    </row>
    <row r="717" spans="1:14" x14ac:dyDescent="0.25">
      <c r="A717" t="s">
        <v>1028</v>
      </c>
      <c r="B717" t="s">
        <v>63</v>
      </c>
      <c r="C717" t="s">
        <v>1070</v>
      </c>
      <c r="D717" t="s">
        <v>51</v>
      </c>
      <c r="E717" s="8" t="s">
        <v>35</v>
      </c>
      <c r="F717">
        <v>0.84</v>
      </c>
      <c r="G717" t="s">
        <v>78</v>
      </c>
      <c r="H717" t="str">
        <f>VLOOKUP(Tabla3[[#This Row],[DESCRIPCION MATERIAL]],'CODIGO MAT'!$C$2:$D$390,2,FALSE)</f>
        <v>AVI0000031</v>
      </c>
      <c r="J717">
        <v>1</v>
      </c>
      <c r="K717">
        <v>0.24</v>
      </c>
      <c r="L717" t="e">
        <v>#N/A</v>
      </c>
      <c r="M717" t="s">
        <v>992</v>
      </c>
      <c r="N717" t="e">
        <f>M717&amp;Tabla3[[#This Row],[CODIGO PRODUCTO TERMINADO]]&amp;"','"&amp;L717&amp;"',"&amp;Tabla3[[#This Row],[CANTIDAD MATERIAL (M)]]&amp;");"</f>
        <v>#N/A</v>
      </c>
    </row>
    <row r="718" spans="1:14" x14ac:dyDescent="0.25">
      <c r="A718" t="s">
        <v>1028</v>
      </c>
      <c r="B718" t="s">
        <v>63</v>
      </c>
      <c r="C718" t="s">
        <v>1070</v>
      </c>
      <c r="D718" t="s">
        <v>51</v>
      </c>
      <c r="E718" s="8" t="s">
        <v>996</v>
      </c>
      <c r="F718">
        <v>0.5</v>
      </c>
      <c r="G718" t="s">
        <v>78</v>
      </c>
      <c r="H718" t="str">
        <f>VLOOKUP(Tabla3[[#This Row],[DESCRIPCION MATERIAL]],'CODIGO MAT'!$C$2:$D$390,2,FALSE)</f>
        <v>AVI0000148</v>
      </c>
      <c r="J718">
        <v>1</v>
      </c>
      <c r="K718">
        <v>0</v>
      </c>
      <c r="L718" t="e">
        <v>#N/A</v>
      </c>
      <c r="M718" t="s">
        <v>992</v>
      </c>
      <c r="N718" t="e">
        <f>M718&amp;Tabla3[[#This Row],[CODIGO PRODUCTO TERMINADO]]&amp;"','"&amp;L718&amp;"',"&amp;Tabla3[[#This Row],[CANTIDAD MATERIAL (M)]]&amp;");"</f>
        <v>#N/A</v>
      </c>
    </row>
    <row r="719" spans="1:14" x14ac:dyDescent="0.25">
      <c r="A719" t="s">
        <v>1028</v>
      </c>
      <c r="B719" t="s">
        <v>63</v>
      </c>
      <c r="C719" t="s">
        <v>1070</v>
      </c>
      <c r="D719" t="s">
        <v>51</v>
      </c>
      <c r="E719" s="8" t="s">
        <v>398</v>
      </c>
      <c r="F719">
        <v>10</v>
      </c>
      <c r="G719" t="s">
        <v>396</v>
      </c>
      <c r="H719" t="str">
        <f>VLOOKUP(Tabla3[[#This Row],[DESCRIPCION MATERIAL]],'CODIGO MAT'!$C$2:$D$390,2,FALSE)</f>
        <v>AVI0000132</v>
      </c>
      <c r="L719" t="e">
        <v>#N/A</v>
      </c>
      <c r="M719" t="s">
        <v>992</v>
      </c>
      <c r="N719" t="e">
        <f>M719&amp;Tabla3[[#This Row],[CODIGO PRODUCTO TERMINADO]]&amp;"','"&amp;L719&amp;"',"&amp;Tabla3[[#This Row],[CANTIDAD MATERIAL (M)]]&amp;");"</f>
        <v>#N/A</v>
      </c>
    </row>
    <row r="720" spans="1:14" x14ac:dyDescent="0.25">
      <c r="A720" t="s">
        <v>1028</v>
      </c>
      <c r="B720" t="s">
        <v>63</v>
      </c>
      <c r="C720" t="s">
        <v>1070</v>
      </c>
      <c r="D720" t="s">
        <v>51</v>
      </c>
      <c r="E720" s="8" t="s">
        <v>36</v>
      </c>
      <c r="F720">
        <v>2</v>
      </c>
      <c r="G720" t="s">
        <v>396</v>
      </c>
      <c r="H720" t="str">
        <f>VLOOKUP(Tabla3[[#This Row],[DESCRIPCION MATERIAL]],'CODIGO MAT'!$C$2:$D$390,2,FALSE)</f>
        <v>AVI0000135</v>
      </c>
      <c r="L720" t="e">
        <v>#N/A</v>
      </c>
      <c r="M720" t="s">
        <v>992</v>
      </c>
      <c r="N720" t="e">
        <f>M720&amp;Tabla3[[#This Row],[CODIGO PRODUCTO TERMINADO]]&amp;"','"&amp;L720&amp;"',"&amp;Tabla3[[#This Row],[CANTIDAD MATERIAL (M)]]&amp;");"</f>
        <v>#N/A</v>
      </c>
    </row>
    <row r="721" spans="1:14" x14ac:dyDescent="0.25">
      <c r="A721" t="s">
        <v>1028</v>
      </c>
      <c r="B721" t="s">
        <v>63</v>
      </c>
      <c r="C721" t="s">
        <v>1070</v>
      </c>
      <c r="D721" t="s">
        <v>51</v>
      </c>
      <c r="E721" s="8" t="s">
        <v>1126</v>
      </c>
      <c r="F721">
        <v>2E-3</v>
      </c>
      <c r="G721" t="s">
        <v>396</v>
      </c>
      <c r="H721" t="str">
        <f>VLOOKUP(Tabla3[[#This Row],[DESCRIPCION MATERIAL]],'CODIGO MAT'!$C$2:$D$390,2,FALSE)</f>
        <v>AVI0000151</v>
      </c>
      <c r="L721" t="e">
        <v>#N/A</v>
      </c>
      <c r="M721" t="s">
        <v>992</v>
      </c>
      <c r="N721" t="e">
        <f>M721&amp;Tabla3[[#This Row],[CODIGO PRODUCTO TERMINADO]]&amp;"','"&amp;L721&amp;"',"&amp;Tabla3[[#This Row],[CANTIDAD MATERIAL (M)]]&amp;");"</f>
        <v>#N/A</v>
      </c>
    </row>
    <row r="722" spans="1:14" x14ac:dyDescent="0.25">
      <c r="A722" t="s">
        <v>1029</v>
      </c>
      <c r="B722" t="s">
        <v>63</v>
      </c>
      <c r="C722" t="s">
        <v>1071</v>
      </c>
      <c r="D722" t="s">
        <v>50</v>
      </c>
      <c r="E722" s="8" t="s">
        <v>32</v>
      </c>
      <c r="F722">
        <v>1.1575</v>
      </c>
      <c r="G722" t="s">
        <v>78</v>
      </c>
      <c r="H722" t="str">
        <f>VLOOKUP(Tabla3[[#This Row],[DESCRIPCION MATERIAL]],'CODIGO MAT'!$C$2:$D$390,2,FALSE)</f>
        <v>TEL0000041</v>
      </c>
      <c r="J722">
        <v>1</v>
      </c>
      <c r="K722">
        <v>0</v>
      </c>
      <c r="L722" t="e">
        <v>#N/A</v>
      </c>
      <c r="M722" t="s">
        <v>992</v>
      </c>
      <c r="N722" t="e">
        <f>M722&amp;Tabla3[[#This Row],[CODIGO PRODUCTO TERMINADO]]&amp;"','"&amp;L722&amp;"',"&amp;Tabla3[[#This Row],[CANTIDAD MATERIAL (M)]]&amp;");"</f>
        <v>#N/A</v>
      </c>
    </row>
    <row r="723" spans="1:14" x14ac:dyDescent="0.25">
      <c r="A723" t="s">
        <v>1029</v>
      </c>
      <c r="B723" t="s">
        <v>63</v>
      </c>
      <c r="C723" t="s">
        <v>1071</v>
      </c>
      <c r="D723" t="s">
        <v>50</v>
      </c>
      <c r="E723" s="8" t="s">
        <v>141</v>
      </c>
      <c r="F723">
        <v>8.5000000000000006E-2</v>
      </c>
      <c r="G723" t="s">
        <v>78</v>
      </c>
      <c r="H723" t="str">
        <f>VLOOKUP(Tabla3[[#This Row],[DESCRIPCION MATERIAL]],'CODIGO MAT'!$C$2:$D$390,2,FALSE)</f>
        <v>TEL0000068</v>
      </c>
      <c r="J723">
        <v>1</v>
      </c>
      <c r="K723">
        <v>0</v>
      </c>
      <c r="L723" t="e">
        <v>#N/A</v>
      </c>
      <c r="M723" t="s">
        <v>992</v>
      </c>
      <c r="N723" t="e">
        <f>M723&amp;Tabla3[[#This Row],[CODIGO PRODUCTO TERMINADO]]&amp;"','"&amp;L723&amp;"',"&amp;Tabla3[[#This Row],[CANTIDAD MATERIAL (M)]]&amp;");"</f>
        <v>#N/A</v>
      </c>
    </row>
    <row r="724" spans="1:14" x14ac:dyDescent="0.25">
      <c r="A724" t="s">
        <v>1029</v>
      </c>
      <c r="B724" t="s">
        <v>63</v>
      </c>
      <c r="C724" t="s">
        <v>1071</v>
      </c>
      <c r="D724" t="s">
        <v>50</v>
      </c>
      <c r="E724" s="8" t="s">
        <v>118</v>
      </c>
      <c r="F724">
        <v>6.8699999999999997E-2</v>
      </c>
      <c r="G724" t="s">
        <v>78</v>
      </c>
      <c r="H724" t="str">
        <f>VLOOKUP(Tabla3[[#This Row],[DESCRIPCION MATERIAL]],'CODIGO MAT'!$C$2:$D$390,2,FALSE)</f>
        <v>TEL0000045</v>
      </c>
      <c r="J724">
        <v>1</v>
      </c>
      <c r="K724">
        <v>0</v>
      </c>
      <c r="L724" t="e">
        <v>#N/A</v>
      </c>
      <c r="M724" t="s">
        <v>992</v>
      </c>
      <c r="N724" t="e">
        <f>M724&amp;Tabla3[[#This Row],[CODIGO PRODUCTO TERMINADO]]&amp;"','"&amp;L724&amp;"',"&amp;Tabla3[[#This Row],[CANTIDAD MATERIAL (M)]]&amp;");"</f>
        <v>#N/A</v>
      </c>
    </row>
    <row r="725" spans="1:14" x14ac:dyDescent="0.25">
      <c r="A725" t="s">
        <v>1029</v>
      </c>
      <c r="B725" t="s">
        <v>63</v>
      </c>
      <c r="C725" t="s">
        <v>1071</v>
      </c>
      <c r="D725" t="s">
        <v>51</v>
      </c>
      <c r="E725" s="8" t="s">
        <v>308</v>
      </c>
      <c r="F725">
        <v>1.8700000000000001E-2</v>
      </c>
      <c r="G725" t="s">
        <v>78</v>
      </c>
      <c r="H725" t="str">
        <f>VLOOKUP(Tabla3[[#This Row],[DESCRIPCION MATERIAL]],'CODIGO MAT'!$C$2:$D$390,2,FALSE)</f>
        <v>AVI0000053</v>
      </c>
      <c r="J725">
        <v>1</v>
      </c>
      <c r="K725">
        <v>0</v>
      </c>
      <c r="L725" t="e">
        <v>#N/A</v>
      </c>
      <c r="M725" t="s">
        <v>992</v>
      </c>
      <c r="N725" t="e">
        <f>M725&amp;Tabla3[[#This Row],[CODIGO PRODUCTO TERMINADO]]&amp;"','"&amp;L725&amp;"',"&amp;Tabla3[[#This Row],[CANTIDAD MATERIAL (M)]]&amp;");"</f>
        <v>#N/A</v>
      </c>
    </row>
    <row r="726" spans="1:14" x14ac:dyDescent="0.25">
      <c r="A726" t="s">
        <v>1029</v>
      </c>
      <c r="B726" t="s">
        <v>63</v>
      </c>
      <c r="C726" t="s">
        <v>1071</v>
      </c>
      <c r="D726" t="s">
        <v>51</v>
      </c>
      <c r="E726" s="8" t="s">
        <v>261</v>
      </c>
      <c r="F726">
        <v>1</v>
      </c>
      <c r="G726" t="s">
        <v>396</v>
      </c>
      <c r="H726" t="str">
        <f>VLOOKUP(Tabla3[[#This Row],[DESCRIPCION MATERIAL]],'CODIGO MAT'!$C$2:$D$390,2,FALSE)</f>
        <v>AVI0000002</v>
      </c>
      <c r="J726">
        <v>1</v>
      </c>
      <c r="K726">
        <v>0</v>
      </c>
      <c r="L726" t="e">
        <v>#N/A</v>
      </c>
      <c r="M726" t="s">
        <v>992</v>
      </c>
      <c r="N726" t="e">
        <f>M726&amp;Tabla3[[#This Row],[CODIGO PRODUCTO TERMINADO]]&amp;"','"&amp;L726&amp;"',"&amp;Tabla3[[#This Row],[CANTIDAD MATERIAL (M)]]&amp;");"</f>
        <v>#N/A</v>
      </c>
    </row>
    <row r="727" spans="1:14" x14ac:dyDescent="0.25">
      <c r="A727" t="s">
        <v>1029</v>
      </c>
      <c r="B727" t="s">
        <v>63</v>
      </c>
      <c r="C727" t="s">
        <v>1071</v>
      </c>
      <c r="D727" t="s">
        <v>51</v>
      </c>
      <c r="E727" s="8" t="s">
        <v>35</v>
      </c>
      <c r="F727">
        <v>0.84</v>
      </c>
      <c r="G727" t="s">
        <v>78</v>
      </c>
      <c r="H727" t="str">
        <f>VLOOKUP(Tabla3[[#This Row],[DESCRIPCION MATERIAL]],'CODIGO MAT'!$C$2:$D$390,2,FALSE)</f>
        <v>AVI0000031</v>
      </c>
      <c r="J727">
        <v>1</v>
      </c>
      <c r="K727">
        <v>0.24</v>
      </c>
      <c r="L727" t="e">
        <v>#N/A</v>
      </c>
      <c r="M727" t="s">
        <v>992</v>
      </c>
      <c r="N727" t="e">
        <f>M727&amp;Tabla3[[#This Row],[CODIGO PRODUCTO TERMINADO]]&amp;"','"&amp;L727&amp;"',"&amp;Tabla3[[#This Row],[CANTIDAD MATERIAL (M)]]&amp;");"</f>
        <v>#N/A</v>
      </c>
    </row>
    <row r="728" spans="1:14" x14ac:dyDescent="0.25">
      <c r="A728" t="s">
        <v>1029</v>
      </c>
      <c r="B728" t="s">
        <v>63</v>
      </c>
      <c r="C728" t="s">
        <v>1071</v>
      </c>
      <c r="D728" t="s">
        <v>51</v>
      </c>
      <c r="E728" s="8" t="s">
        <v>996</v>
      </c>
      <c r="F728">
        <v>0.5</v>
      </c>
      <c r="G728" t="s">
        <v>78</v>
      </c>
      <c r="H728" t="str">
        <f>VLOOKUP(Tabla3[[#This Row],[DESCRIPCION MATERIAL]],'CODIGO MAT'!$C$2:$D$390,2,FALSE)</f>
        <v>AVI0000148</v>
      </c>
      <c r="J728">
        <v>1</v>
      </c>
      <c r="K728">
        <v>0</v>
      </c>
      <c r="L728" t="e">
        <v>#N/A</v>
      </c>
      <c r="M728" t="s">
        <v>992</v>
      </c>
      <c r="N728" t="e">
        <f>M728&amp;Tabla3[[#This Row],[CODIGO PRODUCTO TERMINADO]]&amp;"','"&amp;L728&amp;"',"&amp;Tabla3[[#This Row],[CANTIDAD MATERIAL (M)]]&amp;");"</f>
        <v>#N/A</v>
      </c>
    </row>
    <row r="729" spans="1:14" x14ac:dyDescent="0.25">
      <c r="A729" t="s">
        <v>1029</v>
      </c>
      <c r="B729" t="s">
        <v>63</v>
      </c>
      <c r="C729" t="s">
        <v>1071</v>
      </c>
      <c r="D729" t="s">
        <v>51</v>
      </c>
      <c r="E729" s="8" t="s">
        <v>398</v>
      </c>
      <c r="F729">
        <v>10</v>
      </c>
      <c r="G729" t="s">
        <v>396</v>
      </c>
      <c r="H729" t="str">
        <f>VLOOKUP(Tabla3[[#This Row],[DESCRIPCION MATERIAL]],'CODIGO MAT'!$C$2:$D$390,2,FALSE)</f>
        <v>AVI0000132</v>
      </c>
      <c r="L729" t="e">
        <v>#N/A</v>
      </c>
      <c r="M729" t="s">
        <v>992</v>
      </c>
      <c r="N729" t="e">
        <f>M729&amp;Tabla3[[#This Row],[CODIGO PRODUCTO TERMINADO]]&amp;"','"&amp;L729&amp;"',"&amp;Tabla3[[#This Row],[CANTIDAD MATERIAL (M)]]&amp;");"</f>
        <v>#N/A</v>
      </c>
    </row>
    <row r="730" spans="1:14" x14ac:dyDescent="0.25">
      <c r="A730" t="s">
        <v>1029</v>
      </c>
      <c r="B730" t="s">
        <v>63</v>
      </c>
      <c r="C730" t="s">
        <v>1071</v>
      </c>
      <c r="D730" t="s">
        <v>51</v>
      </c>
      <c r="E730" s="8" t="s">
        <v>36</v>
      </c>
      <c r="F730">
        <v>2</v>
      </c>
      <c r="G730" t="s">
        <v>396</v>
      </c>
      <c r="H730" t="str">
        <f>VLOOKUP(Tabla3[[#This Row],[DESCRIPCION MATERIAL]],'CODIGO MAT'!$C$2:$D$390,2,FALSE)</f>
        <v>AVI0000135</v>
      </c>
      <c r="L730" t="e">
        <v>#N/A</v>
      </c>
      <c r="M730" t="s">
        <v>992</v>
      </c>
      <c r="N730" t="e">
        <f>M730&amp;Tabla3[[#This Row],[CODIGO PRODUCTO TERMINADO]]&amp;"','"&amp;L730&amp;"',"&amp;Tabla3[[#This Row],[CANTIDAD MATERIAL (M)]]&amp;");"</f>
        <v>#N/A</v>
      </c>
    </row>
    <row r="731" spans="1:14" x14ac:dyDescent="0.25">
      <c r="A731" t="s">
        <v>1029</v>
      </c>
      <c r="B731" t="s">
        <v>63</v>
      </c>
      <c r="C731" t="s">
        <v>1071</v>
      </c>
      <c r="D731" t="s">
        <v>51</v>
      </c>
      <c r="E731" s="8" t="s">
        <v>1126</v>
      </c>
      <c r="F731">
        <v>2E-3</v>
      </c>
      <c r="G731" t="s">
        <v>396</v>
      </c>
      <c r="H731" t="str">
        <f>VLOOKUP(Tabla3[[#This Row],[DESCRIPCION MATERIAL]],'CODIGO MAT'!$C$2:$D$390,2,FALSE)</f>
        <v>AVI0000151</v>
      </c>
      <c r="L731" t="e">
        <v>#N/A</v>
      </c>
      <c r="M731" t="s">
        <v>992</v>
      </c>
      <c r="N731" t="e">
        <f>M731&amp;Tabla3[[#This Row],[CODIGO PRODUCTO TERMINADO]]&amp;"','"&amp;L731&amp;"',"&amp;Tabla3[[#This Row],[CANTIDAD MATERIAL (M)]]&amp;");"</f>
        <v>#N/A</v>
      </c>
    </row>
    <row r="732" spans="1:14" x14ac:dyDescent="0.25">
      <c r="A732" t="s">
        <v>1030</v>
      </c>
      <c r="B732" t="s">
        <v>63</v>
      </c>
      <c r="C732" t="s">
        <v>1072</v>
      </c>
      <c r="D732" t="s">
        <v>50</v>
      </c>
      <c r="E732" s="8" t="s">
        <v>32</v>
      </c>
      <c r="F732">
        <v>1.29</v>
      </c>
      <c r="G732" t="s">
        <v>78</v>
      </c>
      <c r="H732" t="str">
        <f>VLOOKUP(Tabla3[[#This Row],[DESCRIPCION MATERIAL]],'CODIGO MAT'!$C$2:$D$390,2,FALSE)</f>
        <v>TEL0000041</v>
      </c>
      <c r="J732">
        <v>1</v>
      </c>
      <c r="K732">
        <v>0</v>
      </c>
      <c r="L732" t="e">
        <v>#N/A</v>
      </c>
      <c r="M732" t="s">
        <v>992</v>
      </c>
      <c r="N732" t="e">
        <f>M732&amp;Tabla3[[#This Row],[CODIGO PRODUCTO TERMINADO]]&amp;"','"&amp;L732&amp;"',"&amp;Tabla3[[#This Row],[CANTIDAD MATERIAL (M)]]&amp;");"</f>
        <v>#N/A</v>
      </c>
    </row>
    <row r="733" spans="1:14" x14ac:dyDescent="0.25">
      <c r="A733" t="s">
        <v>1030</v>
      </c>
      <c r="B733" t="s">
        <v>63</v>
      </c>
      <c r="C733" t="s">
        <v>1072</v>
      </c>
      <c r="D733" t="s">
        <v>50</v>
      </c>
      <c r="E733" s="8" t="s">
        <v>141</v>
      </c>
      <c r="F733">
        <v>8.5000000000000006E-2</v>
      </c>
      <c r="G733" t="s">
        <v>78</v>
      </c>
      <c r="H733" t="str">
        <f>VLOOKUP(Tabla3[[#This Row],[DESCRIPCION MATERIAL]],'CODIGO MAT'!$C$2:$D$390,2,FALSE)</f>
        <v>TEL0000068</v>
      </c>
      <c r="J733">
        <v>1</v>
      </c>
      <c r="K733">
        <v>0</v>
      </c>
      <c r="L733" t="e">
        <v>#N/A</v>
      </c>
      <c r="M733" t="s">
        <v>992</v>
      </c>
      <c r="N733" t="e">
        <f>M733&amp;Tabla3[[#This Row],[CODIGO PRODUCTO TERMINADO]]&amp;"','"&amp;L733&amp;"',"&amp;Tabla3[[#This Row],[CANTIDAD MATERIAL (M)]]&amp;");"</f>
        <v>#N/A</v>
      </c>
    </row>
    <row r="734" spans="1:14" x14ac:dyDescent="0.25">
      <c r="A734" t="s">
        <v>1030</v>
      </c>
      <c r="B734" t="s">
        <v>63</v>
      </c>
      <c r="C734" t="s">
        <v>1072</v>
      </c>
      <c r="D734" t="s">
        <v>50</v>
      </c>
      <c r="E734" s="8" t="s">
        <v>118</v>
      </c>
      <c r="F734">
        <v>6.8699999999999997E-2</v>
      </c>
      <c r="G734" t="s">
        <v>78</v>
      </c>
      <c r="H734" t="str">
        <f>VLOOKUP(Tabla3[[#This Row],[DESCRIPCION MATERIAL]],'CODIGO MAT'!$C$2:$D$390,2,FALSE)</f>
        <v>TEL0000045</v>
      </c>
      <c r="J734">
        <v>1</v>
      </c>
      <c r="K734">
        <v>0</v>
      </c>
      <c r="L734" t="e">
        <v>#N/A</v>
      </c>
      <c r="M734" t="s">
        <v>992</v>
      </c>
      <c r="N734" t="e">
        <f>M734&amp;Tabla3[[#This Row],[CODIGO PRODUCTO TERMINADO]]&amp;"','"&amp;L734&amp;"',"&amp;Tabla3[[#This Row],[CANTIDAD MATERIAL (M)]]&amp;");"</f>
        <v>#N/A</v>
      </c>
    </row>
    <row r="735" spans="1:14" x14ac:dyDescent="0.25">
      <c r="A735" t="s">
        <v>1030</v>
      </c>
      <c r="B735" t="s">
        <v>63</v>
      </c>
      <c r="C735" t="s">
        <v>1072</v>
      </c>
      <c r="D735" t="s">
        <v>51</v>
      </c>
      <c r="E735" s="8" t="s">
        <v>308</v>
      </c>
      <c r="F735">
        <v>1.8700000000000001E-2</v>
      </c>
      <c r="G735" t="s">
        <v>78</v>
      </c>
      <c r="H735" t="str">
        <f>VLOOKUP(Tabla3[[#This Row],[DESCRIPCION MATERIAL]],'CODIGO MAT'!$C$2:$D$390,2,FALSE)</f>
        <v>AVI0000053</v>
      </c>
      <c r="J735">
        <v>1</v>
      </c>
      <c r="K735">
        <v>0</v>
      </c>
      <c r="L735" t="e">
        <v>#N/A</v>
      </c>
      <c r="M735" t="s">
        <v>992</v>
      </c>
      <c r="N735" t="e">
        <f>M735&amp;Tabla3[[#This Row],[CODIGO PRODUCTO TERMINADO]]&amp;"','"&amp;L735&amp;"',"&amp;Tabla3[[#This Row],[CANTIDAD MATERIAL (M)]]&amp;");"</f>
        <v>#N/A</v>
      </c>
    </row>
    <row r="736" spans="1:14" x14ac:dyDescent="0.25">
      <c r="A736" t="s">
        <v>1030</v>
      </c>
      <c r="B736" t="s">
        <v>63</v>
      </c>
      <c r="C736" t="s">
        <v>1072</v>
      </c>
      <c r="D736" t="s">
        <v>51</v>
      </c>
      <c r="E736" s="8" t="s">
        <v>261</v>
      </c>
      <c r="F736">
        <v>1</v>
      </c>
      <c r="G736" t="s">
        <v>396</v>
      </c>
      <c r="H736" t="str">
        <f>VLOOKUP(Tabla3[[#This Row],[DESCRIPCION MATERIAL]],'CODIGO MAT'!$C$2:$D$390,2,FALSE)</f>
        <v>AVI0000002</v>
      </c>
      <c r="J736">
        <v>1</v>
      </c>
      <c r="K736">
        <v>0</v>
      </c>
      <c r="L736" t="e">
        <v>#N/A</v>
      </c>
      <c r="M736" t="s">
        <v>992</v>
      </c>
      <c r="N736" t="e">
        <f>M736&amp;Tabla3[[#This Row],[CODIGO PRODUCTO TERMINADO]]&amp;"','"&amp;L736&amp;"',"&amp;Tabla3[[#This Row],[CANTIDAD MATERIAL (M)]]&amp;");"</f>
        <v>#N/A</v>
      </c>
    </row>
    <row r="737" spans="1:14" x14ac:dyDescent="0.25">
      <c r="A737" t="s">
        <v>1030</v>
      </c>
      <c r="B737" t="s">
        <v>63</v>
      </c>
      <c r="C737" t="s">
        <v>1072</v>
      </c>
      <c r="D737" t="s">
        <v>51</v>
      </c>
      <c r="E737" s="8" t="s">
        <v>35</v>
      </c>
      <c r="F737">
        <v>0.84</v>
      </c>
      <c r="G737" t="s">
        <v>78</v>
      </c>
      <c r="H737" t="str">
        <f>VLOOKUP(Tabla3[[#This Row],[DESCRIPCION MATERIAL]],'CODIGO MAT'!$C$2:$D$390,2,FALSE)</f>
        <v>AVI0000031</v>
      </c>
      <c r="J737">
        <v>1</v>
      </c>
      <c r="K737">
        <v>0.24</v>
      </c>
      <c r="L737" t="e">
        <v>#N/A</v>
      </c>
      <c r="M737" t="s">
        <v>992</v>
      </c>
      <c r="N737" t="e">
        <f>M737&amp;Tabla3[[#This Row],[CODIGO PRODUCTO TERMINADO]]&amp;"','"&amp;L737&amp;"',"&amp;Tabla3[[#This Row],[CANTIDAD MATERIAL (M)]]&amp;");"</f>
        <v>#N/A</v>
      </c>
    </row>
    <row r="738" spans="1:14" x14ac:dyDescent="0.25">
      <c r="A738" t="s">
        <v>1030</v>
      </c>
      <c r="B738" t="s">
        <v>63</v>
      </c>
      <c r="C738" t="s">
        <v>1072</v>
      </c>
      <c r="D738" t="s">
        <v>51</v>
      </c>
      <c r="E738" s="8" t="s">
        <v>996</v>
      </c>
      <c r="F738">
        <v>0.5</v>
      </c>
      <c r="G738" t="s">
        <v>78</v>
      </c>
      <c r="H738" t="str">
        <f>VLOOKUP(Tabla3[[#This Row],[DESCRIPCION MATERIAL]],'CODIGO MAT'!$C$2:$D$390,2,FALSE)</f>
        <v>AVI0000148</v>
      </c>
      <c r="J738">
        <v>1</v>
      </c>
      <c r="K738">
        <v>0</v>
      </c>
      <c r="L738" t="e">
        <v>#N/A</v>
      </c>
      <c r="M738" t="s">
        <v>992</v>
      </c>
      <c r="N738" t="e">
        <f>M738&amp;Tabla3[[#This Row],[CODIGO PRODUCTO TERMINADO]]&amp;"','"&amp;L738&amp;"',"&amp;Tabla3[[#This Row],[CANTIDAD MATERIAL (M)]]&amp;");"</f>
        <v>#N/A</v>
      </c>
    </row>
    <row r="739" spans="1:14" x14ac:dyDescent="0.25">
      <c r="A739" t="s">
        <v>1030</v>
      </c>
      <c r="B739" t="s">
        <v>63</v>
      </c>
      <c r="C739" t="s">
        <v>1072</v>
      </c>
      <c r="D739" t="s">
        <v>51</v>
      </c>
      <c r="E739" s="8" t="s">
        <v>398</v>
      </c>
      <c r="F739">
        <v>10</v>
      </c>
      <c r="G739" t="s">
        <v>396</v>
      </c>
      <c r="H739" t="str">
        <f>VLOOKUP(Tabla3[[#This Row],[DESCRIPCION MATERIAL]],'CODIGO MAT'!$C$2:$D$390,2,FALSE)</f>
        <v>AVI0000132</v>
      </c>
      <c r="L739" t="e">
        <v>#N/A</v>
      </c>
      <c r="M739" t="s">
        <v>992</v>
      </c>
      <c r="N739" t="e">
        <f>M739&amp;Tabla3[[#This Row],[CODIGO PRODUCTO TERMINADO]]&amp;"','"&amp;L739&amp;"',"&amp;Tabla3[[#This Row],[CANTIDAD MATERIAL (M)]]&amp;");"</f>
        <v>#N/A</v>
      </c>
    </row>
    <row r="740" spans="1:14" x14ac:dyDescent="0.25">
      <c r="A740" t="s">
        <v>1030</v>
      </c>
      <c r="B740" t="s">
        <v>63</v>
      </c>
      <c r="C740" t="s">
        <v>1072</v>
      </c>
      <c r="D740" t="s">
        <v>51</v>
      </c>
      <c r="E740" s="8" t="s">
        <v>36</v>
      </c>
      <c r="F740">
        <v>2</v>
      </c>
      <c r="G740" t="s">
        <v>396</v>
      </c>
      <c r="H740" t="str">
        <f>VLOOKUP(Tabla3[[#This Row],[DESCRIPCION MATERIAL]],'CODIGO MAT'!$C$2:$D$390,2,FALSE)</f>
        <v>AVI0000135</v>
      </c>
      <c r="L740" t="e">
        <v>#N/A</v>
      </c>
      <c r="M740" t="s">
        <v>992</v>
      </c>
      <c r="N740" t="e">
        <f>M740&amp;Tabla3[[#This Row],[CODIGO PRODUCTO TERMINADO]]&amp;"','"&amp;L740&amp;"',"&amp;Tabla3[[#This Row],[CANTIDAD MATERIAL (M)]]&amp;");"</f>
        <v>#N/A</v>
      </c>
    </row>
    <row r="741" spans="1:14" x14ac:dyDescent="0.25">
      <c r="A741" t="s">
        <v>1030</v>
      </c>
      <c r="B741" t="s">
        <v>63</v>
      </c>
      <c r="C741" t="s">
        <v>1072</v>
      </c>
      <c r="D741" t="s">
        <v>51</v>
      </c>
      <c r="E741" s="8" t="s">
        <v>1126</v>
      </c>
      <c r="F741">
        <v>2E-3</v>
      </c>
      <c r="G741" t="s">
        <v>396</v>
      </c>
      <c r="H741" t="str">
        <f>VLOOKUP(Tabla3[[#This Row],[DESCRIPCION MATERIAL]],'CODIGO MAT'!$C$2:$D$390,2,FALSE)</f>
        <v>AVI0000151</v>
      </c>
      <c r="L741" t="e">
        <v>#N/A</v>
      </c>
      <c r="M741" t="s">
        <v>992</v>
      </c>
      <c r="N741" t="e">
        <f>M741&amp;Tabla3[[#This Row],[CODIGO PRODUCTO TERMINADO]]&amp;"','"&amp;L741&amp;"',"&amp;Tabla3[[#This Row],[CANTIDAD MATERIAL (M)]]&amp;");"</f>
        <v>#N/A</v>
      </c>
    </row>
    <row r="742" spans="1:14" x14ac:dyDescent="0.25">
      <c r="A742" t="s">
        <v>1031</v>
      </c>
      <c r="B742" t="s">
        <v>63</v>
      </c>
      <c r="C742" t="s">
        <v>1073</v>
      </c>
      <c r="D742" t="s">
        <v>50</v>
      </c>
      <c r="E742" s="8" t="s">
        <v>32</v>
      </c>
      <c r="F742">
        <v>1.415</v>
      </c>
      <c r="G742" t="s">
        <v>78</v>
      </c>
      <c r="H742" t="str">
        <f>VLOOKUP(Tabla3[[#This Row],[DESCRIPCION MATERIAL]],'CODIGO MAT'!$C$2:$D$390,2,FALSE)</f>
        <v>TEL0000041</v>
      </c>
      <c r="J742">
        <v>1</v>
      </c>
      <c r="K742">
        <v>0</v>
      </c>
      <c r="L742" t="e">
        <v>#N/A</v>
      </c>
      <c r="M742" t="s">
        <v>992</v>
      </c>
      <c r="N742" t="e">
        <f>M742&amp;Tabla3[[#This Row],[CODIGO PRODUCTO TERMINADO]]&amp;"','"&amp;L742&amp;"',"&amp;Tabla3[[#This Row],[CANTIDAD MATERIAL (M)]]&amp;");"</f>
        <v>#N/A</v>
      </c>
    </row>
    <row r="743" spans="1:14" x14ac:dyDescent="0.25">
      <c r="A743" t="s">
        <v>1031</v>
      </c>
      <c r="B743" t="s">
        <v>63</v>
      </c>
      <c r="C743" t="s">
        <v>1073</v>
      </c>
      <c r="D743" t="s">
        <v>50</v>
      </c>
      <c r="E743" s="8" t="s">
        <v>141</v>
      </c>
      <c r="F743">
        <v>8.5000000000000006E-2</v>
      </c>
      <c r="G743" t="s">
        <v>78</v>
      </c>
      <c r="H743" t="str">
        <f>VLOOKUP(Tabla3[[#This Row],[DESCRIPCION MATERIAL]],'CODIGO MAT'!$C$2:$D$390,2,FALSE)</f>
        <v>TEL0000068</v>
      </c>
      <c r="J743">
        <v>1</v>
      </c>
      <c r="K743">
        <v>0</v>
      </c>
      <c r="L743" t="e">
        <v>#N/A</v>
      </c>
      <c r="M743" t="s">
        <v>992</v>
      </c>
      <c r="N743" t="e">
        <f>M743&amp;Tabla3[[#This Row],[CODIGO PRODUCTO TERMINADO]]&amp;"','"&amp;L743&amp;"',"&amp;Tabla3[[#This Row],[CANTIDAD MATERIAL (M)]]&amp;");"</f>
        <v>#N/A</v>
      </c>
    </row>
    <row r="744" spans="1:14" x14ac:dyDescent="0.25">
      <c r="A744" t="s">
        <v>1031</v>
      </c>
      <c r="B744" t="s">
        <v>63</v>
      </c>
      <c r="C744" t="s">
        <v>1073</v>
      </c>
      <c r="D744" t="s">
        <v>50</v>
      </c>
      <c r="E744" s="8" t="s">
        <v>118</v>
      </c>
      <c r="F744">
        <v>6.8699999999999997E-2</v>
      </c>
      <c r="G744" t="s">
        <v>78</v>
      </c>
      <c r="H744" t="str">
        <f>VLOOKUP(Tabla3[[#This Row],[DESCRIPCION MATERIAL]],'CODIGO MAT'!$C$2:$D$390,2,FALSE)</f>
        <v>TEL0000045</v>
      </c>
      <c r="J744">
        <v>1</v>
      </c>
      <c r="K744">
        <v>0</v>
      </c>
      <c r="L744" t="e">
        <v>#N/A</v>
      </c>
      <c r="M744" t="s">
        <v>992</v>
      </c>
      <c r="N744" t="e">
        <f>M744&amp;Tabla3[[#This Row],[CODIGO PRODUCTO TERMINADO]]&amp;"','"&amp;L744&amp;"',"&amp;Tabla3[[#This Row],[CANTIDAD MATERIAL (M)]]&amp;");"</f>
        <v>#N/A</v>
      </c>
    </row>
    <row r="745" spans="1:14" x14ac:dyDescent="0.25">
      <c r="A745" t="s">
        <v>1031</v>
      </c>
      <c r="B745" t="s">
        <v>63</v>
      </c>
      <c r="C745" t="s">
        <v>1073</v>
      </c>
      <c r="D745" t="s">
        <v>51</v>
      </c>
      <c r="E745" s="8" t="s">
        <v>308</v>
      </c>
      <c r="F745">
        <v>1.8700000000000001E-2</v>
      </c>
      <c r="G745" t="s">
        <v>78</v>
      </c>
      <c r="H745" t="str">
        <f>VLOOKUP(Tabla3[[#This Row],[DESCRIPCION MATERIAL]],'CODIGO MAT'!$C$2:$D$390,2,FALSE)</f>
        <v>AVI0000053</v>
      </c>
      <c r="J745">
        <v>1</v>
      </c>
      <c r="K745">
        <v>0</v>
      </c>
      <c r="L745" t="e">
        <v>#N/A</v>
      </c>
      <c r="M745" t="s">
        <v>992</v>
      </c>
      <c r="N745" t="e">
        <f>M745&amp;Tabla3[[#This Row],[CODIGO PRODUCTO TERMINADO]]&amp;"','"&amp;L745&amp;"',"&amp;Tabla3[[#This Row],[CANTIDAD MATERIAL (M)]]&amp;");"</f>
        <v>#N/A</v>
      </c>
    </row>
    <row r="746" spans="1:14" x14ac:dyDescent="0.25">
      <c r="A746" t="s">
        <v>1031</v>
      </c>
      <c r="B746" t="s">
        <v>63</v>
      </c>
      <c r="C746" t="s">
        <v>1073</v>
      </c>
      <c r="D746" t="s">
        <v>51</v>
      </c>
      <c r="E746" s="8" t="s">
        <v>261</v>
      </c>
      <c r="F746">
        <v>1</v>
      </c>
      <c r="G746" t="s">
        <v>396</v>
      </c>
      <c r="H746" t="str">
        <f>VLOOKUP(Tabla3[[#This Row],[DESCRIPCION MATERIAL]],'CODIGO MAT'!$C$2:$D$390,2,FALSE)</f>
        <v>AVI0000002</v>
      </c>
      <c r="J746">
        <v>1</v>
      </c>
      <c r="K746">
        <v>0</v>
      </c>
      <c r="L746" t="e">
        <v>#N/A</v>
      </c>
      <c r="M746" t="s">
        <v>992</v>
      </c>
      <c r="N746" t="e">
        <f>M746&amp;Tabla3[[#This Row],[CODIGO PRODUCTO TERMINADO]]&amp;"','"&amp;L746&amp;"',"&amp;Tabla3[[#This Row],[CANTIDAD MATERIAL (M)]]&amp;");"</f>
        <v>#N/A</v>
      </c>
    </row>
    <row r="747" spans="1:14" x14ac:dyDescent="0.25">
      <c r="A747" t="s">
        <v>1031</v>
      </c>
      <c r="B747" t="s">
        <v>63</v>
      </c>
      <c r="C747" t="s">
        <v>1073</v>
      </c>
      <c r="D747" t="s">
        <v>51</v>
      </c>
      <c r="E747" s="8" t="s">
        <v>35</v>
      </c>
      <c r="F747">
        <v>0.84</v>
      </c>
      <c r="G747" t="s">
        <v>78</v>
      </c>
      <c r="H747" t="str">
        <f>VLOOKUP(Tabla3[[#This Row],[DESCRIPCION MATERIAL]],'CODIGO MAT'!$C$2:$D$390,2,FALSE)</f>
        <v>AVI0000031</v>
      </c>
      <c r="J747">
        <v>1</v>
      </c>
      <c r="K747">
        <v>0.24</v>
      </c>
      <c r="L747" t="e">
        <v>#N/A</v>
      </c>
      <c r="M747" t="s">
        <v>992</v>
      </c>
      <c r="N747" t="e">
        <f>M747&amp;Tabla3[[#This Row],[CODIGO PRODUCTO TERMINADO]]&amp;"','"&amp;L747&amp;"',"&amp;Tabla3[[#This Row],[CANTIDAD MATERIAL (M)]]&amp;");"</f>
        <v>#N/A</v>
      </c>
    </row>
    <row r="748" spans="1:14" x14ac:dyDescent="0.25">
      <c r="A748" t="s">
        <v>1031</v>
      </c>
      <c r="B748" t="s">
        <v>63</v>
      </c>
      <c r="C748" t="s">
        <v>1073</v>
      </c>
      <c r="D748" t="s">
        <v>51</v>
      </c>
      <c r="E748" s="8" t="s">
        <v>996</v>
      </c>
      <c r="F748">
        <v>0.5</v>
      </c>
      <c r="G748" t="s">
        <v>78</v>
      </c>
      <c r="H748" t="str">
        <f>VLOOKUP(Tabla3[[#This Row],[DESCRIPCION MATERIAL]],'CODIGO MAT'!$C$2:$D$390,2,FALSE)</f>
        <v>AVI0000148</v>
      </c>
      <c r="J748">
        <v>1</v>
      </c>
      <c r="K748">
        <v>0</v>
      </c>
      <c r="L748" t="e">
        <v>#N/A</v>
      </c>
      <c r="M748" t="s">
        <v>992</v>
      </c>
      <c r="N748" t="e">
        <f>M748&amp;Tabla3[[#This Row],[CODIGO PRODUCTO TERMINADO]]&amp;"','"&amp;L748&amp;"',"&amp;Tabla3[[#This Row],[CANTIDAD MATERIAL (M)]]&amp;");"</f>
        <v>#N/A</v>
      </c>
    </row>
    <row r="749" spans="1:14" x14ac:dyDescent="0.25">
      <c r="A749" t="s">
        <v>1031</v>
      </c>
      <c r="B749" t="s">
        <v>63</v>
      </c>
      <c r="C749" t="s">
        <v>1073</v>
      </c>
      <c r="D749" t="s">
        <v>51</v>
      </c>
      <c r="E749" s="8" t="s">
        <v>398</v>
      </c>
      <c r="F749">
        <v>10</v>
      </c>
      <c r="G749" t="s">
        <v>396</v>
      </c>
      <c r="H749" t="str">
        <f>VLOOKUP(Tabla3[[#This Row],[DESCRIPCION MATERIAL]],'CODIGO MAT'!$C$2:$D$390,2,FALSE)</f>
        <v>AVI0000132</v>
      </c>
      <c r="L749" t="e">
        <v>#N/A</v>
      </c>
      <c r="M749" t="s">
        <v>992</v>
      </c>
      <c r="N749" t="e">
        <f>M749&amp;Tabla3[[#This Row],[CODIGO PRODUCTO TERMINADO]]&amp;"','"&amp;L749&amp;"',"&amp;Tabla3[[#This Row],[CANTIDAD MATERIAL (M)]]&amp;");"</f>
        <v>#N/A</v>
      </c>
    </row>
    <row r="750" spans="1:14" x14ac:dyDescent="0.25">
      <c r="A750" t="s">
        <v>1031</v>
      </c>
      <c r="B750" t="s">
        <v>63</v>
      </c>
      <c r="C750" t="s">
        <v>1073</v>
      </c>
      <c r="D750" t="s">
        <v>51</v>
      </c>
      <c r="E750" s="8" t="s">
        <v>36</v>
      </c>
      <c r="F750">
        <v>2</v>
      </c>
      <c r="G750" t="s">
        <v>396</v>
      </c>
      <c r="H750" t="str">
        <f>VLOOKUP(Tabla3[[#This Row],[DESCRIPCION MATERIAL]],'CODIGO MAT'!$C$2:$D$390,2,FALSE)</f>
        <v>AVI0000135</v>
      </c>
      <c r="L750" t="e">
        <v>#N/A</v>
      </c>
      <c r="M750" t="s">
        <v>992</v>
      </c>
      <c r="N750" t="e">
        <f>M750&amp;Tabla3[[#This Row],[CODIGO PRODUCTO TERMINADO]]&amp;"','"&amp;L750&amp;"',"&amp;Tabla3[[#This Row],[CANTIDAD MATERIAL (M)]]&amp;");"</f>
        <v>#N/A</v>
      </c>
    </row>
    <row r="751" spans="1:14" x14ac:dyDescent="0.25">
      <c r="A751" t="s">
        <v>1031</v>
      </c>
      <c r="B751" t="s">
        <v>63</v>
      </c>
      <c r="C751" t="s">
        <v>1073</v>
      </c>
      <c r="D751" t="s">
        <v>51</v>
      </c>
      <c r="E751" s="8" t="s">
        <v>1126</v>
      </c>
      <c r="F751">
        <v>2E-3</v>
      </c>
      <c r="G751" t="s">
        <v>396</v>
      </c>
      <c r="H751" t="str">
        <f>VLOOKUP(Tabla3[[#This Row],[DESCRIPCION MATERIAL]],'CODIGO MAT'!$C$2:$D$390,2,FALSE)</f>
        <v>AVI0000151</v>
      </c>
      <c r="L751" t="e">
        <v>#N/A</v>
      </c>
      <c r="M751" t="s">
        <v>992</v>
      </c>
      <c r="N751" t="e">
        <f>M751&amp;Tabla3[[#This Row],[CODIGO PRODUCTO TERMINADO]]&amp;"','"&amp;L751&amp;"',"&amp;Tabla3[[#This Row],[CANTIDAD MATERIAL (M)]]&amp;");"</f>
        <v>#N/A</v>
      </c>
    </row>
    <row r="752" spans="1:14" x14ac:dyDescent="0.25">
      <c r="A752" t="s">
        <v>1032</v>
      </c>
      <c r="B752" t="s">
        <v>63</v>
      </c>
      <c r="C752" t="s">
        <v>1074</v>
      </c>
      <c r="D752" t="s">
        <v>50</v>
      </c>
      <c r="E752" s="8" t="s">
        <v>32</v>
      </c>
      <c r="F752">
        <v>0</v>
      </c>
      <c r="G752" t="s">
        <v>78</v>
      </c>
      <c r="H752" t="str">
        <f>VLOOKUP(Tabla3[[#This Row],[DESCRIPCION MATERIAL]],'CODIGO MAT'!$C$2:$D$390,2,FALSE)</f>
        <v>TEL0000041</v>
      </c>
      <c r="J752">
        <v>1</v>
      </c>
      <c r="K752">
        <v>0</v>
      </c>
      <c r="L752" t="e">
        <v>#N/A</v>
      </c>
      <c r="M752" t="s">
        <v>992</v>
      </c>
      <c r="N752" t="e">
        <f>M752&amp;Tabla3[[#This Row],[CODIGO PRODUCTO TERMINADO]]&amp;"','"&amp;L752&amp;"',"&amp;Tabla3[[#This Row],[CANTIDAD MATERIAL (M)]]&amp;");"</f>
        <v>#N/A</v>
      </c>
    </row>
    <row r="753" spans="1:14" x14ac:dyDescent="0.25">
      <c r="A753" t="s">
        <v>1032</v>
      </c>
      <c r="B753" t="s">
        <v>63</v>
      </c>
      <c r="C753" t="s">
        <v>1074</v>
      </c>
      <c r="D753" t="s">
        <v>50</v>
      </c>
      <c r="E753" s="8" t="s">
        <v>141</v>
      </c>
      <c r="F753">
        <v>9.1999999999999998E-2</v>
      </c>
      <c r="G753" t="s">
        <v>78</v>
      </c>
      <c r="H753" t="str">
        <f>VLOOKUP(Tabla3[[#This Row],[DESCRIPCION MATERIAL]],'CODIGO MAT'!$C$2:$D$390,2,FALSE)</f>
        <v>TEL0000068</v>
      </c>
      <c r="J753">
        <v>1</v>
      </c>
      <c r="K753">
        <v>0</v>
      </c>
      <c r="L753" t="e">
        <v>#N/A</v>
      </c>
      <c r="M753" t="s">
        <v>992</v>
      </c>
      <c r="N753" t="e">
        <f>M753&amp;Tabla3[[#This Row],[CODIGO PRODUCTO TERMINADO]]&amp;"','"&amp;L753&amp;"',"&amp;Tabla3[[#This Row],[CANTIDAD MATERIAL (M)]]&amp;");"</f>
        <v>#N/A</v>
      </c>
    </row>
    <row r="754" spans="1:14" x14ac:dyDescent="0.25">
      <c r="A754" t="s">
        <v>1032</v>
      </c>
      <c r="B754" t="s">
        <v>63</v>
      </c>
      <c r="C754" t="s">
        <v>1074</v>
      </c>
      <c r="D754" t="s">
        <v>50</v>
      </c>
      <c r="E754" s="8" t="s">
        <v>118</v>
      </c>
      <c r="F754">
        <v>6.8699999999999997E-2</v>
      </c>
      <c r="G754" t="s">
        <v>78</v>
      </c>
      <c r="H754" t="str">
        <f>VLOOKUP(Tabla3[[#This Row],[DESCRIPCION MATERIAL]],'CODIGO MAT'!$C$2:$D$390,2,FALSE)</f>
        <v>TEL0000045</v>
      </c>
      <c r="J754">
        <v>1</v>
      </c>
      <c r="K754">
        <v>0</v>
      </c>
      <c r="L754" t="e">
        <v>#N/A</v>
      </c>
      <c r="M754" t="s">
        <v>992</v>
      </c>
      <c r="N754" t="e">
        <f>M754&amp;Tabla3[[#This Row],[CODIGO PRODUCTO TERMINADO]]&amp;"','"&amp;L754&amp;"',"&amp;Tabla3[[#This Row],[CANTIDAD MATERIAL (M)]]&amp;");"</f>
        <v>#N/A</v>
      </c>
    </row>
    <row r="755" spans="1:14" x14ac:dyDescent="0.25">
      <c r="A755" t="s">
        <v>1032</v>
      </c>
      <c r="B755" t="s">
        <v>63</v>
      </c>
      <c r="C755" t="s">
        <v>1074</v>
      </c>
      <c r="D755" t="s">
        <v>51</v>
      </c>
      <c r="E755" s="8" t="s">
        <v>308</v>
      </c>
      <c r="F755">
        <v>1.8700000000000001E-2</v>
      </c>
      <c r="G755" t="s">
        <v>78</v>
      </c>
      <c r="H755" t="str">
        <f>VLOOKUP(Tabla3[[#This Row],[DESCRIPCION MATERIAL]],'CODIGO MAT'!$C$2:$D$390,2,FALSE)</f>
        <v>AVI0000053</v>
      </c>
      <c r="J755">
        <v>1</v>
      </c>
      <c r="K755">
        <v>0</v>
      </c>
      <c r="L755" t="e">
        <v>#N/A</v>
      </c>
      <c r="M755" t="s">
        <v>992</v>
      </c>
      <c r="N755" t="e">
        <f>M755&amp;Tabla3[[#This Row],[CODIGO PRODUCTO TERMINADO]]&amp;"','"&amp;L755&amp;"',"&amp;Tabla3[[#This Row],[CANTIDAD MATERIAL (M)]]&amp;");"</f>
        <v>#N/A</v>
      </c>
    </row>
    <row r="756" spans="1:14" x14ac:dyDescent="0.25">
      <c r="A756" t="s">
        <v>1032</v>
      </c>
      <c r="B756" t="s">
        <v>63</v>
      </c>
      <c r="C756" t="s">
        <v>1074</v>
      </c>
      <c r="D756" t="s">
        <v>51</v>
      </c>
      <c r="E756" s="8" t="s">
        <v>261</v>
      </c>
      <c r="F756">
        <v>1</v>
      </c>
      <c r="G756" t="s">
        <v>396</v>
      </c>
      <c r="H756" t="str">
        <f>VLOOKUP(Tabla3[[#This Row],[DESCRIPCION MATERIAL]],'CODIGO MAT'!$C$2:$D$390,2,FALSE)</f>
        <v>AVI0000002</v>
      </c>
      <c r="J756">
        <v>1</v>
      </c>
      <c r="K756">
        <v>0</v>
      </c>
      <c r="L756" t="e">
        <v>#N/A</v>
      </c>
      <c r="M756" t="s">
        <v>992</v>
      </c>
      <c r="N756" t="e">
        <f>M756&amp;Tabla3[[#This Row],[CODIGO PRODUCTO TERMINADO]]&amp;"','"&amp;L756&amp;"',"&amp;Tabla3[[#This Row],[CANTIDAD MATERIAL (M)]]&amp;");"</f>
        <v>#N/A</v>
      </c>
    </row>
    <row r="757" spans="1:14" x14ac:dyDescent="0.25">
      <c r="A757" t="s">
        <v>1032</v>
      </c>
      <c r="B757" t="s">
        <v>63</v>
      </c>
      <c r="C757" t="s">
        <v>1074</v>
      </c>
      <c r="D757" t="s">
        <v>51</v>
      </c>
      <c r="E757" s="8" t="s">
        <v>35</v>
      </c>
      <c r="F757">
        <v>0.84</v>
      </c>
      <c r="G757" t="s">
        <v>78</v>
      </c>
      <c r="H757" t="str">
        <f>VLOOKUP(Tabla3[[#This Row],[DESCRIPCION MATERIAL]],'CODIGO MAT'!$C$2:$D$390,2,FALSE)</f>
        <v>AVI0000031</v>
      </c>
      <c r="J757">
        <v>1</v>
      </c>
      <c r="K757">
        <v>0.24</v>
      </c>
      <c r="L757" t="e">
        <v>#N/A</v>
      </c>
      <c r="M757" t="s">
        <v>992</v>
      </c>
      <c r="N757" t="e">
        <f>M757&amp;Tabla3[[#This Row],[CODIGO PRODUCTO TERMINADO]]&amp;"','"&amp;L757&amp;"',"&amp;Tabla3[[#This Row],[CANTIDAD MATERIAL (M)]]&amp;");"</f>
        <v>#N/A</v>
      </c>
    </row>
    <row r="758" spans="1:14" x14ac:dyDescent="0.25">
      <c r="A758" t="s">
        <v>1032</v>
      </c>
      <c r="B758" t="s">
        <v>63</v>
      </c>
      <c r="C758" t="s">
        <v>1074</v>
      </c>
      <c r="D758" t="s">
        <v>51</v>
      </c>
      <c r="E758" s="8" t="s">
        <v>996</v>
      </c>
      <c r="F758">
        <v>0.5</v>
      </c>
      <c r="G758" t="s">
        <v>78</v>
      </c>
      <c r="H758" t="str">
        <f>VLOOKUP(Tabla3[[#This Row],[DESCRIPCION MATERIAL]],'CODIGO MAT'!$C$2:$D$390,2,FALSE)</f>
        <v>AVI0000148</v>
      </c>
      <c r="J758">
        <v>1</v>
      </c>
      <c r="K758">
        <v>0</v>
      </c>
      <c r="L758" t="e">
        <v>#N/A</v>
      </c>
      <c r="M758" t="s">
        <v>992</v>
      </c>
      <c r="N758" t="e">
        <f>M758&amp;Tabla3[[#This Row],[CODIGO PRODUCTO TERMINADO]]&amp;"','"&amp;L758&amp;"',"&amp;Tabla3[[#This Row],[CANTIDAD MATERIAL (M)]]&amp;");"</f>
        <v>#N/A</v>
      </c>
    </row>
    <row r="759" spans="1:14" x14ac:dyDescent="0.25">
      <c r="A759" t="s">
        <v>1032</v>
      </c>
      <c r="B759" t="s">
        <v>63</v>
      </c>
      <c r="C759" t="s">
        <v>1074</v>
      </c>
      <c r="D759" t="s">
        <v>51</v>
      </c>
      <c r="E759" s="8" t="s">
        <v>398</v>
      </c>
      <c r="F759">
        <v>9</v>
      </c>
      <c r="G759" t="s">
        <v>396</v>
      </c>
      <c r="H759" t="str">
        <f>VLOOKUP(Tabla3[[#This Row],[DESCRIPCION MATERIAL]],'CODIGO MAT'!$C$2:$D$390,2,FALSE)</f>
        <v>AVI0000132</v>
      </c>
      <c r="L759" t="e">
        <v>#N/A</v>
      </c>
      <c r="M759" t="s">
        <v>992</v>
      </c>
      <c r="N759" t="e">
        <f>M759&amp;Tabla3[[#This Row],[CODIGO PRODUCTO TERMINADO]]&amp;"','"&amp;L759&amp;"',"&amp;Tabla3[[#This Row],[CANTIDAD MATERIAL (M)]]&amp;");"</f>
        <v>#N/A</v>
      </c>
    </row>
    <row r="760" spans="1:14" x14ac:dyDescent="0.25">
      <c r="A760" t="s">
        <v>1032</v>
      </c>
      <c r="B760" t="s">
        <v>63</v>
      </c>
      <c r="C760" t="s">
        <v>1074</v>
      </c>
      <c r="D760" t="s">
        <v>51</v>
      </c>
      <c r="E760" s="8" t="s">
        <v>36</v>
      </c>
      <c r="F760">
        <v>2</v>
      </c>
      <c r="G760" t="s">
        <v>396</v>
      </c>
      <c r="H760" t="str">
        <f>VLOOKUP(Tabla3[[#This Row],[DESCRIPCION MATERIAL]],'CODIGO MAT'!$C$2:$D$390,2,FALSE)</f>
        <v>AVI0000135</v>
      </c>
      <c r="L760" t="e">
        <v>#N/A</v>
      </c>
      <c r="M760" t="s">
        <v>992</v>
      </c>
      <c r="N760" t="e">
        <f>M760&amp;Tabla3[[#This Row],[CODIGO PRODUCTO TERMINADO]]&amp;"','"&amp;L760&amp;"',"&amp;Tabla3[[#This Row],[CANTIDAD MATERIAL (M)]]&amp;");"</f>
        <v>#N/A</v>
      </c>
    </row>
    <row r="761" spans="1:14" x14ac:dyDescent="0.25">
      <c r="A761" t="s">
        <v>1032</v>
      </c>
      <c r="B761" t="s">
        <v>63</v>
      </c>
      <c r="C761" t="s">
        <v>1074</v>
      </c>
      <c r="D761" t="s">
        <v>51</v>
      </c>
      <c r="E761" s="8" t="s">
        <v>1126</v>
      </c>
      <c r="F761">
        <v>2E-3</v>
      </c>
      <c r="G761" t="s">
        <v>396</v>
      </c>
      <c r="H761" t="str">
        <f>VLOOKUP(Tabla3[[#This Row],[DESCRIPCION MATERIAL]],'CODIGO MAT'!$C$2:$D$390,2,FALSE)</f>
        <v>AVI0000151</v>
      </c>
      <c r="L761" t="e">
        <v>#N/A</v>
      </c>
      <c r="M761" t="s">
        <v>992</v>
      </c>
      <c r="N761" t="e">
        <f>M761&amp;Tabla3[[#This Row],[CODIGO PRODUCTO TERMINADO]]&amp;"','"&amp;L761&amp;"',"&amp;Tabla3[[#This Row],[CANTIDAD MATERIAL (M)]]&amp;");"</f>
        <v>#N/A</v>
      </c>
    </row>
    <row r="762" spans="1:14" x14ac:dyDescent="0.25">
      <c r="A762" t="s">
        <v>1033</v>
      </c>
      <c r="B762" t="s">
        <v>63</v>
      </c>
      <c r="C762" t="s">
        <v>1075</v>
      </c>
      <c r="D762" t="s">
        <v>50</v>
      </c>
      <c r="E762" s="8" t="s">
        <v>32</v>
      </c>
      <c r="F762">
        <v>0</v>
      </c>
      <c r="G762" t="s">
        <v>78</v>
      </c>
      <c r="H762" t="str">
        <f>VLOOKUP(Tabla3[[#This Row],[DESCRIPCION MATERIAL]],'CODIGO MAT'!$C$2:$D$390,2,FALSE)</f>
        <v>TEL0000041</v>
      </c>
      <c r="L762" t="e">
        <v>#N/A</v>
      </c>
      <c r="M762" t="s">
        <v>992</v>
      </c>
      <c r="N762" t="e">
        <f>M762&amp;Tabla3[[#This Row],[CODIGO PRODUCTO TERMINADO]]&amp;"','"&amp;L762&amp;"',"&amp;Tabla3[[#This Row],[CANTIDAD MATERIAL (M)]]&amp;");"</f>
        <v>#N/A</v>
      </c>
    </row>
    <row r="763" spans="1:14" x14ac:dyDescent="0.25">
      <c r="A763" t="s">
        <v>1033</v>
      </c>
      <c r="B763" t="s">
        <v>63</v>
      </c>
      <c r="C763" t="s">
        <v>1075</v>
      </c>
      <c r="D763" t="s">
        <v>50</v>
      </c>
      <c r="E763" s="8" t="s">
        <v>141</v>
      </c>
      <c r="F763">
        <v>9.1999999999999998E-2</v>
      </c>
      <c r="G763" t="s">
        <v>78</v>
      </c>
      <c r="H763" t="str">
        <f>VLOOKUP(Tabla3[[#This Row],[DESCRIPCION MATERIAL]],'CODIGO MAT'!$C$2:$D$390,2,FALSE)</f>
        <v>TEL0000068</v>
      </c>
      <c r="J763">
        <v>1</v>
      </c>
      <c r="K763">
        <v>0</v>
      </c>
      <c r="L763" t="e">
        <v>#N/A</v>
      </c>
      <c r="M763" t="s">
        <v>992</v>
      </c>
      <c r="N763" t="e">
        <f>M763&amp;Tabla3[[#This Row],[CODIGO PRODUCTO TERMINADO]]&amp;"','"&amp;L763&amp;"',"&amp;Tabla3[[#This Row],[CANTIDAD MATERIAL (M)]]&amp;");"</f>
        <v>#N/A</v>
      </c>
    </row>
    <row r="764" spans="1:14" x14ac:dyDescent="0.25">
      <c r="A764" t="s">
        <v>1033</v>
      </c>
      <c r="B764" t="s">
        <v>63</v>
      </c>
      <c r="C764" t="s">
        <v>1075</v>
      </c>
      <c r="D764" t="s">
        <v>50</v>
      </c>
      <c r="E764" s="8" t="s">
        <v>118</v>
      </c>
      <c r="F764">
        <v>6.8699999999999997E-2</v>
      </c>
      <c r="G764" t="s">
        <v>78</v>
      </c>
      <c r="H764" t="str">
        <f>VLOOKUP(Tabla3[[#This Row],[DESCRIPCION MATERIAL]],'CODIGO MAT'!$C$2:$D$390,2,FALSE)</f>
        <v>TEL0000045</v>
      </c>
      <c r="J764">
        <v>1</v>
      </c>
      <c r="K764">
        <v>0</v>
      </c>
      <c r="L764" t="e">
        <v>#N/A</v>
      </c>
      <c r="M764" t="s">
        <v>992</v>
      </c>
      <c r="N764" t="e">
        <f>M764&amp;Tabla3[[#This Row],[CODIGO PRODUCTO TERMINADO]]&amp;"','"&amp;L764&amp;"',"&amp;Tabla3[[#This Row],[CANTIDAD MATERIAL (M)]]&amp;");"</f>
        <v>#N/A</v>
      </c>
    </row>
    <row r="765" spans="1:14" x14ac:dyDescent="0.25">
      <c r="A765" t="s">
        <v>1033</v>
      </c>
      <c r="B765" t="s">
        <v>63</v>
      </c>
      <c r="C765" t="s">
        <v>1075</v>
      </c>
      <c r="D765" t="s">
        <v>51</v>
      </c>
      <c r="E765" s="8" t="s">
        <v>308</v>
      </c>
      <c r="F765">
        <v>1.8700000000000001E-2</v>
      </c>
      <c r="G765" t="s">
        <v>78</v>
      </c>
      <c r="H765" t="str">
        <f>VLOOKUP(Tabla3[[#This Row],[DESCRIPCION MATERIAL]],'CODIGO MAT'!$C$2:$D$390,2,FALSE)</f>
        <v>AVI0000053</v>
      </c>
      <c r="J765">
        <v>1</v>
      </c>
      <c r="K765">
        <v>0</v>
      </c>
      <c r="L765" t="e">
        <v>#N/A</v>
      </c>
      <c r="M765" t="s">
        <v>992</v>
      </c>
      <c r="N765" t="e">
        <f>M765&amp;Tabla3[[#This Row],[CODIGO PRODUCTO TERMINADO]]&amp;"','"&amp;L765&amp;"',"&amp;Tabla3[[#This Row],[CANTIDAD MATERIAL (M)]]&amp;");"</f>
        <v>#N/A</v>
      </c>
    </row>
    <row r="766" spans="1:14" x14ac:dyDescent="0.25">
      <c r="A766" t="s">
        <v>1033</v>
      </c>
      <c r="B766" t="s">
        <v>63</v>
      </c>
      <c r="C766" t="s">
        <v>1075</v>
      </c>
      <c r="D766" t="s">
        <v>51</v>
      </c>
      <c r="E766" s="8" t="s">
        <v>261</v>
      </c>
      <c r="F766">
        <v>1</v>
      </c>
      <c r="G766" t="s">
        <v>396</v>
      </c>
      <c r="H766" t="str">
        <f>VLOOKUP(Tabla3[[#This Row],[DESCRIPCION MATERIAL]],'CODIGO MAT'!$C$2:$D$390,2,FALSE)</f>
        <v>AVI0000002</v>
      </c>
      <c r="J766">
        <v>1</v>
      </c>
      <c r="K766">
        <v>0</v>
      </c>
      <c r="L766" t="e">
        <v>#N/A</v>
      </c>
      <c r="M766" t="s">
        <v>992</v>
      </c>
      <c r="N766" t="e">
        <f>M766&amp;Tabla3[[#This Row],[CODIGO PRODUCTO TERMINADO]]&amp;"','"&amp;L766&amp;"',"&amp;Tabla3[[#This Row],[CANTIDAD MATERIAL (M)]]&amp;");"</f>
        <v>#N/A</v>
      </c>
    </row>
    <row r="767" spans="1:14" x14ac:dyDescent="0.25">
      <c r="A767" t="s">
        <v>1033</v>
      </c>
      <c r="B767" t="s">
        <v>63</v>
      </c>
      <c r="C767" t="s">
        <v>1075</v>
      </c>
      <c r="D767" t="s">
        <v>51</v>
      </c>
      <c r="E767" s="8" t="s">
        <v>35</v>
      </c>
      <c r="F767">
        <v>0.84</v>
      </c>
      <c r="G767" t="s">
        <v>78</v>
      </c>
      <c r="H767" t="str">
        <f>VLOOKUP(Tabla3[[#This Row],[DESCRIPCION MATERIAL]],'CODIGO MAT'!$C$2:$D$390,2,FALSE)</f>
        <v>AVI0000031</v>
      </c>
      <c r="J767">
        <v>1</v>
      </c>
      <c r="K767">
        <v>0</v>
      </c>
      <c r="L767" t="e">
        <v>#N/A</v>
      </c>
      <c r="M767" t="s">
        <v>992</v>
      </c>
      <c r="N767" t="e">
        <f>M767&amp;Tabla3[[#This Row],[CODIGO PRODUCTO TERMINADO]]&amp;"','"&amp;L767&amp;"',"&amp;Tabla3[[#This Row],[CANTIDAD MATERIAL (M)]]&amp;");"</f>
        <v>#N/A</v>
      </c>
    </row>
    <row r="768" spans="1:14" x14ac:dyDescent="0.25">
      <c r="A768" t="s">
        <v>1033</v>
      </c>
      <c r="B768" t="s">
        <v>63</v>
      </c>
      <c r="C768" t="s">
        <v>1075</v>
      </c>
      <c r="D768" t="s">
        <v>51</v>
      </c>
      <c r="E768" s="8" t="s">
        <v>996</v>
      </c>
      <c r="F768">
        <v>0.5</v>
      </c>
      <c r="G768" t="s">
        <v>78</v>
      </c>
      <c r="H768" t="str">
        <f>VLOOKUP(Tabla3[[#This Row],[DESCRIPCION MATERIAL]],'CODIGO MAT'!$C$2:$D$390,2,FALSE)</f>
        <v>AVI0000148</v>
      </c>
      <c r="J768">
        <v>1</v>
      </c>
      <c r="K768">
        <v>0.24</v>
      </c>
      <c r="L768" t="e">
        <v>#N/A</v>
      </c>
      <c r="M768" t="s">
        <v>992</v>
      </c>
      <c r="N768" t="e">
        <f>M768&amp;Tabla3[[#This Row],[CODIGO PRODUCTO TERMINADO]]&amp;"','"&amp;L768&amp;"',"&amp;Tabla3[[#This Row],[CANTIDAD MATERIAL (M)]]&amp;");"</f>
        <v>#N/A</v>
      </c>
    </row>
    <row r="769" spans="1:14" x14ac:dyDescent="0.25">
      <c r="A769" t="s">
        <v>1033</v>
      </c>
      <c r="B769" t="s">
        <v>63</v>
      </c>
      <c r="C769" t="s">
        <v>1075</v>
      </c>
      <c r="D769" t="s">
        <v>51</v>
      </c>
      <c r="E769" s="8" t="s">
        <v>398</v>
      </c>
      <c r="F769">
        <v>11</v>
      </c>
      <c r="G769" t="s">
        <v>396</v>
      </c>
      <c r="H769" t="str">
        <f>VLOOKUP(Tabla3[[#This Row],[DESCRIPCION MATERIAL]],'CODIGO MAT'!$C$2:$D$390,2,FALSE)</f>
        <v>AVI0000132</v>
      </c>
      <c r="J769">
        <v>1</v>
      </c>
      <c r="K769">
        <v>0</v>
      </c>
      <c r="L769" t="e">
        <v>#N/A</v>
      </c>
      <c r="M769" t="s">
        <v>992</v>
      </c>
      <c r="N769" t="e">
        <f>M769&amp;Tabla3[[#This Row],[CODIGO PRODUCTO TERMINADO]]&amp;"','"&amp;L769&amp;"',"&amp;Tabla3[[#This Row],[CANTIDAD MATERIAL (M)]]&amp;");"</f>
        <v>#N/A</v>
      </c>
    </row>
    <row r="770" spans="1:14" x14ac:dyDescent="0.25">
      <c r="A770" t="s">
        <v>1033</v>
      </c>
      <c r="B770" t="s">
        <v>63</v>
      </c>
      <c r="C770" t="s">
        <v>1075</v>
      </c>
      <c r="D770" t="s">
        <v>51</v>
      </c>
      <c r="E770" s="8" t="s">
        <v>36</v>
      </c>
      <c r="F770">
        <v>2</v>
      </c>
      <c r="G770" t="s">
        <v>396</v>
      </c>
      <c r="H770" t="str">
        <f>VLOOKUP(Tabla3[[#This Row],[DESCRIPCION MATERIAL]],'CODIGO MAT'!$C$2:$D$390,2,FALSE)</f>
        <v>AVI0000135</v>
      </c>
      <c r="L770" t="e">
        <v>#N/A</v>
      </c>
      <c r="M770" t="s">
        <v>992</v>
      </c>
      <c r="N770" t="e">
        <f>M770&amp;Tabla3[[#This Row],[CODIGO PRODUCTO TERMINADO]]&amp;"','"&amp;L770&amp;"',"&amp;Tabla3[[#This Row],[CANTIDAD MATERIAL (M)]]&amp;");"</f>
        <v>#N/A</v>
      </c>
    </row>
    <row r="771" spans="1:14" x14ac:dyDescent="0.25">
      <c r="A771" t="s">
        <v>1033</v>
      </c>
      <c r="B771" t="s">
        <v>63</v>
      </c>
      <c r="C771" t="s">
        <v>1075</v>
      </c>
      <c r="D771" t="s">
        <v>51</v>
      </c>
      <c r="E771" s="8" t="s">
        <v>1126</v>
      </c>
      <c r="F771">
        <v>2E-3</v>
      </c>
      <c r="G771" t="s">
        <v>396</v>
      </c>
      <c r="H771" t="str">
        <f>VLOOKUP(Tabla3[[#This Row],[DESCRIPCION MATERIAL]],'CODIGO MAT'!$C$2:$D$390,2,FALSE)</f>
        <v>AVI0000151</v>
      </c>
      <c r="L771" t="e">
        <v>#N/A</v>
      </c>
      <c r="M771" t="s">
        <v>992</v>
      </c>
      <c r="N771" t="e">
        <f>M771&amp;Tabla3[[#This Row],[CODIGO PRODUCTO TERMINADO]]&amp;"','"&amp;L771&amp;"',"&amp;Tabla3[[#This Row],[CANTIDAD MATERIAL (M)]]&amp;");"</f>
        <v>#N/A</v>
      </c>
    </row>
    <row r="772" spans="1:14" x14ac:dyDescent="0.25">
      <c r="A772" t="s">
        <v>1085</v>
      </c>
      <c r="B772" t="s">
        <v>63</v>
      </c>
      <c r="C772" t="s">
        <v>1076</v>
      </c>
      <c r="D772" t="s">
        <v>50</v>
      </c>
      <c r="E772" s="8" t="s">
        <v>12</v>
      </c>
      <c r="F772">
        <v>0.6784</v>
      </c>
      <c r="G772" t="s">
        <v>78</v>
      </c>
      <c r="H772" t="str">
        <f>VLOOKUP(Tabla3[[#This Row],[DESCRIPCION MATERIAL]],'CODIGO MAT'!$C$2:$D$390,2,FALSE)</f>
        <v>TEL0000040</v>
      </c>
      <c r="J772">
        <v>1</v>
      </c>
      <c r="K772">
        <v>0</v>
      </c>
      <c r="L772" t="e">
        <v>#N/A</v>
      </c>
      <c r="M772" t="s">
        <v>992</v>
      </c>
      <c r="N772" t="e">
        <f>M772&amp;Tabla3[[#This Row],[CODIGO PRODUCTO TERMINADO]]&amp;"','"&amp;L772&amp;"',"&amp;Tabla3[[#This Row],[CANTIDAD MATERIAL (M)]]&amp;");"</f>
        <v>#N/A</v>
      </c>
    </row>
    <row r="773" spans="1:14" x14ac:dyDescent="0.25">
      <c r="A773" t="s">
        <v>1085</v>
      </c>
      <c r="B773" t="s">
        <v>63</v>
      </c>
      <c r="C773" t="s">
        <v>1076</v>
      </c>
      <c r="D773" t="s">
        <v>50</v>
      </c>
      <c r="E773" s="8" t="s">
        <v>140</v>
      </c>
      <c r="F773">
        <v>8.5000000000000006E-2</v>
      </c>
      <c r="G773" t="s">
        <v>78</v>
      </c>
      <c r="H773" t="str">
        <f>VLOOKUP(Tabla3[[#This Row],[DESCRIPCION MATERIAL]],'CODIGO MAT'!$C$2:$D$390,2,FALSE)</f>
        <v>TEL0000067</v>
      </c>
      <c r="J773">
        <v>1</v>
      </c>
      <c r="K773">
        <v>0</v>
      </c>
      <c r="L773" t="e">
        <v>#N/A</v>
      </c>
      <c r="M773" t="s">
        <v>992</v>
      </c>
      <c r="N773" t="e">
        <f>M773&amp;Tabla3[[#This Row],[CODIGO PRODUCTO TERMINADO]]&amp;"','"&amp;L773&amp;"',"&amp;Tabla3[[#This Row],[CANTIDAD MATERIAL (M)]]&amp;");"</f>
        <v>#N/A</v>
      </c>
    </row>
    <row r="774" spans="1:14" x14ac:dyDescent="0.25">
      <c r="A774" t="s">
        <v>1085</v>
      </c>
      <c r="B774" t="s">
        <v>63</v>
      </c>
      <c r="C774" t="s">
        <v>1076</v>
      </c>
      <c r="D774" t="s">
        <v>50</v>
      </c>
      <c r="E774" s="8" t="s">
        <v>118</v>
      </c>
      <c r="F774">
        <v>6.8699999999999997E-2</v>
      </c>
      <c r="G774" t="s">
        <v>78</v>
      </c>
      <c r="H774" t="str">
        <f>VLOOKUP(Tabla3[[#This Row],[DESCRIPCION MATERIAL]],'CODIGO MAT'!$C$2:$D$390,2,FALSE)</f>
        <v>TEL0000045</v>
      </c>
      <c r="J774">
        <v>1</v>
      </c>
      <c r="K774">
        <v>0</v>
      </c>
      <c r="L774" t="e">
        <v>#N/A</v>
      </c>
      <c r="M774" t="s">
        <v>992</v>
      </c>
      <c r="N774" t="e">
        <f>M774&amp;Tabla3[[#This Row],[CODIGO PRODUCTO TERMINADO]]&amp;"','"&amp;L774&amp;"',"&amp;Tabla3[[#This Row],[CANTIDAD MATERIAL (M)]]&amp;");"</f>
        <v>#N/A</v>
      </c>
    </row>
    <row r="775" spans="1:14" x14ac:dyDescent="0.25">
      <c r="A775" t="s">
        <v>1085</v>
      </c>
      <c r="B775" t="s">
        <v>63</v>
      </c>
      <c r="C775" t="s">
        <v>1076</v>
      </c>
      <c r="D775" t="s">
        <v>51</v>
      </c>
      <c r="E775" s="8" t="s">
        <v>308</v>
      </c>
      <c r="F775">
        <v>1.8700000000000001E-2</v>
      </c>
      <c r="G775" t="s">
        <v>78</v>
      </c>
      <c r="H775" t="str">
        <f>VLOOKUP(Tabla3[[#This Row],[DESCRIPCION MATERIAL]],'CODIGO MAT'!$C$2:$D$390,2,FALSE)</f>
        <v>AVI0000053</v>
      </c>
      <c r="J775">
        <v>1</v>
      </c>
      <c r="K775">
        <v>0</v>
      </c>
      <c r="L775" t="e">
        <v>#N/A</v>
      </c>
      <c r="M775" t="s">
        <v>992</v>
      </c>
      <c r="N775" t="e">
        <f>M775&amp;Tabla3[[#This Row],[CODIGO PRODUCTO TERMINADO]]&amp;"','"&amp;L775&amp;"',"&amp;Tabla3[[#This Row],[CANTIDAD MATERIAL (M)]]&amp;");"</f>
        <v>#N/A</v>
      </c>
    </row>
    <row r="776" spans="1:14" x14ac:dyDescent="0.25">
      <c r="A776" t="s">
        <v>1085</v>
      </c>
      <c r="B776" t="s">
        <v>63</v>
      </c>
      <c r="C776" t="s">
        <v>1076</v>
      </c>
      <c r="D776" t="s">
        <v>51</v>
      </c>
      <c r="E776" s="8" t="s">
        <v>261</v>
      </c>
      <c r="F776">
        <v>1</v>
      </c>
      <c r="G776" t="s">
        <v>396</v>
      </c>
      <c r="H776" t="str">
        <f>VLOOKUP(Tabla3[[#This Row],[DESCRIPCION MATERIAL]],'CODIGO MAT'!$C$2:$D$390,2,FALSE)</f>
        <v>AVI0000002</v>
      </c>
      <c r="J776">
        <v>1</v>
      </c>
      <c r="K776">
        <v>0</v>
      </c>
      <c r="L776" t="e">
        <v>#N/A</v>
      </c>
      <c r="M776" t="s">
        <v>992</v>
      </c>
      <c r="N776" t="e">
        <f>M776&amp;Tabla3[[#This Row],[CODIGO PRODUCTO TERMINADO]]&amp;"','"&amp;L776&amp;"',"&amp;Tabla3[[#This Row],[CANTIDAD MATERIAL (M)]]&amp;");"</f>
        <v>#N/A</v>
      </c>
    </row>
    <row r="777" spans="1:14" x14ac:dyDescent="0.25">
      <c r="A777" t="s">
        <v>1085</v>
      </c>
      <c r="B777" t="s">
        <v>63</v>
      </c>
      <c r="C777" t="s">
        <v>1076</v>
      </c>
      <c r="D777" t="s">
        <v>51</v>
      </c>
      <c r="E777" s="8" t="s">
        <v>35</v>
      </c>
      <c r="F777">
        <v>0.82</v>
      </c>
      <c r="G777" t="s">
        <v>78</v>
      </c>
      <c r="H777" t="str">
        <f>VLOOKUP(Tabla3[[#This Row],[DESCRIPCION MATERIAL]],'CODIGO MAT'!$C$2:$D$390,2,FALSE)</f>
        <v>AVI0000031</v>
      </c>
      <c r="J777">
        <v>1</v>
      </c>
      <c r="K777">
        <v>0.24</v>
      </c>
      <c r="L777" t="e">
        <v>#N/A</v>
      </c>
      <c r="M777" t="s">
        <v>992</v>
      </c>
      <c r="N777" t="e">
        <f>M777&amp;Tabla3[[#This Row],[CODIGO PRODUCTO TERMINADO]]&amp;"','"&amp;L777&amp;"',"&amp;Tabla3[[#This Row],[CANTIDAD MATERIAL (M)]]&amp;");"</f>
        <v>#N/A</v>
      </c>
    </row>
    <row r="778" spans="1:14" x14ac:dyDescent="0.25">
      <c r="A778" t="s">
        <v>1085</v>
      </c>
      <c r="B778" t="s">
        <v>63</v>
      </c>
      <c r="C778" t="s">
        <v>1076</v>
      </c>
      <c r="D778" t="s">
        <v>51</v>
      </c>
      <c r="E778" s="8" t="s">
        <v>996</v>
      </c>
      <c r="F778">
        <v>0.5</v>
      </c>
      <c r="G778" t="s">
        <v>78</v>
      </c>
      <c r="H778" t="str">
        <f>VLOOKUP(Tabla3[[#This Row],[DESCRIPCION MATERIAL]],'CODIGO MAT'!$C$2:$D$390,2,FALSE)</f>
        <v>AVI0000148</v>
      </c>
      <c r="J778">
        <v>1</v>
      </c>
      <c r="K778">
        <v>0</v>
      </c>
      <c r="L778" t="e">
        <v>#N/A</v>
      </c>
      <c r="M778" t="s">
        <v>992</v>
      </c>
      <c r="N778" t="e">
        <f>M778&amp;Tabla3[[#This Row],[CODIGO PRODUCTO TERMINADO]]&amp;"','"&amp;L778&amp;"',"&amp;Tabla3[[#This Row],[CANTIDAD MATERIAL (M)]]&amp;");"</f>
        <v>#N/A</v>
      </c>
    </row>
    <row r="779" spans="1:14" x14ac:dyDescent="0.25">
      <c r="A779" t="s">
        <v>1085</v>
      </c>
      <c r="B779" t="s">
        <v>63</v>
      </c>
      <c r="C779" t="s">
        <v>1076</v>
      </c>
      <c r="D779" t="s">
        <v>51</v>
      </c>
      <c r="E779" s="8" t="s">
        <v>398</v>
      </c>
      <c r="F779">
        <v>9</v>
      </c>
      <c r="G779" t="s">
        <v>396</v>
      </c>
      <c r="H779" t="str">
        <f>VLOOKUP(Tabla3[[#This Row],[DESCRIPCION MATERIAL]],'CODIGO MAT'!$C$2:$D$390,2,FALSE)</f>
        <v>AVI0000132</v>
      </c>
      <c r="L779" t="e">
        <v>#N/A</v>
      </c>
      <c r="M779" t="s">
        <v>992</v>
      </c>
      <c r="N779" t="e">
        <f>M779&amp;Tabla3[[#This Row],[CODIGO PRODUCTO TERMINADO]]&amp;"','"&amp;L779&amp;"',"&amp;Tabla3[[#This Row],[CANTIDAD MATERIAL (M)]]&amp;");"</f>
        <v>#N/A</v>
      </c>
    </row>
    <row r="780" spans="1:14" x14ac:dyDescent="0.25">
      <c r="A780" t="s">
        <v>1085</v>
      </c>
      <c r="B780" t="s">
        <v>63</v>
      </c>
      <c r="C780" t="s">
        <v>1076</v>
      </c>
      <c r="D780" t="s">
        <v>51</v>
      </c>
      <c r="E780" s="8" t="s">
        <v>36</v>
      </c>
      <c r="F780">
        <v>2</v>
      </c>
      <c r="G780" t="s">
        <v>396</v>
      </c>
      <c r="H780" t="str">
        <f>VLOOKUP(Tabla3[[#This Row],[DESCRIPCION MATERIAL]],'CODIGO MAT'!$C$2:$D$390,2,FALSE)</f>
        <v>AVI0000135</v>
      </c>
      <c r="L780" t="e">
        <v>#N/A</v>
      </c>
      <c r="M780" t="s">
        <v>992</v>
      </c>
      <c r="N780" t="e">
        <f>M780&amp;Tabla3[[#This Row],[CODIGO PRODUCTO TERMINADO]]&amp;"','"&amp;L780&amp;"',"&amp;Tabla3[[#This Row],[CANTIDAD MATERIAL (M)]]&amp;");"</f>
        <v>#N/A</v>
      </c>
    </row>
    <row r="781" spans="1:14" x14ac:dyDescent="0.25">
      <c r="A781" t="s">
        <v>1085</v>
      </c>
      <c r="B781" t="s">
        <v>63</v>
      </c>
      <c r="C781" t="s">
        <v>1076</v>
      </c>
      <c r="D781" t="s">
        <v>51</v>
      </c>
      <c r="E781" s="8" t="s">
        <v>1126</v>
      </c>
      <c r="F781">
        <v>2E-3</v>
      </c>
      <c r="G781" t="s">
        <v>396</v>
      </c>
      <c r="H781" t="str">
        <f>VLOOKUP(Tabla3[[#This Row],[DESCRIPCION MATERIAL]],'CODIGO MAT'!$C$2:$D$390,2,FALSE)</f>
        <v>AVI0000151</v>
      </c>
      <c r="L781" t="e">
        <v>#N/A</v>
      </c>
      <c r="M781" t="s">
        <v>992</v>
      </c>
      <c r="N781" t="e">
        <f>M781&amp;Tabla3[[#This Row],[CODIGO PRODUCTO TERMINADO]]&amp;"','"&amp;L781&amp;"',"&amp;Tabla3[[#This Row],[CANTIDAD MATERIAL (M)]]&amp;");"</f>
        <v>#N/A</v>
      </c>
    </row>
    <row r="782" spans="1:14" x14ac:dyDescent="0.25">
      <c r="A782" t="s">
        <v>1086</v>
      </c>
      <c r="B782" t="s">
        <v>63</v>
      </c>
      <c r="C782" t="s">
        <v>1077</v>
      </c>
      <c r="D782" t="s">
        <v>50</v>
      </c>
      <c r="E782" s="8" t="s">
        <v>12</v>
      </c>
      <c r="F782">
        <v>0.79749999999999999</v>
      </c>
      <c r="G782" t="s">
        <v>78</v>
      </c>
      <c r="H782" t="str">
        <f>VLOOKUP(Tabla3[[#This Row],[DESCRIPCION MATERIAL]],'CODIGO MAT'!$C$2:$D$390,2,FALSE)</f>
        <v>TEL0000040</v>
      </c>
      <c r="J782">
        <v>1</v>
      </c>
      <c r="K782">
        <v>0</v>
      </c>
      <c r="L782" t="e">
        <v>#N/A</v>
      </c>
      <c r="M782" t="s">
        <v>992</v>
      </c>
      <c r="N782" t="e">
        <f>M782&amp;Tabla3[[#This Row],[CODIGO PRODUCTO TERMINADO]]&amp;"','"&amp;L782&amp;"',"&amp;Tabla3[[#This Row],[CANTIDAD MATERIAL (M)]]&amp;");"</f>
        <v>#N/A</v>
      </c>
    </row>
    <row r="783" spans="1:14" x14ac:dyDescent="0.25">
      <c r="A783" t="s">
        <v>1086</v>
      </c>
      <c r="B783" t="s">
        <v>63</v>
      </c>
      <c r="C783" t="s">
        <v>1077</v>
      </c>
      <c r="D783" t="s">
        <v>50</v>
      </c>
      <c r="E783" s="8" t="s">
        <v>140</v>
      </c>
      <c r="F783">
        <v>8.5000000000000006E-2</v>
      </c>
      <c r="G783" t="s">
        <v>78</v>
      </c>
      <c r="H783" t="str">
        <f>VLOOKUP(Tabla3[[#This Row],[DESCRIPCION MATERIAL]],'CODIGO MAT'!$C$2:$D$390,2,FALSE)</f>
        <v>TEL0000067</v>
      </c>
      <c r="J783">
        <v>1</v>
      </c>
      <c r="K783">
        <v>0</v>
      </c>
      <c r="L783" t="e">
        <v>#N/A</v>
      </c>
      <c r="M783" t="s">
        <v>992</v>
      </c>
      <c r="N783" t="e">
        <f>M783&amp;Tabla3[[#This Row],[CODIGO PRODUCTO TERMINADO]]&amp;"','"&amp;L783&amp;"',"&amp;Tabla3[[#This Row],[CANTIDAD MATERIAL (M)]]&amp;");"</f>
        <v>#N/A</v>
      </c>
    </row>
    <row r="784" spans="1:14" x14ac:dyDescent="0.25">
      <c r="A784" t="s">
        <v>1086</v>
      </c>
      <c r="B784" t="s">
        <v>63</v>
      </c>
      <c r="C784" t="s">
        <v>1077</v>
      </c>
      <c r="D784" t="s">
        <v>50</v>
      </c>
      <c r="E784" s="8" t="s">
        <v>118</v>
      </c>
      <c r="F784">
        <v>6.8699999999999997E-2</v>
      </c>
      <c r="G784" t="s">
        <v>78</v>
      </c>
      <c r="H784" t="str">
        <f>VLOOKUP(Tabla3[[#This Row],[DESCRIPCION MATERIAL]],'CODIGO MAT'!$C$2:$D$390,2,FALSE)</f>
        <v>TEL0000045</v>
      </c>
      <c r="J784">
        <v>1</v>
      </c>
      <c r="K784">
        <v>0</v>
      </c>
      <c r="L784" t="e">
        <v>#N/A</v>
      </c>
      <c r="M784" t="s">
        <v>992</v>
      </c>
      <c r="N784" t="e">
        <f>M784&amp;Tabla3[[#This Row],[CODIGO PRODUCTO TERMINADO]]&amp;"','"&amp;L784&amp;"',"&amp;Tabla3[[#This Row],[CANTIDAD MATERIAL (M)]]&amp;");"</f>
        <v>#N/A</v>
      </c>
    </row>
    <row r="785" spans="1:14" x14ac:dyDescent="0.25">
      <c r="A785" t="s">
        <v>1086</v>
      </c>
      <c r="B785" t="s">
        <v>63</v>
      </c>
      <c r="C785" t="s">
        <v>1077</v>
      </c>
      <c r="D785" t="s">
        <v>51</v>
      </c>
      <c r="E785" s="8" t="s">
        <v>308</v>
      </c>
      <c r="F785">
        <v>1.8700000000000001E-2</v>
      </c>
      <c r="G785" t="s">
        <v>78</v>
      </c>
      <c r="H785" t="str">
        <f>VLOOKUP(Tabla3[[#This Row],[DESCRIPCION MATERIAL]],'CODIGO MAT'!$C$2:$D$390,2,FALSE)</f>
        <v>AVI0000053</v>
      </c>
      <c r="J785">
        <v>1</v>
      </c>
      <c r="K785">
        <v>0</v>
      </c>
      <c r="L785" t="e">
        <v>#N/A</v>
      </c>
      <c r="M785" t="s">
        <v>992</v>
      </c>
      <c r="N785" t="e">
        <f>M785&amp;Tabla3[[#This Row],[CODIGO PRODUCTO TERMINADO]]&amp;"','"&amp;L785&amp;"',"&amp;Tabla3[[#This Row],[CANTIDAD MATERIAL (M)]]&amp;");"</f>
        <v>#N/A</v>
      </c>
    </row>
    <row r="786" spans="1:14" x14ac:dyDescent="0.25">
      <c r="A786" t="s">
        <v>1086</v>
      </c>
      <c r="B786" t="s">
        <v>63</v>
      </c>
      <c r="C786" t="s">
        <v>1077</v>
      </c>
      <c r="D786" t="s">
        <v>51</v>
      </c>
      <c r="E786" s="8" t="s">
        <v>261</v>
      </c>
      <c r="F786">
        <v>1</v>
      </c>
      <c r="G786" t="s">
        <v>396</v>
      </c>
      <c r="H786" t="str">
        <f>VLOOKUP(Tabla3[[#This Row],[DESCRIPCION MATERIAL]],'CODIGO MAT'!$C$2:$D$390,2,FALSE)</f>
        <v>AVI0000002</v>
      </c>
      <c r="J786">
        <v>1</v>
      </c>
      <c r="K786">
        <v>0</v>
      </c>
      <c r="L786" t="e">
        <v>#N/A</v>
      </c>
      <c r="M786" t="s">
        <v>992</v>
      </c>
      <c r="N786" t="e">
        <f>M786&amp;Tabla3[[#This Row],[CODIGO PRODUCTO TERMINADO]]&amp;"','"&amp;L786&amp;"',"&amp;Tabla3[[#This Row],[CANTIDAD MATERIAL (M)]]&amp;");"</f>
        <v>#N/A</v>
      </c>
    </row>
    <row r="787" spans="1:14" x14ac:dyDescent="0.25">
      <c r="A787" t="s">
        <v>1086</v>
      </c>
      <c r="B787" t="s">
        <v>63</v>
      </c>
      <c r="C787" t="s">
        <v>1077</v>
      </c>
      <c r="D787" t="s">
        <v>51</v>
      </c>
      <c r="E787" s="8" t="s">
        <v>35</v>
      </c>
      <c r="F787">
        <v>0.84</v>
      </c>
      <c r="G787" t="s">
        <v>78</v>
      </c>
      <c r="H787" t="str">
        <f>VLOOKUP(Tabla3[[#This Row],[DESCRIPCION MATERIAL]],'CODIGO MAT'!$C$2:$D$390,2,FALSE)</f>
        <v>AVI0000031</v>
      </c>
      <c r="J787">
        <v>1</v>
      </c>
      <c r="K787">
        <v>0.24</v>
      </c>
      <c r="L787" t="e">
        <v>#N/A</v>
      </c>
      <c r="M787" t="s">
        <v>992</v>
      </c>
      <c r="N787" t="e">
        <f>M787&amp;Tabla3[[#This Row],[CODIGO PRODUCTO TERMINADO]]&amp;"','"&amp;L787&amp;"',"&amp;Tabla3[[#This Row],[CANTIDAD MATERIAL (M)]]&amp;");"</f>
        <v>#N/A</v>
      </c>
    </row>
    <row r="788" spans="1:14" x14ac:dyDescent="0.25">
      <c r="A788" t="s">
        <v>1086</v>
      </c>
      <c r="B788" t="s">
        <v>63</v>
      </c>
      <c r="C788" t="s">
        <v>1077</v>
      </c>
      <c r="D788" t="s">
        <v>51</v>
      </c>
      <c r="E788" s="8" t="s">
        <v>996</v>
      </c>
      <c r="F788">
        <v>0.5</v>
      </c>
      <c r="G788" t="s">
        <v>78</v>
      </c>
      <c r="H788" t="str">
        <f>VLOOKUP(Tabla3[[#This Row],[DESCRIPCION MATERIAL]],'CODIGO MAT'!$C$2:$D$390,2,FALSE)</f>
        <v>AVI0000148</v>
      </c>
      <c r="J788">
        <v>1</v>
      </c>
      <c r="K788">
        <v>0</v>
      </c>
      <c r="L788" t="e">
        <v>#N/A</v>
      </c>
      <c r="M788" t="s">
        <v>992</v>
      </c>
      <c r="N788" t="e">
        <f>M788&amp;Tabla3[[#This Row],[CODIGO PRODUCTO TERMINADO]]&amp;"','"&amp;L788&amp;"',"&amp;Tabla3[[#This Row],[CANTIDAD MATERIAL (M)]]&amp;");"</f>
        <v>#N/A</v>
      </c>
    </row>
    <row r="789" spans="1:14" x14ac:dyDescent="0.25">
      <c r="A789" t="s">
        <v>1086</v>
      </c>
      <c r="B789" t="s">
        <v>63</v>
      </c>
      <c r="C789" t="s">
        <v>1077</v>
      </c>
      <c r="D789" t="s">
        <v>51</v>
      </c>
      <c r="E789" s="8" t="s">
        <v>398</v>
      </c>
      <c r="F789">
        <v>9</v>
      </c>
      <c r="G789" t="s">
        <v>396</v>
      </c>
      <c r="H789" t="str">
        <f>VLOOKUP(Tabla3[[#This Row],[DESCRIPCION MATERIAL]],'CODIGO MAT'!$C$2:$D$390,2,FALSE)</f>
        <v>AVI0000132</v>
      </c>
      <c r="L789" t="e">
        <v>#N/A</v>
      </c>
      <c r="M789" t="s">
        <v>992</v>
      </c>
      <c r="N789" t="e">
        <f>M789&amp;Tabla3[[#This Row],[CODIGO PRODUCTO TERMINADO]]&amp;"','"&amp;L789&amp;"',"&amp;Tabla3[[#This Row],[CANTIDAD MATERIAL (M)]]&amp;");"</f>
        <v>#N/A</v>
      </c>
    </row>
    <row r="790" spans="1:14" x14ac:dyDescent="0.25">
      <c r="A790" t="s">
        <v>1086</v>
      </c>
      <c r="B790" t="s">
        <v>63</v>
      </c>
      <c r="C790" t="s">
        <v>1077</v>
      </c>
      <c r="D790" t="s">
        <v>51</v>
      </c>
      <c r="E790" s="8" t="s">
        <v>36</v>
      </c>
      <c r="F790">
        <v>2</v>
      </c>
      <c r="G790" t="s">
        <v>396</v>
      </c>
      <c r="H790" t="str">
        <f>VLOOKUP(Tabla3[[#This Row],[DESCRIPCION MATERIAL]],'CODIGO MAT'!$C$2:$D$390,2,FALSE)</f>
        <v>AVI0000135</v>
      </c>
      <c r="L790" t="e">
        <v>#N/A</v>
      </c>
      <c r="M790" t="s">
        <v>992</v>
      </c>
      <c r="N790" t="e">
        <f>M790&amp;Tabla3[[#This Row],[CODIGO PRODUCTO TERMINADO]]&amp;"','"&amp;L790&amp;"',"&amp;Tabla3[[#This Row],[CANTIDAD MATERIAL (M)]]&amp;");"</f>
        <v>#N/A</v>
      </c>
    </row>
    <row r="791" spans="1:14" x14ac:dyDescent="0.25">
      <c r="A791" t="s">
        <v>1086</v>
      </c>
      <c r="B791" t="s">
        <v>63</v>
      </c>
      <c r="C791" t="s">
        <v>1077</v>
      </c>
      <c r="D791" t="s">
        <v>51</v>
      </c>
      <c r="E791" s="8" t="s">
        <v>1126</v>
      </c>
      <c r="F791">
        <v>2E-3</v>
      </c>
      <c r="G791" t="s">
        <v>396</v>
      </c>
      <c r="H791" t="str">
        <f>VLOOKUP(Tabla3[[#This Row],[DESCRIPCION MATERIAL]],'CODIGO MAT'!$C$2:$D$390,2,FALSE)</f>
        <v>AVI0000151</v>
      </c>
      <c r="L791" t="e">
        <v>#N/A</v>
      </c>
      <c r="M791" t="s">
        <v>992</v>
      </c>
      <c r="N791" t="e">
        <f>M791&amp;Tabla3[[#This Row],[CODIGO PRODUCTO TERMINADO]]&amp;"','"&amp;L791&amp;"',"&amp;Tabla3[[#This Row],[CANTIDAD MATERIAL (M)]]&amp;");"</f>
        <v>#N/A</v>
      </c>
    </row>
    <row r="792" spans="1:14" x14ac:dyDescent="0.25">
      <c r="A792" t="s">
        <v>1087</v>
      </c>
      <c r="B792" t="s">
        <v>63</v>
      </c>
      <c r="C792" t="s">
        <v>1078</v>
      </c>
      <c r="D792" t="s">
        <v>50</v>
      </c>
      <c r="E792" s="8" t="s">
        <v>12</v>
      </c>
      <c r="F792">
        <v>0.9</v>
      </c>
      <c r="G792" t="s">
        <v>78</v>
      </c>
      <c r="H792" t="str">
        <f>VLOOKUP(Tabla3[[#This Row],[DESCRIPCION MATERIAL]],'CODIGO MAT'!$C$2:$D$390,2,FALSE)</f>
        <v>TEL0000040</v>
      </c>
      <c r="J792">
        <v>1</v>
      </c>
      <c r="K792">
        <v>0</v>
      </c>
      <c r="L792" t="e">
        <v>#N/A</v>
      </c>
      <c r="M792" t="s">
        <v>992</v>
      </c>
      <c r="N792" t="e">
        <f>M792&amp;Tabla3[[#This Row],[CODIGO PRODUCTO TERMINADO]]&amp;"','"&amp;L792&amp;"',"&amp;Tabla3[[#This Row],[CANTIDAD MATERIAL (M)]]&amp;");"</f>
        <v>#N/A</v>
      </c>
    </row>
    <row r="793" spans="1:14" x14ac:dyDescent="0.25">
      <c r="A793" t="s">
        <v>1087</v>
      </c>
      <c r="B793" t="s">
        <v>63</v>
      </c>
      <c r="C793" t="s">
        <v>1078</v>
      </c>
      <c r="D793" t="s">
        <v>50</v>
      </c>
      <c r="E793" s="8" t="s">
        <v>140</v>
      </c>
      <c r="F793">
        <v>8.5000000000000006E-2</v>
      </c>
      <c r="G793" t="s">
        <v>78</v>
      </c>
      <c r="H793" t="str">
        <f>VLOOKUP(Tabla3[[#This Row],[DESCRIPCION MATERIAL]],'CODIGO MAT'!$C$2:$D$390,2,FALSE)</f>
        <v>TEL0000067</v>
      </c>
      <c r="J793">
        <v>1</v>
      </c>
      <c r="K793">
        <v>0</v>
      </c>
      <c r="L793" t="e">
        <v>#N/A</v>
      </c>
      <c r="M793" t="s">
        <v>992</v>
      </c>
      <c r="N793" t="e">
        <f>M793&amp;Tabla3[[#This Row],[CODIGO PRODUCTO TERMINADO]]&amp;"','"&amp;L793&amp;"',"&amp;Tabla3[[#This Row],[CANTIDAD MATERIAL (M)]]&amp;");"</f>
        <v>#N/A</v>
      </c>
    </row>
    <row r="794" spans="1:14" x14ac:dyDescent="0.25">
      <c r="A794" t="s">
        <v>1087</v>
      </c>
      <c r="B794" t="s">
        <v>63</v>
      </c>
      <c r="C794" t="s">
        <v>1078</v>
      </c>
      <c r="D794" t="s">
        <v>50</v>
      </c>
      <c r="E794" s="8" t="s">
        <v>118</v>
      </c>
      <c r="F794">
        <v>6.8699999999999997E-2</v>
      </c>
      <c r="G794" t="s">
        <v>78</v>
      </c>
      <c r="H794" t="str">
        <f>VLOOKUP(Tabla3[[#This Row],[DESCRIPCION MATERIAL]],'CODIGO MAT'!$C$2:$D$390,2,FALSE)</f>
        <v>TEL0000045</v>
      </c>
      <c r="J794">
        <v>1</v>
      </c>
      <c r="K794">
        <v>0</v>
      </c>
      <c r="L794" t="e">
        <v>#N/A</v>
      </c>
      <c r="M794" t="s">
        <v>992</v>
      </c>
      <c r="N794" t="e">
        <f>M794&amp;Tabla3[[#This Row],[CODIGO PRODUCTO TERMINADO]]&amp;"','"&amp;L794&amp;"',"&amp;Tabla3[[#This Row],[CANTIDAD MATERIAL (M)]]&amp;");"</f>
        <v>#N/A</v>
      </c>
    </row>
    <row r="795" spans="1:14" x14ac:dyDescent="0.25">
      <c r="A795" t="s">
        <v>1087</v>
      </c>
      <c r="B795" t="s">
        <v>63</v>
      </c>
      <c r="C795" t="s">
        <v>1078</v>
      </c>
      <c r="D795" t="s">
        <v>51</v>
      </c>
      <c r="E795" s="8" t="s">
        <v>308</v>
      </c>
      <c r="F795">
        <v>1.8700000000000001E-2</v>
      </c>
      <c r="G795" t="s">
        <v>78</v>
      </c>
      <c r="H795" t="str">
        <f>VLOOKUP(Tabla3[[#This Row],[DESCRIPCION MATERIAL]],'CODIGO MAT'!$C$2:$D$390,2,FALSE)</f>
        <v>AVI0000053</v>
      </c>
      <c r="J795">
        <v>1</v>
      </c>
      <c r="K795">
        <v>0</v>
      </c>
      <c r="L795" t="e">
        <v>#N/A</v>
      </c>
      <c r="M795" t="s">
        <v>992</v>
      </c>
      <c r="N795" t="e">
        <f>M795&amp;Tabla3[[#This Row],[CODIGO PRODUCTO TERMINADO]]&amp;"','"&amp;L795&amp;"',"&amp;Tabla3[[#This Row],[CANTIDAD MATERIAL (M)]]&amp;");"</f>
        <v>#N/A</v>
      </c>
    </row>
    <row r="796" spans="1:14" x14ac:dyDescent="0.25">
      <c r="A796" t="s">
        <v>1087</v>
      </c>
      <c r="B796" t="s">
        <v>63</v>
      </c>
      <c r="C796" t="s">
        <v>1078</v>
      </c>
      <c r="D796" t="s">
        <v>51</v>
      </c>
      <c r="E796" s="8" t="s">
        <v>261</v>
      </c>
      <c r="F796">
        <v>1</v>
      </c>
      <c r="G796" t="s">
        <v>396</v>
      </c>
      <c r="H796" t="str">
        <f>VLOOKUP(Tabla3[[#This Row],[DESCRIPCION MATERIAL]],'CODIGO MAT'!$C$2:$D$390,2,FALSE)</f>
        <v>AVI0000002</v>
      </c>
      <c r="J796">
        <v>1</v>
      </c>
      <c r="K796">
        <v>0</v>
      </c>
      <c r="L796" t="e">
        <v>#N/A</v>
      </c>
      <c r="M796" t="s">
        <v>992</v>
      </c>
      <c r="N796" t="e">
        <f>M796&amp;Tabla3[[#This Row],[CODIGO PRODUCTO TERMINADO]]&amp;"','"&amp;L796&amp;"',"&amp;Tabla3[[#This Row],[CANTIDAD MATERIAL (M)]]&amp;");"</f>
        <v>#N/A</v>
      </c>
    </row>
    <row r="797" spans="1:14" x14ac:dyDescent="0.25">
      <c r="A797" t="s">
        <v>1087</v>
      </c>
      <c r="B797" t="s">
        <v>63</v>
      </c>
      <c r="C797" t="s">
        <v>1078</v>
      </c>
      <c r="D797" t="s">
        <v>51</v>
      </c>
      <c r="E797" s="8" t="s">
        <v>35</v>
      </c>
      <c r="F797">
        <v>0.84</v>
      </c>
      <c r="G797" t="s">
        <v>78</v>
      </c>
      <c r="H797" t="str">
        <f>VLOOKUP(Tabla3[[#This Row],[DESCRIPCION MATERIAL]],'CODIGO MAT'!$C$2:$D$390,2,FALSE)</f>
        <v>AVI0000031</v>
      </c>
      <c r="J797">
        <v>1</v>
      </c>
      <c r="K797">
        <v>0.24</v>
      </c>
      <c r="L797" t="e">
        <v>#N/A</v>
      </c>
      <c r="M797" t="s">
        <v>992</v>
      </c>
      <c r="N797" t="e">
        <f>M797&amp;Tabla3[[#This Row],[CODIGO PRODUCTO TERMINADO]]&amp;"','"&amp;L797&amp;"',"&amp;Tabla3[[#This Row],[CANTIDAD MATERIAL (M)]]&amp;");"</f>
        <v>#N/A</v>
      </c>
    </row>
    <row r="798" spans="1:14" x14ac:dyDescent="0.25">
      <c r="A798" t="s">
        <v>1087</v>
      </c>
      <c r="B798" t="s">
        <v>63</v>
      </c>
      <c r="C798" t="s">
        <v>1078</v>
      </c>
      <c r="D798" t="s">
        <v>51</v>
      </c>
      <c r="E798" s="8" t="s">
        <v>996</v>
      </c>
      <c r="F798">
        <v>0.5</v>
      </c>
      <c r="G798" t="s">
        <v>78</v>
      </c>
      <c r="H798" t="str">
        <f>VLOOKUP(Tabla3[[#This Row],[DESCRIPCION MATERIAL]],'CODIGO MAT'!$C$2:$D$390,2,FALSE)</f>
        <v>AVI0000148</v>
      </c>
      <c r="J798">
        <v>1</v>
      </c>
      <c r="K798">
        <v>0</v>
      </c>
      <c r="L798" t="e">
        <v>#N/A</v>
      </c>
      <c r="M798" t="s">
        <v>992</v>
      </c>
      <c r="N798" t="e">
        <f>M798&amp;Tabla3[[#This Row],[CODIGO PRODUCTO TERMINADO]]&amp;"','"&amp;L798&amp;"',"&amp;Tabla3[[#This Row],[CANTIDAD MATERIAL (M)]]&amp;");"</f>
        <v>#N/A</v>
      </c>
    </row>
    <row r="799" spans="1:14" x14ac:dyDescent="0.25">
      <c r="A799" t="s">
        <v>1087</v>
      </c>
      <c r="B799" t="s">
        <v>63</v>
      </c>
      <c r="C799" t="s">
        <v>1078</v>
      </c>
      <c r="D799" t="s">
        <v>51</v>
      </c>
      <c r="E799" s="8" t="s">
        <v>398</v>
      </c>
      <c r="F799">
        <v>9</v>
      </c>
      <c r="G799" t="s">
        <v>396</v>
      </c>
      <c r="H799" t="str">
        <f>VLOOKUP(Tabla3[[#This Row],[DESCRIPCION MATERIAL]],'CODIGO MAT'!$C$2:$D$390,2,FALSE)</f>
        <v>AVI0000132</v>
      </c>
      <c r="L799" t="e">
        <v>#N/A</v>
      </c>
      <c r="M799" t="s">
        <v>992</v>
      </c>
      <c r="N799" t="e">
        <f>M799&amp;Tabla3[[#This Row],[CODIGO PRODUCTO TERMINADO]]&amp;"','"&amp;L799&amp;"',"&amp;Tabla3[[#This Row],[CANTIDAD MATERIAL (M)]]&amp;");"</f>
        <v>#N/A</v>
      </c>
    </row>
    <row r="800" spans="1:14" x14ac:dyDescent="0.25">
      <c r="A800" t="s">
        <v>1087</v>
      </c>
      <c r="B800" t="s">
        <v>63</v>
      </c>
      <c r="C800" t="s">
        <v>1078</v>
      </c>
      <c r="D800" t="s">
        <v>51</v>
      </c>
      <c r="E800" s="8" t="s">
        <v>36</v>
      </c>
      <c r="F800">
        <v>2</v>
      </c>
      <c r="G800" t="s">
        <v>396</v>
      </c>
      <c r="H800" t="str">
        <f>VLOOKUP(Tabla3[[#This Row],[DESCRIPCION MATERIAL]],'CODIGO MAT'!$C$2:$D$390,2,FALSE)</f>
        <v>AVI0000135</v>
      </c>
      <c r="L800" t="e">
        <v>#N/A</v>
      </c>
      <c r="M800" t="s">
        <v>992</v>
      </c>
      <c r="N800" t="e">
        <f>M800&amp;Tabla3[[#This Row],[CODIGO PRODUCTO TERMINADO]]&amp;"','"&amp;L800&amp;"',"&amp;Tabla3[[#This Row],[CANTIDAD MATERIAL (M)]]&amp;");"</f>
        <v>#N/A</v>
      </c>
    </row>
    <row r="801" spans="1:14" x14ac:dyDescent="0.25">
      <c r="A801" t="s">
        <v>1087</v>
      </c>
      <c r="B801" t="s">
        <v>63</v>
      </c>
      <c r="C801" t="s">
        <v>1078</v>
      </c>
      <c r="D801" t="s">
        <v>51</v>
      </c>
      <c r="E801" s="8" t="s">
        <v>1126</v>
      </c>
      <c r="F801">
        <v>2E-3</v>
      </c>
      <c r="G801" t="s">
        <v>396</v>
      </c>
      <c r="H801" t="str">
        <f>VLOOKUP(Tabla3[[#This Row],[DESCRIPCION MATERIAL]],'CODIGO MAT'!$C$2:$D$390,2,FALSE)</f>
        <v>AVI0000151</v>
      </c>
      <c r="L801" t="e">
        <v>#N/A</v>
      </c>
      <c r="M801" t="s">
        <v>992</v>
      </c>
      <c r="N801" t="e">
        <f>M801&amp;Tabla3[[#This Row],[CODIGO PRODUCTO TERMINADO]]&amp;"','"&amp;L801&amp;"',"&amp;Tabla3[[#This Row],[CANTIDAD MATERIAL (M)]]&amp;");"</f>
        <v>#N/A</v>
      </c>
    </row>
    <row r="802" spans="1:14" x14ac:dyDescent="0.25">
      <c r="A802" t="s">
        <v>1088</v>
      </c>
      <c r="B802" t="s">
        <v>63</v>
      </c>
      <c r="C802" t="s">
        <v>1079</v>
      </c>
      <c r="D802" t="s">
        <v>50</v>
      </c>
      <c r="E802" s="8" t="s">
        <v>12</v>
      </c>
      <c r="F802">
        <v>0.96</v>
      </c>
      <c r="G802" t="s">
        <v>78</v>
      </c>
      <c r="H802" t="str">
        <f>VLOOKUP(Tabla3[[#This Row],[DESCRIPCION MATERIAL]],'CODIGO MAT'!$C$2:$D$390,2,FALSE)</f>
        <v>TEL0000040</v>
      </c>
      <c r="J802">
        <v>1</v>
      </c>
      <c r="K802">
        <v>0</v>
      </c>
      <c r="L802" t="e">
        <v>#N/A</v>
      </c>
      <c r="M802" t="s">
        <v>992</v>
      </c>
      <c r="N802" t="e">
        <f>M802&amp;Tabla3[[#This Row],[CODIGO PRODUCTO TERMINADO]]&amp;"','"&amp;L802&amp;"',"&amp;Tabla3[[#This Row],[CANTIDAD MATERIAL (M)]]&amp;");"</f>
        <v>#N/A</v>
      </c>
    </row>
    <row r="803" spans="1:14" x14ac:dyDescent="0.25">
      <c r="A803" t="s">
        <v>1088</v>
      </c>
      <c r="B803" t="s">
        <v>63</v>
      </c>
      <c r="C803" t="s">
        <v>1079</v>
      </c>
      <c r="D803" t="s">
        <v>50</v>
      </c>
      <c r="E803" s="8" t="s">
        <v>140</v>
      </c>
      <c r="F803">
        <v>8.5000000000000006E-2</v>
      </c>
      <c r="G803" t="s">
        <v>78</v>
      </c>
      <c r="H803" t="str">
        <f>VLOOKUP(Tabla3[[#This Row],[DESCRIPCION MATERIAL]],'CODIGO MAT'!$C$2:$D$390,2,FALSE)</f>
        <v>TEL0000067</v>
      </c>
      <c r="J803">
        <v>1</v>
      </c>
      <c r="K803">
        <v>0</v>
      </c>
      <c r="L803" t="e">
        <v>#N/A</v>
      </c>
      <c r="M803" t="s">
        <v>992</v>
      </c>
      <c r="N803" t="e">
        <f>M803&amp;Tabla3[[#This Row],[CODIGO PRODUCTO TERMINADO]]&amp;"','"&amp;L803&amp;"',"&amp;Tabla3[[#This Row],[CANTIDAD MATERIAL (M)]]&amp;");"</f>
        <v>#N/A</v>
      </c>
    </row>
    <row r="804" spans="1:14" x14ac:dyDescent="0.25">
      <c r="A804" t="s">
        <v>1088</v>
      </c>
      <c r="B804" t="s">
        <v>63</v>
      </c>
      <c r="C804" t="s">
        <v>1079</v>
      </c>
      <c r="D804" t="s">
        <v>50</v>
      </c>
      <c r="E804" s="8" t="s">
        <v>118</v>
      </c>
      <c r="F804">
        <v>6.8699999999999997E-2</v>
      </c>
      <c r="G804" t="s">
        <v>78</v>
      </c>
      <c r="H804" t="str">
        <f>VLOOKUP(Tabla3[[#This Row],[DESCRIPCION MATERIAL]],'CODIGO MAT'!$C$2:$D$390,2,FALSE)</f>
        <v>TEL0000045</v>
      </c>
      <c r="J804">
        <v>1</v>
      </c>
      <c r="K804">
        <v>0</v>
      </c>
      <c r="L804" t="e">
        <v>#N/A</v>
      </c>
      <c r="M804" t="s">
        <v>992</v>
      </c>
      <c r="N804" t="e">
        <f>M804&amp;Tabla3[[#This Row],[CODIGO PRODUCTO TERMINADO]]&amp;"','"&amp;L804&amp;"',"&amp;Tabla3[[#This Row],[CANTIDAD MATERIAL (M)]]&amp;");"</f>
        <v>#N/A</v>
      </c>
    </row>
    <row r="805" spans="1:14" x14ac:dyDescent="0.25">
      <c r="A805" t="s">
        <v>1088</v>
      </c>
      <c r="B805" t="s">
        <v>63</v>
      </c>
      <c r="C805" t="s">
        <v>1079</v>
      </c>
      <c r="D805" t="s">
        <v>51</v>
      </c>
      <c r="E805" s="8" t="s">
        <v>308</v>
      </c>
      <c r="F805">
        <v>1.8700000000000001E-2</v>
      </c>
      <c r="G805" t="s">
        <v>78</v>
      </c>
      <c r="H805" t="str">
        <f>VLOOKUP(Tabla3[[#This Row],[DESCRIPCION MATERIAL]],'CODIGO MAT'!$C$2:$D$390,2,FALSE)</f>
        <v>AVI0000053</v>
      </c>
      <c r="J805">
        <v>1</v>
      </c>
      <c r="K805">
        <v>0</v>
      </c>
      <c r="L805" t="e">
        <v>#N/A</v>
      </c>
      <c r="M805" t="s">
        <v>992</v>
      </c>
      <c r="N805" t="e">
        <f>M805&amp;Tabla3[[#This Row],[CODIGO PRODUCTO TERMINADO]]&amp;"','"&amp;L805&amp;"',"&amp;Tabla3[[#This Row],[CANTIDAD MATERIAL (M)]]&amp;");"</f>
        <v>#N/A</v>
      </c>
    </row>
    <row r="806" spans="1:14" x14ac:dyDescent="0.25">
      <c r="A806" t="s">
        <v>1088</v>
      </c>
      <c r="B806" t="s">
        <v>63</v>
      </c>
      <c r="C806" t="s">
        <v>1079</v>
      </c>
      <c r="D806" t="s">
        <v>51</v>
      </c>
      <c r="E806" s="8" t="s">
        <v>261</v>
      </c>
      <c r="F806">
        <v>1</v>
      </c>
      <c r="G806" t="s">
        <v>396</v>
      </c>
      <c r="H806" t="str">
        <f>VLOOKUP(Tabla3[[#This Row],[DESCRIPCION MATERIAL]],'CODIGO MAT'!$C$2:$D$390,2,FALSE)</f>
        <v>AVI0000002</v>
      </c>
      <c r="J806">
        <v>1</v>
      </c>
      <c r="K806">
        <v>0</v>
      </c>
      <c r="L806" t="e">
        <v>#N/A</v>
      </c>
      <c r="M806" t="s">
        <v>992</v>
      </c>
      <c r="N806" t="e">
        <f>M806&amp;Tabla3[[#This Row],[CODIGO PRODUCTO TERMINADO]]&amp;"','"&amp;L806&amp;"',"&amp;Tabla3[[#This Row],[CANTIDAD MATERIAL (M)]]&amp;");"</f>
        <v>#N/A</v>
      </c>
    </row>
    <row r="807" spans="1:14" x14ac:dyDescent="0.25">
      <c r="A807" t="s">
        <v>1088</v>
      </c>
      <c r="B807" t="s">
        <v>63</v>
      </c>
      <c r="C807" t="s">
        <v>1079</v>
      </c>
      <c r="D807" t="s">
        <v>51</v>
      </c>
      <c r="E807" s="8" t="s">
        <v>35</v>
      </c>
      <c r="F807">
        <v>0.84</v>
      </c>
      <c r="G807" t="s">
        <v>78</v>
      </c>
      <c r="H807" t="str">
        <f>VLOOKUP(Tabla3[[#This Row],[DESCRIPCION MATERIAL]],'CODIGO MAT'!$C$2:$D$390,2,FALSE)</f>
        <v>AVI0000031</v>
      </c>
      <c r="J807">
        <v>1</v>
      </c>
      <c r="K807">
        <v>0.24</v>
      </c>
      <c r="L807" t="e">
        <v>#N/A</v>
      </c>
      <c r="M807" t="s">
        <v>992</v>
      </c>
      <c r="N807" t="e">
        <f>M807&amp;Tabla3[[#This Row],[CODIGO PRODUCTO TERMINADO]]&amp;"','"&amp;L807&amp;"',"&amp;Tabla3[[#This Row],[CANTIDAD MATERIAL (M)]]&amp;");"</f>
        <v>#N/A</v>
      </c>
    </row>
    <row r="808" spans="1:14" x14ac:dyDescent="0.25">
      <c r="A808" t="s">
        <v>1088</v>
      </c>
      <c r="B808" t="s">
        <v>63</v>
      </c>
      <c r="C808" t="s">
        <v>1079</v>
      </c>
      <c r="D808" t="s">
        <v>51</v>
      </c>
      <c r="E808" s="8" t="s">
        <v>996</v>
      </c>
      <c r="F808">
        <v>0.5</v>
      </c>
      <c r="G808" t="s">
        <v>78</v>
      </c>
      <c r="H808" t="str">
        <f>VLOOKUP(Tabla3[[#This Row],[DESCRIPCION MATERIAL]],'CODIGO MAT'!$C$2:$D$390,2,FALSE)</f>
        <v>AVI0000148</v>
      </c>
      <c r="J808">
        <v>1</v>
      </c>
      <c r="K808">
        <v>0</v>
      </c>
      <c r="L808" t="e">
        <v>#N/A</v>
      </c>
      <c r="M808" t="s">
        <v>992</v>
      </c>
      <c r="N808" t="e">
        <f>M808&amp;Tabla3[[#This Row],[CODIGO PRODUCTO TERMINADO]]&amp;"','"&amp;L808&amp;"',"&amp;Tabla3[[#This Row],[CANTIDAD MATERIAL (M)]]&amp;");"</f>
        <v>#N/A</v>
      </c>
    </row>
    <row r="809" spans="1:14" x14ac:dyDescent="0.25">
      <c r="A809" t="s">
        <v>1088</v>
      </c>
      <c r="B809" t="s">
        <v>63</v>
      </c>
      <c r="C809" t="s">
        <v>1079</v>
      </c>
      <c r="D809" t="s">
        <v>51</v>
      </c>
      <c r="E809" s="8" t="s">
        <v>398</v>
      </c>
      <c r="F809">
        <v>10</v>
      </c>
      <c r="G809" t="s">
        <v>396</v>
      </c>
      <c r="H809" t="str">
        <f>VLOOKUP(Tabla3[[#This Row],[DESCRIPCION MATERIAL]],'CODIGO MAT'!$C$2:$D$390,2,FALSE)</f>
        <v>AVI0000132</v>
      </c>
      <c r="L809" t="e">
        <v>#N/A</v>
      </c>
      <c r="M809" t="s">
        <v>992</v>
      </c>
      <c r="N809" t="e">
        <f>M809&amp;Tabla3[[#This Row],[CODIGO PRODUCTO TERMINADO]]&amp;"','"&amp;L809&amp;"',"&amp;Tabla3[[#This Row],[CANTIDAD MATERIAL (M)]]&amp;");"</f>
        <v>#N/A</v>
      </c>
    </row>
    <row r="810" spans="1:14" x14ac:dyDescent="0.25">
      <c r="A810" t="s">
        <v>1088</v>
      </c>
      <c r="B810" t="s">
        <v>63</v>
      </c>
      <c r="C810" t="s">
        <v>1079</v>
      </c>
      <c r="D810" t="s">
        <v>51</v>
      </c>
      <c r="E810" s="8" t="s">
        <v>36</v>
      </c>
      <c r="F810">
        <v>2</v>
      </c>
      <c r="G810" t="s">
        <v>396</v>
      </c>
      <c r="H810" t="str">
        <f>VLOOKUP(Tabla3[[#This Row],[DESCRIPCION MATERIAL]],'CODIGO MAT'!$C$2:$D$390,2,FALSE)</f>
        <v>AVI0000135</v>
      </c>
      <c r="L810" t="e">
        <v>#N/A</v>
      </c>
      <c r="M810" t="s">
        <v>992</v>
      </c>
      <c r="N810" t="e">
        <f>M810&amp;Tabla3[[#This Row],[CODIGO PRODUCTO TERMINADO]]&amp;"','"&amp;L810&amp;"',"&amp;Tabla3[[#This Row],[CANTIDAD MATERIAL (M)]]&amp;");"</f>
        <v>#N/A</v>
      </c>
    </row>
    <row r="811" spans="1:14" x14ac:dyDescent="0.25">
      <c r="A811" t="s">
        <v>1088</v>
      </c>
      <c r="B811" t="s">
        <v>63</v>
      </c>
      <c r="C811" t="s">
        <v>1079</v>
      </c>
      <c r="D811" t="s">
        <v>51</v>
      </c>
      <c r="E811" s="8" t="s">
        <v>1126</v>
      </c>
      <c r="F811">
        <v>2E-3</v>
      </c>
      <c r="G811" t="s">
        <v>396</v>
      </c>
      <c r="H811" t="str">
        <f>VLOOKUP(Tabla3[[#This Row],[DESCRIPCION MATERIAL]],'CODIGO MAT'!$C$2:$D$390,2,FALSE)</f>
        <v>AVI0000151</v>
      </c>
      <c r="L811" t="e">
        <v>#N/A</v>
      </c>
      <c r="M811" t="s">
        <v>992</v>
      </c>
      <c r="N811" t="e">
        <f>M811&amp;Tabla3[[#This Row],[CODIGO PRODUCTO TERMINADO]]&amp;"','"&amp;L811&amp;"',"&amp;Tabla3[[#This Row],[CANTIDAD MATERIAL (M)]]&amp;");"</f>
        <v>#N/A</v>
      </c>
    </row>
    <row r="812" spans="1:14" x14ac:dyDescent="0.25">
      <c r="A812" t="s">
        <v>1089</v>
      </c>
      <c r="B812" t="s">
        <v>63</v>
      </c>
      <c r="C812" t="s">
        <v>1080</v>
      </c>
      <c r="D812" t="s">
        <v>50</v>
      </c>
      <c r="E812" s="8" t="s">
        <v>12</v>
      </c>
      <c r="F812">
        <v>1.1575</v>
      </c>
      <c r="G812" t="s">
        <v>78</v>
      </c>
      <c r="H812" t="str">
        <f>VLOOKUP(Tabla3[[#This Row],[DESCRIPCION MATERIAL]],'CODIGO MAT'!$C$2:$D$390,2,FALSE)</f>
        <v>TEL0000040</v>
      </c>
      <c r="J812">
        <v>1</v>
      </c>
      <c r="K812">
        <v>0</v>
      </c>
      <c r="L812" t="e">
        <v>#N/A</v>
      </c>
      <c r="M812" t="s">
        <v>992</v>
      </c>
      <c r="N812" t="e">
        <f>M812&amp;Tabla3[[#This Row],[CODIGO PRODUCTO TERMINADO]]&amp;"','"&amp;L812&amp;"',"&amp;Tabla3[[#This Row],[CANTIDAD MATERIAL (M)]]&amp;");"</f>
        <v>#N/A</v>
      </c>
    </row>
    <row r="813" spans="1:14" x14ac:dyDescent="0.25">
      <c r="A813" t="s">
        <v>1089</v>
      </c>
      <c r="B813" t="s">
        <v>63</v>
      </c>
      <c r="C813" t="s">
        <v>1080</v>
      </c>
      <c r="D813" t="s">
        <v>50</v>
      </c>
      <c r="E813" s="8" t="s">
        <v>140</v>
      </c>
      <c r="F813">
        <v>8.5000000000000006E-2</v>
      </c>
      <c r="G813" t="s">
        <v>78</v>
      </c>
      <c r="H813" t="str">
        <f>VLOOKUP(Tabla3[[#This Row],[DESCRIPCION MATERIAL]],'CODIGO MAT'!$C$2:$D$390,2,FALSE)</f>
        <v>TEL0000067</v>
      </c>
      <c r="J813">
        <v>1</v>
      </c>
      <c r="K813">
        <v>0</v>
      </c>
      <c r="L813" t="e">
        <v>#N/A</v>
      </c>
      <c r="M813" t="s">
        <v>992</v>
      </c>
      <c r="N813" t="e">
        <f>M813&amp;Tabla3[[#This Row],[CODIGO PRODUCTO TERMINADO]]&amp;"','"&amp;L813&amp;"',"&amp;Tabla3[[#This Row],[CANTIDAD MATERIAL (M)]]&amp;");"</f>
        <v>#N/A</v>
      </c>
    </row>
    <row r="814" spans="1:14" x14ac:dyDescent="0.25">
      <c r="A814" t="s">
        <v>1089</v>
      </c>
      <c r="B814" t="s">
        <v>63</v>
      </c>
      <c r="C814" t="s">
        <v>1080</v>
      </c>
      <c r="D814" t="s">
        <v>50</v>
      </c>
      <c r="E814" s="8" t="s">
        <v>118</v>
      </c>
      <c r="F814">
        <v>6.8699999999999997E-2</v>
      </c>
      <c r="G814" t="s">
        <v>78</v>
      </c>
      <c r="H814" t="str">
        <f>VLOOKUP(Tabla3[[#This Row],[DESCRIPCION MATERIAL]],'CODIGO MAT'!$C$2:$D$390,2,FALSE)</f>
        <v>TEL0000045</v>
      </c>
      <c r="J814">
        <v>1</v>
      </c>
      <c r="K814">
        <v>0</v>
      </c>
      <c r="L814" t="e">
        <v>#N/A</v>
      </c>
      <c r="M814" t="s">
        <v>992</v>
      </c>
      <c r="N814" t="e">
        <f>M814&amp;Tabla3[[#This Row],[CODIGO PRODUCTO TERMINADO]]&amp;"','"&amp;L814&amp;"',"&amp;Tabla3[[#This Row],[CANTIDAD MATERIAL (M)]]&amp;");"</f>
        <v>#N/A</v>
      </c>
    </row>
    <row r="815" spans="1:14" x14ac:dyDescent="0.25">
      <c r="A815" t="s">
        <v>1089</v>
      </c>
      <c r="B815" t="s">
        <v>63</v>
      </c>
      <c r="C815" t="s">
        <v>1080</v>
      </c>
      <c r="D815" t="s">
        <v>51</v>
      </c>
      <c r="E815" s="8" t="s">
        <v>308</v>
      </c>
      <c r="F815">
        <v>1.8700000000000001E-2</v>
      </c>
      <c r="G815" t="s">
        <v>78</v>
      </c>
      <c r="H815" t="str">
        <f>VLOOKUP(Tabla3[[#This Row],[DESCRIPCION MATERIAL]],'CODIGO MAT'!$C$2:$D$390,2,FALSE)</f>
        <v>AVI0000053</v>
      </c>
      <c r="J815">
        <v>1</v>
      </c>
      <c r="K815">
        <v>0</v>
      </c>
      <c r="L815" t="e">
        <v>#N/A</v>
      </c>
      <c r="M815" t="s">
        <v>992</v>
      </c>
      <c r="N815" t="e">
        <f>M815&amp;Tabla3[[#This Row],[CODIGO PRODUCTO TERMINADO]]&amp;"','"&amp;L815&amp;"',"&amp;Tabla3[[#This Row],[CANTIDAD MATERIAL (M)]]&amp;");"</f>
        <v>#N/A</v>
      </c>
    </row>
    <row r="816" spans="1:14" x14ac:dyDescent="0.25">
      <c r="A816" t="s">
        <v>1089</v>
      </c>
      <c r="B816" t="s">
        <v>63</v>
      </c>
      <c r="C816" t="s">
        <v>1080</v>
      </c>
      <c r="D816" t="s">
        <v>51</v>
      </c>
      <c r="E816" s="8" t="s">
        <v>261</v>
      </c>
      <c r="F816">
        <v>1</v>
      </c>
      <c r="G816" t="s">
        <v>396</v>
      </c>
      <c r="H816" t="str">
        <f>VLOOKUP(Tabla3[[#This Row],[DESCRIPCION MATERIAL]],'CODIGO MAT'!$C$2:$D$390,2,FALSE)</f>
        <v>AVI0000002</v>
      </c>
      <c r="J816">
        <v>1</v>
      </c>
      <c r="K816">
        <v>0</v>
      </c>
      <c r="L816" t="e">
        <v>#N/A</v>
      </c>
      <c r="M816" t="s">
        <v>992</v>
      </c>
      <c r="N816" t="e">
        <f>M816&amp;Tabla3[[#This Row],[CODIGO PRODUCTO TERMINADO]]&amp;"','"&amp;L816&amp;"',"&amp;Tabla3[[#This Row],[CANTIDAD MATERIAL (M)]]&amp;");"</f>
        <v>#N/A</v>
      </c>
    </row>
    <row r="817" spans="1:14" x14ac:dyDescent="0.25">
      <c r="A817" t="s">
        <v>1089</v>
      </c>
      <c r="B817" t="s">
        <v>63</v>
      </c>
      <c r="C817" t="s">
        <v>1080</v>
      </c>
      <c r="D817" t="s">
        <v>51</v>
      </c>
      <c r="E817" s="8" t="s">
        <v>35</v>
      </c>
      <c r="F817">
        <v>0.84</v>
      </c>
      <c r="G817" t="s">
        <v>78</v>
      </c>
      <c r="H817" t="str">
        <f>VLOOKUP(Tabla3[[#This Row],[DESCRIPCION MATERIAL]],'CODIGO MAT'!$C$2:$D$390,2,FALSE)</f>
        <v>AVI0000031</v>
      </c>
      <c r="J817">
        <v>1</v>
      </c>
      <c r="K817">
        <v>0.24</v>
      </c>
      <c r="L817" t="e">
        <v>#N/A</v>
      </c>
      <c r="M817" t="s">
        <v>992</v>
      </c>
      <c r="N817" t="e">
        <f>M817&amp;Tabla3[[#This Row],[CODIGO PRODUCTO TERMINADO]]&amp;"','"&amp;L817&amp;"',"&amp;Tabla3[[#This Row],[CANTIDAD MATERIAL (M)]]&amp;");"</f>
        <v>#N/A</v>
      </c>
    </row>
    <row r="818" spans="1:14" x14ac:dyDescent="0.25">
      <c r="A818" t="s">
        <v>1089</v>
      </c>
      <c r="B818" t="s">
        <v>63</v>
      </c>
      <c r="C818" t="s">
        <v>1080</v>
      </c>
      <c r="D818" t="s">
        <v>51</v>
      </c>
      <c r="E818" s="8" t="s">
        <v>996</v>
      </c>
      <c r="F818">
        <v>0.5</v>
      </c>
      <c r="G818" t="s">
        <v>78</v>
      </c>
      <c r="H818" t="str">
        <f>VLOOKUP(Tabla3[[#This Row],[DESCRIPCION MATERIAL]],'CODIGO MAT'!$C$2:$D$390,2,FALSE)</f>
        <v>AVI0000148</v>
      </c>
      <c r="J818">
        <v>1</v>
      </c>
      <c r="K818">
        <v>0</v>
      </c>
      <c r="L818" t="e">
        <v>#N/A</v>
      </c>
      <c r="M818" t="s">
        <v>992</v>
      </c>
      <c r="N818" t="e">
        <f>M818&amp;Tabla3[[#This Row],[CODIGO PRODUCTO TERMINADO]]&amp;"','"&amp;L818&amp;"',"&amp;Tabla3[[#This Row],[CANTIDAD MATERIAL (M)]]&amp;");"</f>
        <v>#N/A</v>
      </c>
    </row>
    <row r="819" spans="1:14" x14ac:dyDescent="0.25">
      <c r="A819" t="s">
        <v>1089</v>
      </c>
      <c r="B819" t="s">
        <v>63</v>
      </c>
      <c r="C819" t="s">
        <v>1080</v>
      </c>
      <c r="D819" t="s">
        <v>51</v>
      </c>
      <c r="E819" s="8" t="s">
        <v>398</v>
      </c>
      <c r="F819">
        <v>10</v>
      </c>
      <c r="G819" t="s">
        <v>396</v>
      </c>
      <c r="H819" t="str">
        <f>VLOOKUP(Tabla3[[#This Row],[DESCRIPCION MATERIAL]],'CODIGO MAT'!$C$2:$D$390,2,FALSE)</f>
        <v>AVI0000132</v>
      </c>
      <c r="L819" t="e">
        <v>#N/A</v>
      </c>
      <c r="M819" t="s">
        <v>992</v>
      </c>
      <c r="N819" t="e">
        <f>M819&amp;Tabla3[[#This Row],[CODIGO PRODUCTO TERMINADO]]&amp;"','"&amp;L819&amp;"',"&amp;Tabla3[[#This Row],[CANTIDAD MATERIAL (M)]]&amp;");"</f>
        <v>#N/A</v>
      </c>
    </row>
    <row r="820" spans="1:14" x14ac:dyDescent="0.25">
      <c r="A820" t="s">
        <v>1089</v>
      </c>
      <c r="B820" t="s">
        <v>63</v>
      </c>
      <c r="C820" t="s">
        <v>1080</v>
      </c>
      <c r="D820" t="s">
        <v>51</v>
      </c>
      <c r="E820" s="8" t="s">
        <v>36</v>
      </c>
      <c r="F820">
        <v>2</v>
      </c>
      <c r="G820" t="s">
        <v>396</v>
      </c>
      <c r="H820" t="str">
        <f>VLOOKUP(Tabla3[[#This Row],[DESCRIPCION MATERIAL]],'CODIGO MAT'!$C$2:$D$390,2,FALSE)</f>
        <v>AVI0000135</v>
      </c>
      <c r="L820" t="e">
        <v>#N/A</v>
      </c>
      <c r="M820" t="s">
        <v>992</v>
      </c>
      <c r="N820" t="e">
        <f>M820&amp;Tabla3[[#This Row],[CODIGO PRODUCTO TERMINADO]]&amp;"','"&amp;L820&amp;"',"&amp;Tabla3[[#This Row],[CANTIDAD MATERIAL (M)]]&amp;");"</f>
        <v>#N/A</v>
      </c>
    </row>
    <row r="821" spans="1:14" x14ac:dyDescent="0.25">
      <c r="A821" t="s">
        <v>1089</v>
      </c>
      <c r="B821" t="s">
        <v>63</v>
      </c>
      <c r="C821" t="s">
        <v>1080</v>
      </c>
      <c r="D821" t="s">
        <v>51</v>
      </c>
      <c r="E821" s="8" t="s">
        <v>1126</v>
      </c>
      <c r="F821">
        <v>2E-3</v>
      </c>
      <c r="G821" t="s">
        <v>396</v>
      </c>
      <c r="H821" t="str">
        <f>VLOOKUP(Tabla3[[#This Row],[DESCRIPCION MATERIAL]],'CODIGO MAT'!$C$2:$D$390,2,FALSE)</f>
        <v>AVI0000151</v>
      </c>
      <c r="L821" t="e">
        <v>#N/A</v>
      </c>
      <c r="M821" t="s">
        <v>992</v>
      </c>
      <c r="N821" t="e">
        <f>M821&amp;Tabla3[[#This Row],[CODIGO PRODUCTO TERMINADO]]&amp;"','"&amp;L821&amp;"',"&amp;Tabla3[[#This Row],[CANTIDAD MATERIAL (M)]]&amp;");"</f>
        <v>#N/A</v>
      </c>
    </row>
    <row r="822" spans="1:14" x14ac:dyDescent="0.25">
      <c r="A822" t="s">
        <v>1090</v>
      </c>
      <c r="B822" t="s">
        <v>63</v>
      </c>
      <c r="C822" t="s">
        <v>1081</v>
      </c>
      <c r="D822" t="s">
        <v>50</v>
      </c>
      <c r="E822" s="8" t="s">
        <v>12</v>
      </c>
      <c r="F822">
        <v>1.29</v>
      </c>
      <c r="G822" t="s">
        <v>78</v>
      </c>
      <c r="H822" t="str">
        <f>VLOOKUP(Tabla3[[#This Row],[DESCRIPCION MATERIAL]],'CODIGO MAT'!$C$2:$D$390,2,FALSE)</f>
        <v>TEL0000040</v>
      </c>
      <c r="J822">
        <v>1</v>
      </c>
      <c r="K822">
        <v>0</v>
      </c>
      <c r="L822" t="e">
        <v>#N/A</v>
      </c>
      <c r="M822" t="s">
        <v>992</v>
      </c>
      <c r="N822" t="e">
        <f>M822&amp;Tabla3[[#This Row],[CODIGO PRODUCTO TERMINADO]]&amp;"','"&amp;L822&amp;"',"&amp;Tabla3[[#This Row],[CANTIDAD MATERIAL (M)]]&amp;");"</f>
        <v>#N/A</v>
      </c>
    </row>
    <row r="823" spans="1:14" x14ac:dyDescent="0.25">
      <c r="A823" t="s">
        <v>1090</v>
      </c>
      <c r="B823" t="s">
        <v>63</v>
      </c>
      <c r="C823" t="s">
        <v>1081</v>
      </c>
      <c r="D823" t="s">
        <v>50</v>
      </c>
      <c r="E823" s="8" t="s">
        <v>140</v>
      </c>
      <c r="F823">
        <v>8.5000000000000006E-2</v>
      </c>
      <c r="G823" t="s">
        <v>78</v>
      </c>
      <c r="H823" t="str">
        <f>VLOOKUP(Tabla3[[#This Row],[DESCRIPCION MATERIAL]],'CODIGO MAT'!$C$2:$D$390,2,FALSE)</f>
        <v>TEL0000067</v>
      </c>
      <c r="J823">
        <v>1</v>
      </c>
      <c r="K823">
        <v>0</v>
      </c>
      <c r="L823" t="e">
        <v>#N/A</v>
      </c>
      <c r="M823" t="s">
        <v>992</v>
      </c>
      <c r="N823" t="e">
        <f>M823&amp;Tabla3[[#This Row],[CODIGO PRODUCTO TERMINADO]]&amp;"','"&amp;L823&amp;"',"&amp;Tabla3[[#This Row],[CANTIDAD MATERIAL (M)]]&amp;");"</f>
        <v>#N/A</v>
      </c>
    </row>
    <row r="824" spans="1:14" x14ac:dyDescent="0.25">
      <c r="A824" t="s">
        <v>1090</v>
      </c>
      <c r="B824" t="s">
        <v>63</v>
      </c>
      <c r="C824" t="s">
        <v>1081</v>
      </c>
      <c r="D824" t="s">
        <v>50</v>
      </c>
      <c r="E824" s="8" t="s">
        <v>118</v>
      </c>
      <c r="F824">
        <v>6.8699999999999997E-2</v>
      </c>
      <c r="G824" t="s">
        <v>78</v>
      </c>
      <c r="H824" t="str">
        <f>VLOOKUP(Tabla3[[#This Row],[DESCRIPCION MATERIAL]],'CODIGO MAT'!$C$2:$D$390,2,FALSE)</f>
        <v>TEL0000045</v>
      </c>
      <c r="J824">
        <v>1</v>
      </c>
      <c r="K824">
        <v>0</v>
      </c>
      <c r="L824" t="e">
        <v>#N/A</v>
      </c>
      <c r="M824" t="s">
        <v>992</v>
      </c>
      <c r="N824" t="e">
        <f>M824&amp;Tabla3[[#This Row],[CODIGO PRODUCTO TERMINADO]]&amp;"','"&amp;L824&amp;"',"&amp;Tabla3[[#This Row],[CANTIDAD MATERIAL (M)]]&amp;");"</f>
        <v>#N/A</v>
      </c>
    </row>
    <row r="825" spans="1:14" x14ac:dyDescent="0.25">
      <c r="A825" t="s">
        <v>1090</v>
      </c>
      <c r="B825" t="s">
        <v>63</v>
      </c>
      <c r="C825" t="s">
        <v>1081</v>
      </c>
      <c r="D825" t="s">
        <v>51</v>
      </c>
      <c r="E825" s="8" t="s">
        <v>308</v>
      </c>
      <c r="F825">
        <v>1.8700000000000001E-2</v>
      </c>
      <c r="G825" t="s">
        <v>78</v>
      </c>
      <c r="H825" t="str">
        <f>VLOOKUP(Tabla3[[#This Row],[DESCRIPCION MATERIAL]],'CODIGO MAT'!$C$2:$D$390,2,FALSE)</f>
        <v>AVI0000053</v>
      </c>
      <c r="J825">
        <v>1</v>
      </c>
      <c r="K825">
        <v>0</v>
      </c>
      <c r="L825" t="e">
        <v>#N/A</v>
      </c>
      <c r="M825" t="s">
        <v>992</v>
      </c>
      <c r="N825" t="e">
        <f>M825&amp;Tabla3[[#This Row],[CODIGO PRODUCTO TERMINADO]]&amp;"','"&amp;L825&amp;"',"&amp;Tabla3[[#This Row],[CANTIDAD MATERIAL (M)]]&amp;");"</f>
        <v>#N/A</v>
      </c>
    </row>
    <row r="826" spans="1:14" x14ac:dyDescent="0.25">
      <c r="A826" t="s">
        <v>1090</v>
      </c>
      <c r="B826" t="s">
        <v>63</v>
      </c>
      <c r="C826" t="s">
        <v>1081</v>
      </c>
      <c r="D826" t="s">
        <v>51</v>
      </c>
      <c r="E826" s="8" t="s">
        <v>261</v>
      </c>
      <c r="F826">
        <v>1</v>
      </c>
      <c r="G826" t="s">
        <v>396</v>
      </c>
      <c r="H826" t="str">
        <f>VLOOKUP(Tabla3[[#This Row],[DESCRIPCION MATERIAL]],'CODIGO MAT'!$C$2:$D$390,2,FALSE)</f>
        <v>AVI0000002</v>
      </c>
      <c r="J826">
        <v>1</v>
      </c>
      <c r="K826">
        <v>0</v>
      </c>
      <c r="L826" t="e">
        <v>#N/A</v>
      </c>
      <c r="M826" t="s">
        <v>992</v>
      </c>
      <c r="N826" t="e">
        <f>M826&amp;Tabla3[[#This Row],[CODIGO PRODUCTO TERMINADO]]&amp;"','"&amp;L826&amp;"',"&amp;Tabla3[[#This Row],[CANTIDAD MATERIAL (M)]]&amp;");"</f>
        <v>#N/A</v>
      </c>
    </row>
    <row r="827" spans="1:14" x14ac:dyDescent="0.25">
      <c r="A827" t="s">
        <v>1090</v>
      </c>
      <c r="B827" t="s">
        <v>63</v>
      </c>
      <c r="C827" t="s">
        <v>1081</v>
      </c>
      <c r="D827" t="s">
        <v>51</v>
      </c>
      <c r="E827" s="8" t="s">
        <v>35</v>
      </c>
      <c r="F827">
        <v>0.84</v>
      </c>
      <c r="G827" t="s">
        <v>78</v>
      </c>
      <c r="H827" t="str">
        <f>VLOOKUP(Tabla3[[#This Row],[DESCRIPCION MATERIAL]],'CODIGO MAT'!$C$2:$D$390,2,FALSE)</f>
        <v>AVI0000031</v>
      </c>
      <c r="J827">
        <v>1</v>
      </c>
      <c r="K827">
        <v>0.24</v>
      </c>
      <c r="L827" t="e">
        <v>#N/A</v>
      </c>
      <c r="M827" t="s">
        <v>992</v>
      </c>
      <c r="N827" t="e">
        <f>M827&amp;Tabla3[[#This Row],[CODIGO PRODUCTO TERMINADO]]&amp;"','"&amp;L827&amp;"',"&amp;Tabla3[[#This Row],[CANTIDAD MATERIAL (M)]]&amp;");"</f>
        <v>#N/A</v>
      </c>
    </row>
    <row r="828" spans="1:14" x14ac:dyDescent="0.25">
      <c r="A828" t="s">
        <v>1090</v>
      </c>
      <c r="B828" t="s">
        <v>63</v>
      </c>
      <c r="C828" t="s">
        <v>1081</v>
      </c>
      <c r="D828" t="s">
        <v>51</v>
      </c>
      <c r="E828" s="8" t="s">
        <v>996</v>
      </c>
      <c r="F828">
        <v>0.5</v>
      </c>
      <c r="G828" t="s">
        <v>78</v>
      </c>
      <c r="H828" t="str">
        <f>VLOOKUP(Tabla3[[#This Row],[DESCRIPCION MATERIAL]],'CODIGO MAT'!$C$2:$D$390,2,FALSE)</f>
        <v>AVI0000148</v>
      </c>
      <c r="J828">
        <v>1</v>
      </c>
      <c r="K828">
        <v>0</v>
      </c>
      <c r="L828" t="e">
        <v>#N/A</v>
      </c>
      <c r="M828" t="s">
        <v>992</v>
      </c>
      <c r="N828" t="e">
        <f>M828&amp;Tabla3[[#This Row],[CODIGO PRODUCTO TERMINADO]]&amp;"','"&amp;L828&amp;"',"&amp;Tabla3[[#This Row],[CANTIDAD MATERIAL (M)]]&amp;");"</f>
        <v>#N/A</v>
      </c>
    </row>
    <row r="829" spans="1:14" x14ac:dyDescent="0.25">
      <c r="A829" t="s">
        <v>1090</v>
      </c>
      <c r="B829" t="s">
        <v>63</v>
      </c>
      <c r="C829" t="s">
        <v>1081</v>
      </c>
      <c r="D829" t="s">
        <v>51</v>
      </c>
      <c r="E829" s="8" t="s">
        <v>398</v>
      </c>
      <c r="F829">
        <v>10</v>
      </c>
      <c r="G829" t="s">
        <v>396</v>
      </c>
      <c r="H829" t="str">
        <f>VLOOKUP(Tabla3[[#This Row],[DESCRIPCION MATERIAL]],'CODIGO MAT'!$C$2:$D$390,2,FALSE)</f>
        <v>AVI0000132</v>
      </c>
      <c r="L829" t="e">
        <v>#N/A</v>
      </c>
      <c r="M829" t="s">
        <v>992</v>
      </c>
      <c r="N829" t="e">
        <f>M829&amp;Tabla3[[#This Row],[CODIGO PRODUCTO TERMINADO]]&amp;"','"&amp;L829&amp;"',"&amp;Tabla3[[#This Row],[CANTIDAD MATERIAL (M)]]&amp;");"</f>
        <v>#N/A</v>
      </c>
    </row>
    <row r="830" spans="1:14" x14ac:dyDescent="0.25">
      <c r="A830" t="s">
        <v>1090</v>
      </c>
      <c r="B830" t="s">
        <v>63</v>
      </c>
      <c r="C830" t="s">
        <v>1081</v>
      </c>
      <c r="D830" t="s">
        <v>51</v>
      </c>
      <c r="E830" s="8" t="s">
        <v>36</v>
      </c>
      <c r="F830">
        <v>2</v>
      </c>
      <c r="G830" t="s">
        <v>396</v>
      </c>
      <c r="H830" t="str">
        <f>VLOOKUP(Tabla3[[#This Row],[DESCRIPCION MATERIAL]],'CODIGO MAT'!$C$2:$D$390,2,FALSE)</f>
        <v>AVI0000135</v>
      </c>
      <c r="L830" t="e">
        <v>#N/A</v>
      </c>
      <c r="M830" t="s">
        <v>992</v>
      </c>
      <c r="N830" t="e">
        <f>M830&amp;Tabla3[[#This Row],[CODIGO PRODUCTO TERMINADO]]&amp;"','"&amp;L830&amp;"',"&amp;Tabla3[[#This Row],[CANTIDAD MATERIAL (M)]]&amp;");"</f>
        <v>#N/A</v>
      </c>
    </row>
    <row r="831" spans="1:14" x14ac:dyDescent="0.25">
      <c r="A831" t="s">
        <v>1090</v>
      </c>
      <c r="B831" t="s">
        <v>63</v>
      </c>
      <c r="C831" t="s">
        <v>1081</v>
      </c>
      <c r="D831" t="s">
        <v>51</v>
      </c>
      <c r="E831" s="8" t="s">
        <v>1126</v>
      </c>
      <c r="F831">
        <v>2E-3</v>
      </c>
      <c r="G831" t="s">
        <v>396</v>
      </c>
      <c r="H831" t="str">
        <f>VLOOKUP(Tabla3[[#This Row],[DESCRIPCION MATERIAL]],'CODIGO MAT'!$C$2:$D$390,2,FALSE)</f>
        <v>AVI0000151</v>
      </c>
      <c r="L831" t="e">
        <v>#N/A</v>
      </c>
      <c r="M831" t="s">
        <v>992</v>
      </c>
      <c r="N831" t="e">
        <f>M831&amp;Tabla3[[#This Row],[CODIGO PRODUCTO TERMINADO]]&amp;"','"&amp;L831&amp;"',"&amp;Tabla3[[#This Row],[CANTIDAD MATERIAL (M)]]&amp;");"</f>
        <v>#N/A</v>
      </c>
    </row>
    <row r="832" spans="1:14" x14ac:dyDescent="0.25">
      <c r="A832" t="s">
        <v>1091</v>
      </c>
      <c r="B832" t="s">
        <v>63</v>
      </c>
      <c r="C832" t="s">
        <v>1082</v>
      </c>
      <c r="D832" t="s">
        <v>50</v>
      </c>
      <c r="E832" s="8" t="s">
        <v>12</v>
      </c>
      <c r="F832">
        <v>1.415</v>
      </c>
      <c r="G832" t="s">
        <v>78</v>
      </c>
      <c r="H832" t="str">
        <f>VLOOKUP(Tabla3[[#This Row],[DESCRIPCION MATERIAL]],'CODIGO MAT'!$C$2:$D$390,2,FALSE)</f>
        <v>TEL0000040</v>
      </c>
      <c r="J832">
        <v>1</v>
      </c>
      <c r="K832">
        <v>0</v>
      </c>
      <c r="L832" t="e">
        <v>#N/A</v>
      </c>
      <c r="M832" t="s">
        <v>992</v>
      </c>
      <c r="N832" t="e">
        <f>M832&amp;Tabla3[[#This Row],[CODIGO PRODUCTO TERMINADO]]&amp;"','"&amp;L832&amp;"',"&amp;Tabla3[[#This Row],[CANTIDAD MATERIAL (M)]]&amp;");"</f>
        <v>#N/A</v>
      </c>
    </row>
    <row r="833" spans="1:14" x14ac:dyDescent="0.25">
      <c r="A833" t="s">
        <v>1091</v>
      </c>
      <c r="B833" t="s">
        <v>63</v>
      </c>
      <c r="C833" t="s">
        <v>1082</v>
      </c>
      <c r="D833" t="s">
        <v>50</v>
      </c>
      <c r="E833" s="8" t="s">
        <v>140</v>
      </c>
      <c r="F833">
        <v>8.5000000000000006E-2</v>
      </c>
      <c r="G833" t="s">
        <v>78</v>
      </c>
      <c r="H833" t="str">
        <f>VLOOKUP(Tabla3[[#This Row],[DESCRIPCION MATERIAL]],'CODIGO MAT'!$C$2:$D$390,2,FALSE)</f>
        <v>TEL0000067</v>
      </c>
      <c r="J833">
        <v>1</v>
      </c>
      <c r="K833">
        <v>0</v>
      </c>
      <c r="L833" t="e">
        <v>#N/A</v>
      </c>
      <c r="M833" t="s">
        <v>992</v>
      </c>
      <c r="N833" t="e">
        <f>M833&amp;Tabla3[[#This Row],[CODIGO PRODUCTO TERMINADO]]&amp;"','"&amp;L833&amp;"',"&amp;Tabla3[[#This Row],[CANTIDAD MATERIAL (M)]]&amp;");"</f>
        <v>#N/A</v>
      </c>
    </row>
    <row r="834" spans="1:14" x14ac:dyDescent="0.25">
      <c r="A834" t="s">
        <v>1091</v>
      </c>
      <c r="B834" t="s">
        <v>63</v>
      </c>
      <c r="C834" t="s">
        <v>1082</v>
      </c>
      <c r="D834" t="s">
        <v>50</v>
      </c>
      <c r="E834" s="8" t="s">
        <v>118</v>
      </c>
      <c r="F834">
        <v>6.8699999999999997E-2</v>
      </c>
      <c r="G834" t="s">
        <v>78</v>
      </c>
      <c r="H834" t="str">
        <f>VLOOKUP(Tabla3[[#This Row],[DESCRIPCION MATERIAL]],'CODIGO MAT'!$C$2:$D$390,2,FALSE)</f>
        <v>TEL0000045</v>
      </c>
      <c r="J834">
        <v>1</v>
      </c>
      <c r="K834">
        <v>0</v>
      </c>
      <c r="L834" t="e">
        <v>#N/A</v>
      </c>
      <c r="M834" t="s">
        <v>992</v>
      </c>
      <c r="N834" t="e">
        <f>M834&amp;Tabla3[[#This Row],[CODIGO PRODUCTO TERMINADO]]&amp;"','"&amp;L834&amp;"',"&amp;Tabla3[[#This Row],[CANTIDAD MATERIAL (M)]]&amp;");"</f>
        <v>#N/A</v>
      </c>
    </row>
    <row r="835" spans="1:14" x14ac:dyDescent="0.25">
      <c r="A835" t="s">
        <v>1091</v>
      </c>
      <c r="B835" t="s">
        <v>63</v>
      </c>
      <c r="C835" t="s">
        <v>1082</v>
      </c>
      <c r="D835" t="s">
        <v>51</v>
      </c>
      <c r="E835" s="8" t="s">
        <v>308</v>
      </c>
      <c r="F835">
        <v>1.8700000000000001E-2</v>
      </c>
      <c r="G835" t="s">
        <v>78</v>
      </c>
      <c r="H835" t="str">
        <f>VLOOKUP(Tabla3[[#This Row],[DESCRIPCION MATERIAL]],'CODIGO MAT'!$C$2:$D$390,2,FALSE)</f>
        <v>AVI0000053</v>
      </c>
      <c r="J835">
        <v>1</v>
      </c>
      <c r="K835">
        <v>0</v>
      </c>
      <c r="L835" t="e">
        <v>#N/A</v>
      </c>
      <c r="M835" t="s">
        <v>992</v>
      </c>
      <c r="N835" t="e">
        <f>M835&amp;Tabla3[[#This Row],[CODIGO PRODUCTO TERMINADO]]&amp;"','"&amp;L835&amp;"',"&amp;Tabla3[[#This Row],[CANTIDAD MATERIAL (M)]]&amp;");"</f>
        <v>#N/A</v>
      </c>
    </row>
    <row r="836" spans="1:14" x14ac:dyDescent="0.25">
      <c r="A836" t="s">
        <v>1091</v>
      </c>
      <c r="B836" t="s">
        <v>63</v>
      </c>
      <c r="C836" t="s">
        <v>1082</v>
      </c>
      <c r="D836" t="s">
        <v>51</v>
      </c>
      <c r="E836" s="8" t="s">
        <v>261</v>
      </c>
      <c r="F836">
        <v>1</v>
      </c>
      <c r="G836" t="s">
        <v>396</v>
      </c>
      <c r="H836" t="str">
        <f>VLOOKUP(Tabla3[[#This Row],[DESCRIPCION MATERIAL]],'CODIGO MAT'!$C$2:$D$390,2,FALSE)</f>
        <v>AVI0000002</v>
      </c>
      <c r="J836">
        <v>1</v>
      </c>
      <c r="K836">
        <v>0</v>
      </c>
      <c r="L836" t="e">
        <v>#N/A</v>
      </c>
      <c r="M836" t="s">
        <v>992</v>
      </c>
      <c r="N836" t="e">
        <f>M836&amp;Tabla3[[#This Row],[CODIGO PRODUCTO TERMINADO]]&amp;"','"&amp;L836&amp;"',"&amp;Tabla3[[#This Row],[CANTIDAD MATERIAL (M)]]&amp;");"</f>
        <v>#N/A</v>
      </c>
    </row>
    <row r="837" spans="1:14" x14ac:dyDescent="0.25">
      <c r="A837" t="s">
        <v>1091</v>
      </c>
      <c r="B837" t="s">
        <v>63</v>
      </c>
      <c r="C837" t="s">
        <v>1082</v>
      </c>
      <c r="D837" t="s">
        <v>51</v>
      </c>
      <c r="E837" s="8" t="s">
        <v>35</v>
      </c>
      <c r="F837">
        <v>0.84</v>
      </c>
      <c r="G837" t="s">
        <v>78</v>
      </c>
      <c r="H837" t="str">
        <f>VLOOKUP(Tabla3[[#This Row],[DESCRIPCION MATERIAL]],'CODIGO MAT'!$C$2:$D$390,2,FALSE)</f>
        <v>AVI0000031</v>
      </c>
      <c r="J837">
        <v>1</v>
      </c>
      <c r="K837">
        <v>0.24</v>
      </c>
      <c r="L837" t="e">
        <v>#N/A</v>
      </c>
      <c r="M837" t="s">
        <v>992</v>
      </c>
      <c r="N837" t="e">
        <f>M837&amp;Tabla3[[#This Row],[CODIGO PRODUCTO TERMINADO]]&amp;"','"&amp;L837&amp;"',"&amp;Tabla3[[#This Row],[CANTIDAD MATERIAL (M)]]&amp;");"</f>
        <v>#N/A</v>
      </c>
    </row>
    <row r="838" spans="1:14" x14ac:dyDescent="0.25">
      <c r="A838" t="s">
        <v>1091</v>
      </c>
      <c r="B838" t="s">
        <v>63</v>
      </c>
      <c r="C838" t="s">
        <v>1082</v>
      </c>
      <c r="D838" t="s">
        <v>51</v>
      </c>
      <c r="E838" s="8" t="s">
        <v>996</v>
      </c>
      <c r="F838">
        <v>0.5</v>
      </c>
      <c r="G838" t="s">
        <v>78</v>
      </c>
      <c r="H838" t="str">
        <f>VLOOKUP(Tabla3[[#This Row],[DESCRIPCION MATERIAL]],'CODIGO MAT'!$C$2:$D$390,2,FALSE)</f>
        <v>AVI0000148</v>
      </c>
      <c r="J838">
        <v>1</v>
      </c>
      <c r="K838">
        <v>0</v>
      </c>
      <c r="L838" t="e">
        <v>#N/A</v>
      </c>
      <c r="M838" t="s">
        <v>992</v>
      </c>
      <c r="N838" t="e">
        <f>M838&amp;Tabla3[[#This Row],[CODIGO PRODUCTO TERMINADO]]&amp;"','"&amp;L838&amp;"',"&amp;Tabla3[[#This Row],[CANTIDAD MATERIAL (M)]]&amp;");"</f>
        <v>#N/A</v>
      </c>
    </row>
    <row r="839" spans="1:14" x14ac:dyDescent="0.25">
      <c r="A839" t="s">
        <v>1091</v>
      </c>
      <c r="B839" t="s">
        <v>63</v>
      </c>
      <c r="C839" t="s">
        <v>1082</v>
      </c>
      <c r="D839" t="s">
        <v>51</v>
      </c>
      <c r="E839" s="8" t="s">
        <v>398</v>
      </c>
      <c r="F839">
        <v>10</v>
      </c>
      <c r="G839" t="s">
        <v>396</v>
      </c>
      <c r="H839" t="str">
        <f>VLOOKUP(Tabla3[[#This Row],[DESCRIPCION MATERIAL]],'CODIGO MAT'!$C$2:$D$390,2,FALSE)</f>
        <v>AVI0000132</v>
      </c>
      <c r="L839" t="e">
        <v>#N/A</v>
      </c>
      <c r="M839" t="s">
        <v>992</v>
      </c>
      <c r="N839" t="e">
        <f>M839&amp;Tabla3[[#This Row],[CODIGO PRODUCTO TERMINADO]]&amp;"','"&amp;L839&amp;"',"&amp;Tabla3[[#This Row],[CANTIDAD MATERIAL (M)]]&amp;");"</f>
        <v>#N/A</v>
      </c>
    </row>
    <row r="840" spans="1:14" x14ac:dyDescent="0.25">
      <c r="A840" t="s">
        <v>1091</v>
      </c>
      <c r="B840" t="s">
        <v>63</v>
      </c>
      <c r="C840" t="s">
        <v>1082</v>
      </c>
      <c r="D840" t="s">
        <v>51</v>
      </c>
      <c r="E840" s="8" t="s">
        <v>36</v>
      </c>
      <c r="F840">
        <v>2</v>
      </c>
      <c r="G840" t="s">
        <v>396</v>
      </c>
      <c r="H840" t="str">
        <f>VLOOKUP(Tabla3[[#This Row],[DESCRIPCION MATERIAL]],'CODIGO MAT'!$C$2:$D$390,2,FALSE)</f>
        <v>AVI0000135</v>
      </c>
      <c r="L840" t="e">
        <v>#N/A</v>
      </c>
      <c r="M840" t="s">
        <v>992</v>
      </c>
      <c r="N840" t="e">
        <f>M840&amp;Tabla3[[#This Row],[CODIGO PRODUCTO TERMINADO]]&amp;"','"&amp;L840&amp;"',"&amp;Tabla3[[#This Row],[CANTIDAD MATERIAL (M)]]&amp;");"</f>
        <v>#N/A</v>
      </c>
    </row>
    <row r="841" spans="1:14" x14ac:dyDescent="0.25">
      <c r="A841" t="s">
        <v>1091</v>
      </c>
      <c r="B841" t="s">
        <v>63</v>
      </c>
      <c r="C841" t="s">
        <v>1082</v>
      </c>
      <c r="D841" t="s">
        <v>51</v>
      </c>
      <c r="E841" s="8" t="s">
        <v>1126</v>
      </c>
      <c r="F841">
        <v>2E-3</v>
      </c>
      <c r="G841" t="s">
        <v>396</v>
      </c>
      <c r="H841" t="str">
        <f>VLOOKUP(Tabla3[[#This Row],[DESCRIPCION MATERIAL]],'CODIGO MAT'!$C$2:$D$390,2,FALSE)</f>
        <v>AVI0000151</v>
      </c>
      <c r="L841" t="e">
        <v>#N/A</v>
      </c>
      <c r="M841" t="s">
        <v>992</v>
      </c>
      <c r="N841" t="e">
        <f>M841&amp;Tabla3[[#This Row],[CODIGO PRODUCTO TERMINADO]]&amp;"','"&amp;L841&amp;"',"&amp;Tabla3[[#This Row],[CANTIDAD MATERIAL (M)]]&amp;");"</f>
        <v>#N/A</v>
      </c>
    </row>
    <row r="842" spans="1:14" x14ac:dyDescent="0.25">
      <c r="A842" t="s">
        <v>1092</v>
      </c>
      <c r="B842" t="s">
        <v>63</v>
      </c>
      <c r="C842" t="s">
        <v>1083</v>
      </c>
      <c r="D842" t="s">
        <v>50</v>
      </c>
      <c r="E842" s="8" t="s">
        <v>12</v>
      </c>
      <c r="F842">
        <v>0</v>
      </c>
      <c r="G842" t="s">
        <v>78</v>
      </c>
      <c r="H842" t="str">
        <f>VLOOKUP(Tabla3[[#This Row],[DESCRIPCION MATERIAL]],'CODIGO MAT'!$C$2:$D$390,2,FALSE)</f>
        <v>TEL0000040</v>
      </c>
      <c r="J842">
        <v>1</v>
      </c>
      <c r="K842">
        <v>0</v>
      </c>
      <c r="L842" t="e">
        <v>#N/A</v>
      </c>
      <c r="M842" t="s">
        <v>992</v>
      </c>
      <c r="N842" t="e">
        <f>M842&amp;Tabla3[[#This Row],[CODIGO PRODUCTO TERMINADO]]&amp;"','"&amp;L842&amp;"',"&amp;Tabla3[[#This Row],[CANTIDAD MATERIAL (M)]]&amp;");"</f>
        <v>#N/A</v>
      </c>
    </row>
    <row r="843" spans="1:14" x14ac:dyDescent="0.25">
      <c r="A843" t="s">
        <v>1092</v>
      </c>
      <c r="B843" t="s">
        <v>63</v>
      </c>
      <c r="C843" t="s">
        <v>1083</v>
      </c>
      <c r="D843" t="s">
        <v>50</v>
      </c>
      <c r="E843" s="8" t="s">
        <v>140</v>
      </c>
      <c r="F843">
        <v>9.1999999999999998E-2</v>
      </c>
      <c r="G843" t="s">
        <v>78</v>
      </c>
      <c r="H843" t="str">
        <f>VLOOKUP(Tabla3[[#This Row],[DESCRIPCION MATERIAL]],'CODIGO MAT'!$C$2:$D$390,2,FALSE)</f>
        <v>TEL0000067</v>
      </c>
      <c r="J843">
        <v>1</v>
      </c>
      <c r="K843">
        <v>0</v>
      </c>
      <c r="L843" t="e">
        <v>#N/A</v>
      </c>
      <c r="M843" t="s">
        <v>992</v>
      </c>
      <c r="N843" t="e">
        <f>M843&amp;Tabla3[[#This Row],[CODIGO PRODUCTO TERMINADO]]&amp;"','"&amp;L843&amp;"',"&amp;Tabla3[[#This Row],[CANTIDAD MATERIAL (M)]]&amp;");"</f>
        <v>#N/A</v>
      </c>
    </row>
    <row r="844" spans="1:14" x14ac:dyDescent="0.25">
      <c r="A844" t="s">
        <v>1092</v>
      </c>
      <c r="B844" t="s">
        <v>63</v>
      </c>
      <c r="C844" t="s">
        <v>1083</v>
      </c>
      <c r="D844" t="s">
        <v>50</v>
      </c>
      <c r="E844" s="8" t="s">
        <v>118</v>
      </c>
      <c r="F844">
        <v>6.8699999999999997E-2</v>
      </c>
      <c r="G844" t="s">
        <v>78</v>
      </c>
      <c r="H844" t="str">
        <f>VLOOKUP(Tabla3[[#This Row],[DESCRIPCION MATERIAL]],'CODIGO MAT'!$C$2:$D$390,2,FALSE)</f>
        <v>TEL0000045</v>
      </c>
      <c r="J844">
        <v>1</v>
      </c>
      <c r="K844">
        <v>0</v>
      </c>
      <c r="L844" t="e">
        <v>#N/A</v>
      </c>
      <c r="M844" t="s">
        <v>992</v>
      </c>
      <c r="N844" t="e">
        <f>M844&amp;Tabla3[[#This Row],[CODIGO PRODUCTO TERMINADO]]&amp;"','"&amp;L844&amp;"',"&amp;Tabla3[[#This Row],[CANTIDAD MATERIAL (M)]]&amp;");"</f>
        <v>#N/A</v>
      </c>
    </row>
    <row r="845" spans="1:14" x14ac:dyDescent="0.25">
      <c r="A845" t="s">
        <v>1092</v>
      </c>
      <c r="B845" t="s">
        <v>63</v>
      </c>
      <c r="C845" t="s">
        <v>1083</v>
      </c>
      <c r="D845" t="s">
        <v>51</v>
      </c>
      <c r="E845" s="8" t="s">
        <v>308</v>
      </c>
      <c r="F845">
        <v>1.8700000000000001E-2</v>
      </c>
      <c r="G845" t="s">
        <v>78</v>
      </c>
      <c r="H845" t="str">
        <f>VLOOKUP(Tabla3[[#This Row],[DESCRIPCION MATERIAL]],'CODIGO MAT'!$C$2:$D$390,2,FALSE)</f>
        <v>AVI0000053</v>
      </c>
      <c r="J845">
        <v>1</v>
      </c>
      <c r="K845">
        <v>0</v>
      </c>
      <c r="L845" t="e">
        <v>#N/A</v>
      </c>
      <c r="M845" t="s">
        <v>992</v>
      </c>
      <c r="N845" t="e">
        <f>M845&amp;Tabla3[[#This Row],[CODIGO PRODUCTO TERMINADO]]&amp;"','"&amp;L845&amp;"',"&amp;Tabla3[[#This Row],[CANTIDAD MATERIAL (M)]]&amp;");"</f>
        <v>#N/A</v>
      </c>
    </row>
    <row r="846" spans="1:14" x14ac:dyDescent="0.25">
      <c r="A846" t="s">
        <v>1092</v>
      </c>
      <c r="B846" t="s">
        <v>63</v>
      </c>
      <c r="C846" t="s">
        <v>1083</v>
      </c>
      <c r="D846" t="s">
        <v>51</v>
      </c>
      <c r="E846" s="8" t="s">
        <v>261</v>
      </c>
      <c r="F846">
        <v>1</v>
      </c>
      <c r="G846" t="s">
        <v>396</v>
      </c>
      <c r="H846" t="str">
        <f>VLOOKUP(Tabla3[[#This Row],[DESCRIPCION MATERIAL]],'CODIGO MAT'!$C$2:$D$390,2,FALSE)</f>
        <v>AVI0000002</v>
      </c>
      <c r="J846">
        <v>1</v>
      </c>
      <c r="K846">
        <v>0</v>
      </c>
      <c r="L846" t="e">
        <v>#N/A</v>
      </c>
      <c r="M846" t="s">
        <v>992</v>
      </c>
      <c r="N846" t="e">
        <f>M846&amp;Tabla3[[#This Row],[CODIGO PRODUCTO TERMINADO]]&amp;"','"&amp;L846&amp;"',"&amp;Tabla3[[#This Row],[CANTIDAD MATERIAL (M)]]&amp;");"</f>
        <v>#N/A</v>
      </c>
    </row>
    <row r="847" spans="1:14" x14ac:dyDescent="0.25">
      <c r="A847" t="s">
        <v>1092</v>
      </c>
      <c r="B847" t="s">
        <v>63</v>
      </c>
      <c r="C847" t="s">
        <v>1083</v>
      </c>
      <c r="D847" t="s">
        <v>51</v>
      </c>
      <c r="E847" s="8" t="s">
        <v>35</v>
      </c>
      <c r="F847">
        <v>0.84</v>
      </c>
      <c r="G847" t="s">
        <v>78</v>
      </c>
      <c r="H847" t="str">
        <f>VLOOKUP(Tabla3[[#This Row],[DESCRIPCION MATERIAL]],'CODIGO MAT'!$C$2:$D$390,2,FALSE)</f>
        <v>AVI0000031</v>
      </c>
      <c r="J847">
        <v>1</v>
      </c>
      <c r="K847">
        <v>0.24</v>
      </c>
      <c r="L847" t="e">
        <v>#N/A</v>
      </c>
      <c r="M847" t="s">
        <v>992</v>
      </c>
      <c r="N847" t="e">
        <f>M847&amp;Tabla3[[#This Row],[CODIGO PRODUCTO TERMINADO]]&amp;"','"&amp;L847&amp;"',"&amp;Tabla3[[#This Row],[CANTIDAD MATERIAL (M)]]&amp;");"</f>
        <v>#N/A</v>
      </c>
    </row>
    <row r="848" spans="1:14" x14ac:dyDescent="0.25">
      <c r="A848" t="s">
        <v>1092</v>
      </c>
      <c r="B848" t="s">
        <v>63</v>
      </c>
      <c r="C848" t="s">
        <v>1083</v>
      </c>
      <c r="D848" t="s">
        <v>51</v>
      </c>
      <c r="E848" s="8" t="s">
        <v>996</v>
      </c>
      <c r="F848">
        <v>0.5</v>
      </c>
      <c r="G848" t="s">
        <v>78</v>
      </c>
      <c r="H848" t="str">
        <f>VLOOKUP(Tabla3[[#This Row],[DESCRIPCION MATERIAL]],'CODIGO MAT'!$C$2:$D$390,2,FALSE)</f>
        <v>AVI0000148</v>
      </c>
      <c r="J848">
        <v>1</v>
      </c>
      <c r="K848">
        <v>0</v>
      </c>
      <c r="L848" t="e">
        <v>#N/A</v>
      </c>
      <c r="M848" t="s">
        <v>992</v>
      </c>
      <c r="N848" t="e">
        <f>M848&amp;Tabla3[[#This Row],[CODIGO PRODUCTO TERMINADO]]&amp;"','"&amp;L848&amp;"',"&amp;Tabla3[[#This Row],[CANTIDAD MATERIAL (M)]]&amp;");"</f>
        <v>#N/A</v>
      </c>
    </row>
    <row r="849" spans="1:14" x14ac:dyDescent="0.25">
      <c r="A849" t="s">
        <v>1092</v>
      </c>
      <c r="B849" t="s">
        <v>63</v>
      </c>
      <c r="C849" t="s">
        <v>1083</v>
      </c>
      <c r="D849" t="s">
        <v>51</v>
      </c>
      <c r="E849" s="8" t="s">
        <v>398</v>
      </c>
      <c r="F849">
        <v>9</v>
      </c>
      <c r="G849" t="s">
        <v>396</v>
      </c>
      <c r="H849" t="str">
        <f>VLOOKUP(Tabla3[[#This Row],[DESCRIPCION MATERIAL]],'CODIGO MAT'!$C$2:$D$390,2,FALSE)</f>
        <v>AVI0000132</v>
      </c>
      <c r="L849" t="e">
        <v>#N/A</v>
      </c>
      <c r="M849" t="s">
        <v>992</v>
      </c>
      <c r="N849" t="e">
        <f>M849&amp;Tabla3[[#This Row],[CODIGO PRODUCTO TERMINADO]]&amp;"','"&amp;L849&amp;"',"&amp;Tabla3[[#This Row],[CANTIDAD MATERIAL (M)]]&amp;");"</f>
        <v>#N/A</v>
      </c>
    </row>
    <row r="850" spans="1:14" x14ac:dyDescent="0.25">
      <c r="A850" t="s">
        <v>1092</v>
      </c>
      <c r="B850" t="s">
        <v>63</v>
      </c>
      <c r="C850" t="s">
        <v>1083</v>
      </c>
      <c r="D850" t="s">
        <v>51</v>
      </c>
      <c r="E850" s="8" t="s">
        <v>36</v>
      </c>
      <c r="F850">
        <v>2</v>
      </c>
      <c r="G850" t="s">
        <v>396</v>
      </c>
      <c r="H850" t="str">
        <f>VLOOKUP(Tabla3[[#This Row],[DESCRIPCION MATERIAL]],'CODIGO MAT'!$C$2:$D$390,2,FALSE)</f>
        <v>AVI0000135</v>
      </c>
      <c r="L850" t="e">
        <v>#N/A</v>
      </c>
      <c r="M850" t="s">
        <v>992</v>
      </c>
      <c r="N850" t="e">
        <f>M850&amp;Tabla3[[#This Row],[CODIGO PRODUCTO TERMINADO]]&amp;"','"&amp;L850&amp;"',"&amp;Tabla3[[#This Row],[CANTIDAD MATERIAL (M)]]&amp;");"</f>
        <v>#N/A</v>
      </c>
    </row>
    <row r="851" spans="1:14" x14ac:dyDescent="0.25">
      <c r="A851" t="s">
        <v>1092</v>
      </c>
      <c r="B851" t="s">
        <v>63</v>
      </c>
      <c r="C851" t="s">
        <v>1083</v>
      </c>
      <c r="D851" t="s">
        <v>51</v>
      </c>
      <c r="E851" s="8" t="s">
        <v>1126</v>
      </c>
      <c r="F851">
        <v>2E-3</v>
      </c>
      <c r="G851" t="s">
        <v>396</v>
      </c>
      <c r="H851" t="str">
        <f>VLOOKUP(Tabla3[[#This Row],[DESCRIPCION MATERIAL]],'CODIGO MAT'!$C$2:$D$390,2,FALSE)</f>
        <v>AVI0000151</v>
      </c>
      <c r="L851" t="e">
        <v>#N/A</v>
      </c>
      <c r="M851" t="s">
        <v>992</v>
      </c>
      <c r="N851" t="e">
        <f>M851&amp;Tabla3[[#This Row],[CODIGO PRODUCTO TERMINADO]]&amp;"','"&amp;L851&amp;"',"&amp;Tabla3[[#This Row],[CANTIDAD MATERIAL (M)]]&amp;");"</f>
        <v>#N/A</v>
      </c>
    </row>
    <row r="852" spans="1:14" x14ac:dyDescent="0.25">
      <c r="A852" t="s">
        <v>1093</v>
      </c>
      <c r="B852" t="s">
        <v>63</v>
      </c>
      <c r="C852" t="s">
        <v>1084</v>
      </c>
      <c r="D852" t="s">
        <v>50</v>
      </c>
      <c r="E852" s="8" t="s">
        <v>12</v>
      </c>
      <c r="F852">
        <v>0</v>
      </c>
      <c r="G852" t="s">
        <v>78</v>
      </c>
      <c r="H852" t="str">
        <f>VLOOKUP(Tabla3[[#This Row],[DESCRIPCION MATERIAL]],'CODIGO MAT'!$C$2:$D$390,2,FALSE)</f>
        <v>TEL0000040</v>
      </c>
      <c r="J852">
        <v>1</v>
      </c>
      <c r="K852">
        <v>0</v>
      </c>
      <c r="L852" t="e">
        <v>#N/A</v>
      </c>
      <c r="M852" t="s">
        <v>992</v>
      </c>
      <c r="N852" t="e">
        <f>M852&amp;Tabla3[[#This Row],[CODIGO PRODUCTO TERMINADO]]&amp;"','"&amp;L852&amp;"',"&amp;Tabla3[[#This Row],[CANTIDAD MATERIAL (M)]]&amp;");"</f>
        <v>#N/A</v>
      </c>
    </row>
    <row r="853" spans="1:14" x14ac:dyDescent="0.25">
      <c r="A853" t="s">
        <v>1093</v>
      </c>
      <c r="B853" t="s">
        <v>63</v>
      </c>
      <c r="C853" t="s">
        <v>1084</v>
      </c>
      <c r="D853" t="s">
        <v>50</v>
      </c>
      <c r="E853" s="8" t="s">
        <v>140</v>
      </c>
      <c r="F853">
        <v>9.1999999999999998E-2</v>
      </c>
      <c r="G853" t="s">
        <v>78</v>
      </c>
      <c r="H853" t="str">
        <f>VLOOKUP(Tabla3[[#This Row],[DESCRIPCION MATERIAL]],'CODIGO MAT'!$C$2:$D$390,2,FALSE)</f>
        <v>TEL0000067</v>
      </c>
      <c r="J853">
        <v>1</v>
      </c>
      <c r="K853">
        <v>0</v>
      </c>
      <c r="L853" t="e">
        <v>#N/A</v>
      </c>
      <c r="M853" t="s">
        <v>992</v>
      </c>
      <c r="N853" t="e">
        <f>M853&amp;Tabla3[[#This Row],[CODIGO PRODUCTO TERMINADO]]&amp;"','"&amp;L853&amp;"',"&amp;Tabla3[[#This Row],[CANTIDAD MATERIAL (M)]]&amp;");"</f>
        <v>#N/A</v>
      </c>
    </row>
    <row r="854" spans="1:14" x14ac:dyDescent="0.25">
      <c r="A854" t="s">
        <v>1093</v>
      </c>
      <c r="B854" t="s">
        <v>63</v>
      </c>
      <c r="C854" t="s">
        <v>1084</v>
      </c>
      <c r="D854" t="s">
        <v>50</v>
      </c>
      <c r="E854" s="8" t="s">
        <v>118</v>
      </c>
      <c r="F854">
        <v>6.8699999999999997E-2</v>
      </c>
      <c r="G854" t="s">
        <v>78</v>
      </c>
      <c r="H854" t="str">
        <f>VLOOKUP(Tabla3[[#This Row],[DESCRIPCION MATERIAL]],'CODIGO MAT'!$C$2:$D$390,2,FALSE)</f>
        <v>TEL0000045</v>
      </c>
      <c r="J854">
        <v>1</v>
      </c>
      <c r="K854">
        <v>0</v>
      </c>
      <c r="L854" t="e">
        <v>#N/A</v>
      </c>
      <c r="M854" t="s">
        <v>992</v>
      </c>
      <c r="N854" t="e">
        <f>M854&amp;Tabla3[[#This Row],[CODIGO PRODUCTO TERMINADO]]&amp;"','"&amp;L854&amp;"',"&amp;Tabla3[[#This Row],[CANTIDAD MATERIAL (M)]]&amp;");"</f>
        <v>#N/A</v>
      </c>
    </row>
    <row r="855" spans="1:14" x14ac:dyDescent="0.25">
      <c r="A855" t="s">
        <v>1093</v>
      </c>
      <c r="B855" t="s">
        <v>63</v>
      </c>
      <c r="C855" t="s">
        <v>1084</v>
      </c>
      <c r="D855" t="s">
        <v>51</v>
      </c>
      <c r="E855" s="8" t="s">
        <v>308</v>
      </c>
      <c r="F855">
        <v>1.8700000000000001E-2</v>
      </c>
      <c r="G855" t="s">
        <v>78</v>
      </c>
      <c r="H855" t="str">
        <f>VLOOKUP(Tabla3[[#This Row],[DESCRIPCION MATERIAL]],'CODIGO MAT'!$C$2:$D$390,2,FALSE)</f>
        <v>AVI0000053</v>
      </c>
      <c r="J855">
        <v>1</v>
      </c>
      <c r="K855">
        <v>0</v>
      </c>
      <c r="L855" t="e">
        <v>#N/A</v>
      </c>
      <c r="M855" t="s">
        <v>992</v>
      </c>
      <c r="N855" t="e">
        <f>M855&amp;Tabla3[[#This Row],[CODIGO PRODUCTO TERMINADO]]&amp;"','"&amp;L855&amp;"',"&amp;Tabla3[[#This Row],[CANTIDAD MATERIAL (M)]]&amp;");"</f>
        <v>#N/A</v>
      </c>
    </row>
    <row r="856" spans="1:14" x14ac:dyDescent="0.25">
      <c r="A856" t="s">
        <v>1093</v>
      </c>
      <c r="B856" t="s">
        <v>63</v>
      </c>
      <c r="C856" t="s">
        <v>1084</v>
      </c>
      <c r="D856" t="s">
        <v>51</v>
      </c>
      <c r="E856" s="8" t="s">
        <v>261</v>
      </c>
      <c r="F856">
        <v>1</v>
      </c>
      <c r="G856" t="s">
        <v>396</v>
      </c>
      <c r="H856" t="str">
        <f>VLOOKUP(Tabla3[[#This Row],[DESCRIPCION MATERIAL]],'CODIGO MAT'!$C$2:$D$390,2,FALSE)</f>
        <v>AVI0000002</v>
      </c>
      <c r="J856">
        <v>1</v>
      </c>
      <c r="K856">
        <v>0</v>
      </c>
      <c r="L856" t="e">
        <v>#N/A</v>
      </c>
      <c r="M856" t="s">
        <v>992</v>
      </c>
      <c r="N856" t="e">
        <f>M856&amp;Tabla3[[#This Row],[CODIGO PRODUCTO TERMINADO]]&amp;"','"&amp;L856&amp;"',"&amp;Tabla3[[#This Row],[CANTIDAD MATERIAL (M)]]&amp;");"</f>
        <v>#N/A</v>
      </c>
    </row>
    <row r="857" spans="1:14" x14ac:dyDescent="0.25">
      <c r="A857" t="s">
        <v>1093</v>
      </c>
      <c r="B857" t="s">
        <v>63</v>
      </c>
      <c r="C857" t="s">
        <v>1084</v>
      </c>
      <c r="D857" t="s">
        <v>51</v>
      </c>
      <c r="E857" s="8" t="s">
        <v>35</v>
      </c>
      <c r="F857">
        <v>0.84</v>
      </c>
      <c r="G857" t="s">
        <v>78</v>
      </c>
      <c r="H857" t="str">
        <f>VLOOKUP(Tabla3[[#This Row],[DESCRIPCION MATERIAL]],'CODIGO MAT'!$C$2:$D$390,2,FALSE)</f>
        <v>AVI0000031</v>
      </c>
      <c r="J857">
        <v>1</v>
      </c>
      <c r="K857">
        <v>0.24</v>
      </c>
      <c r="L857" t="e">
        <v>#N/A</v>
      </c>
      <c r="M857" t="s">
        <v>992</v>
      </c>
      <c r="N857" t="e">
        <f>M857&amp;Tabla3[[#This Row],[CODIGO PRODUCTO TERMINADO]]&amp;"','"&amp;L857&amp;"',"&amp;Tabla3[[#This Row],[CANTIDAD MATERIAL (M)]]&amp;");"</f>
        <v>#N/A</v>
      </c>
    </row>
    <row r="858" spans="1:14" x14ac:dyDescent="0.25">
      <c r="A858" t="s">
        <v>1093</v>
      </c>
      <c r="B858" t="s">
        <v>63</v>
      </c>
      <c r="C858" t="s">
        <v>1084</v>
      </c>
      <c r="D858" t="s">
        <v>51</v>
      </c>
      <c r="E858" s="8" t="s">
        <v>996</v>
      </c>
      <c r="F858">
        <v>0.5</v>
      </c>
      <c r="G858" t="s">
        <v>78</v>
      </c>
      <c r="H858" t="str">
        <f>VLOOKUP(Tabla3[[#This Row],[DESCRIPCION MATERIAL]],'CODIGO MAT'!$C$2:$D$390,2,FALSE)</f>
        <v>AVI0000148</v>
      </c>
      <c r="J858">
        <v>1</v>
      </c>
      <c r="K858">
        <v>0</v>
      </c>
      <c r="L858" t="e">
        <v>#N/A</v>
      </c>
      <c r="M858" t="s">
        <v>992</v>
      </c>
      <c r="N858" t="e">
        <f>M858&amp;Tabla3[[#This Row],[CODIGO PRODUCTO TERMINADO]]&amp;"','"&amp;L858&amp;"',"&amp;Tabla3[[#This Row],[CANTIDAD MATERIAL (M)]]&amp;");"</f>
        <v>#N/A</v>
      </c>
    </row>
    <row r="859" spans="1:14" x14ac:dyDescent="0.25">
      <c r="A859" t="s">
        <v>1093</v>
      </c>
      <c r="B859" t="s">
        <v>63</v>
      </c>
      <c r="C859" t="s">
        <v>1084</v>
      </c>
      <c r="D859" t="s">
        <v>51</v>
      </c>
      <c r="E859" s="8" t="s">
        <v>398</v>
      </c>
      <c r="F859">
        <v>11</v>
      </c>
      <c r="G859" t="s">
        <v>396</v>
      </c>
      <c r="H859" t="str">
        <f>VLOOKUP(Tabla3[[#This Row],[DESCRIPCION MATERIAL]],'CODIGO MAT'!$C$2:$D$390,2,FALSE)</f>
        <v>AVI0000132</v>
      </c>
      <c r="L859" t="e">
        <v>#N/A</v>
      </c>
      <c r="M859" t="s">
        <v>992</v>
      </c>
      <c r="N859" t="e">
        <f>M859&amp;Tabla3[[#This Row],[CODIGO PRODUCTO TERMINADO]]&amp;"','"&amp;L859&amp;"',"&amp;Tabla3[[#This Row],[CANTIDAD MATERIAL (M)]]&amp;");"</f>
        <v>#N/A</v>
      </c>
    </row>
    <row r="860" spans="1:14" x14ac:dyDescent="0.25">
      <c r="A860" t="s">
        <v>1093</v>
      </c>
      <c r="B860" t="s">
        <v>63</v>
      </c>
      <c r="C860" t="s">
        <v>1084</v>
      </c>
      <c r="D860" t="s">
        <v>51</v>
      </c>
      <c r="E860" s="8" t="s">
        <v>36</v>
      </c>
      <c r="F860">
        <v>2</v>
      </c>
      <c r="G860" t="s">
        <v>396</v>
      </c>
      <c r="H860" t="str">
        <f>VLOOKUP(Tabla3[[#This Row],[DESCRIPCION MATERIAL]],'CODIGO MAT'!$C$2:$D$390,2,FALSE)</f>
        <v>AVI0000135</v>
      </c>
      <c r="L860" t="e">
        <v>#N/A</v>
      </c>
      <c r="M860" t="s">
        <v>992</v>
      </c>
      <c r="N860" t="e">
        <f>M860&amp;Tabla3[[#This Row],[CODIGO PRODUCTO TERMINADO]]&amp;"','"&amp;L860&amp;"',"&amp;Tabla3[[#This Row],[CANTIDAD MATERIAL (M)]]&amp;");"</f>
        <v>#N/A</v>
      </c>
    </row>
    <row r="861" spans="1:14" x14ac:dyDescent="0.25">
      <c r="A861" t="s">
        <v>1093</v>
      </c>
      <c r="B861" t="s">
        <v>63</v>
      </c>
      <c r="C861" t="s">
        <v>1084</v>
      </c>
      <c r="D861" t="s">
        <v>51</v>
      </c>
      <c r="E861" s="8" t="s">
        <v>1126</v>
      </c>
      <c r="F861">
        <v>2E-3</v>
      </c>
      <c r="G861" t="s">
        <v>396</v>
      </c>
      <c r="H861" t="str">
        <f>VLOOKUP(Tabla3[[#This Row],[DESCRIPCION MATERIAL]],'CODIGO MAT'!$C$2:$D$390,2,FALSE)</f>
        <v>AVI0000151</v>
      </c>
      <c r="L861" t="e">
        <v>#N/A</v>
      </c>
      <c r="M861" t="s">
        <v>992</v>
      </c>
      <c r="N861" t="e">
        <f>M861&amp;Tabla3[[#This Row],[CODIGO PRODUCTO TERMINADO]]&amp;"','"&amp;L861&amp;"',"&amp;Tabla3[[#This Row],[CANTIDAD MATERIAL (M)]]&amp;");"</f>
        <v>#N/A</v>
      </c>
    </row>
    <row r="862" spans="1:14" x14ac:dyDescent="0.25">
      <c r="A862" t="s">
        <v>1094</v>
      </c>
      <c r="B862" t="s">
        <v>63</v>
      </c>
      <c r="C862" t="s">
        <v>1095</v>
      </c>
      <c r="D862" t="s">
        <v>50</v>
      </c>
      <c r="E862" s="8" t="s">
        <v>129</v>
      </c>
      <c r="F862">
        <v>0.78</v>
      </c>
      <c r="G862" t="s">
        <v>78</v>
      </c>
      <c r="H862" t="str">
        <f>VLOOKUP(Tabla3[[#This Row],[DESCRIPCION MATERIAL]],'CODIGO MAT'!$C$2:$D$390,2,FALSE)</f>
        <v>TEL0000056</v>
      </c>
      <c r="J862">
        <v>1</v>
      </c>
      <c r="K862">
        <v>0</v>
      </c>
      <c r="L862" t="e">
        <v>#N/A</v>
      </c>
      <c r="M862" t="s">
        <v>992</v>
      </c>
      <c r="N862" t="e">
        <f>M862&amp;Tabla3[[#This Row],[CODIGO PRODUCTO TERMINADO]]&amp;"','"&amp;L862&amp;"',"&amp;Tabla3[[#This Row],[CANTIDAD MATERIAL (M)]]&amp;");"</f>
        <v>#N/A</v>
      </c>
    </row>
    <row r="863" spans="1:14" x14ac:dyDescent="0.25">
      <c r="A863" t="s">
        <v>1094</v>
      </c>
      <c r="B863" t="s">
        <v>63</v>
      </c>
      <c r="C863" t="s">
        <v>1095</v>
      </c>
      <c r="D863" t="s">
        <v>51</v>
      </c>
      <c r="E863" s="8" t="s">
        <v>996</v>
      </c>
      <c r="F863">
        <v>0.5</v>
      </c>
      <c r="G863" t="s">
        <v>78</v>
      </c>
      <c r="H863" t="str">
        <f>VLOOKUP(Tabla3[[#This Row],[DESCRIPCION MATERIAL]],'CODIGO MAT'!$C$2:$D$390,2,FALSE)</f>
        <v>AVI0000148</v>
      </c>
      <c r="J863">
        <v>1</v>
      </c>
      <c r="K863">
        <v>0</v>
      </c>
      <c r="L863" t="e">
        <v>#N/A</v>
      </c>
      <c r="M863" t="s">
        <v>992</v>
      </c>
      <c r="N863" t="e">
        <f>M863&amp;Tabla3[[#This Row],[CODIGO PRODUCTO TERMINADO]]&amp;"','"&amp;L863&amp;"',"&amp;Tabla3[[#This Row],[CANTIDAD MATERIAL (M)]]&amp;");"</f>
        <v>#N/A</v>
      </c>
    </row>
    <row r="864" spans="1:14" x14ac:dyDescent="0.25">
      <c r="A864" t="s">
        <v>1094</v>
      </c>
      <c r="B864" t="s">
        <v>63</v>
      </c>
      <c r="C864" t="s">
        <v>1095</v>
      </c>
      <c r="D864" t="s">
        <v>51</v>
      </c>
      <c r="E864" s="8" t="s">
        <v>1097</v>
      </c>
      <c r="F864">
        <v>0.36</v>
      </c>
      <c r="G864" t="s">
        <v>78</v>
      </c>
      <c r="H864" t="str">
        <f>VLOOKUP(Tabla3[[#This Row],[DESCRIPCION MATERIAL]],'CODIGO MAT'!$C$2:$D$390,2,FALSE)</f>
        <v>AVI0000152</v>
      </c>
      <c r="J864">
        <v>1</v>
      </c>
      <c r="K864">
        <v>0</v>
      </c>
      <c r="L864" t="e">
        <v>#N/A</v>
      </c>
      <c r="M864" t="s">
        <v>992</v>
      </c>
      <c r="N864" t="e">
        <f>M864&amp;Tabla3[[#This Row],[CODIGO PRODUCTO TERMINADO]]&amp;"','"&amp;L864&amp;"',"&amp;Tabla3[[#This Row],[CANTIDAD MATERIAL (M)]]&amp;");"</f>
        <v>#N/A</v>
      </c>
    </row>
    <row r="865" spans="1:14" x14ac:dyDescent="0.25">
      <c r="A865" t="s">
        <v>1094</v>
      </c>
      <c r="B865" t="s">
        <v>63</v>
      </c>
      <c r="C865" t="s">
        <v>1095</v>
      </c>
      <c r="D865" t="s">
        <v>51</v>
      </c>
      <c r="E865" s="8" t="s">
        <v>397</v>
      </c>
      <c r="F865">
        <v>3</v>
      </c>
      <c r="G865" t="s">
        <v>396</v>
      </c>
      <c r="H865" t="str">
        <f>VLOOKUP(Tabla3[[#This Row],[DESCRIPCION MATERIAL]],'CODIGO MAT'!$C$2:$D$390,2,FALSE)</f>
        <v>AVI0000131</v>
      </c>
      <c r="L865" t="e">
        <v>#N/A</v>
      </c>
      <c r="M865" t="s">
        <v>992</v>
      </c>
      <c r="N865" t="e">
        <f>M865&amp;Tabla3[[#This Row],[CODIGO PRODUCTO TERMINADO]]&amp;"','"&amp;L865&amp;"',"&amp;Tabla3[[#This Row],[CANTIDAD MATERIAL (M)]]&amp;");"</f>
        <v>#N/A</v>
      </c>
    </row>
    <row r="866" spans="1:14" x14ac:dyDescent="0.25">
      <c r="A866" t="s">
        <v>1106</v>
      </c>
      <c r="B866" t="s">
        <v>63</v>
      </c>
      <c r="C866" t="s">
        <v>1098</v>
      </c>
      <c r="D866" t="s">
        <v>50</v>
      </c>
      <c r="E866" s="8" t="s">
        <v>129</v>
      </c>
      <c r="F866">
        <v>0.92</v>
      </c>
      <c r="G866" t="s">
        <v>78</v>
      </c>
      <c r="H866" t="str">
        <f>VLOOKUP(Tabla3[[#This Row],[DESCRIPCION MATERIAL]],'CODIGO MAT'!$C$2:$D$390,2,FALSE)</f>
        <v>TEL0000056</v>
      </c>
      <c r="J866">
        <v>1</v>
      </c>
      <c r="K866">
        <v>0</v>
      </c>
      <c r="L866" t="e">
        <v>#N/A</v>
      </c>
      <c r="M866" t="s">
        <v>992</v>
      </c>
      <c r="N866" t="e">
        <f>M866&amp;Tabla3[[#This Row],[CODIGO PRODUCTO TERMINADO]]&amp;"','"&amp;L866&amp;"',"&amp;Tabla3[[#This Row],[CANTIDAD MATERIAL (M)]]&amp;");"</f>
        <v>#N/A</v>
      </c>
    </row>
    <row r="867" spans="1:14" x14ac:dyDescent="0.25">
      <c r="A867" t="s">
        <v>1106</v>
      </c>
      <c r="B867" t="s">
        <v>63</v>
      </c>
      <c r="C867" t="s">
        <v>1098</v>
      </c>
      <c r="D867" t="s">
        <v>51</v>
      </c>
      <c r="E867" s="8" t="s">
        <v>996</v>
      </c>
      <c r="F867">
        <v>0.5</v>
      </c>
      <c r="G867" t="s">
        <v>78</v>
      </c>
      <c r="H867" t="str">
        <f>VLOOKUP(Tabla3[[#This Row],[DESCRIPCION MATERIAL]],'CODIGO MAT'!$C$2:$D$390,2,FALSE)</f>
        <v>AVI0000148</v>
      </c>
      <c r="J867">
        <v>1</v>
      </c>
      <c r="K867">
        <v>0</v>
      </c>
      <c r="L867" t="e">
        <v>#N/A</v>
      </c>
      <c r="M867" t="s">
        <v>992</v>
      </c>
      <c r="N867" t="e">
        <f>M867&amp;Tabla3[[#This Row],[CODIGO PRODUCTO TERMINADO]]&amp;"','"&amp;L867&amp;"',"&amp;Tabla3[[#This Row],[CANTIDAD MATERIAL (M)]]&amp;");"</f>
        <v>#N/A</v>
      </c>
    </row>
    <row r="868" spans="1:14" x14ac:dyDescent="0.25">
      <c r="A868" t="s">
        <v>1106</v>
      </c>
      <c r="B868" t="s">
        <v>63</v>
      </c>
      <c r="C868" t="s">
        <v>1098</v>
      </c>
      <c r="D868" t="s">
        <v>51</v>
      </c>
      <c r="E868" s="8" t="s">
        <v>1097</v>
      </c>
      <c r="F868">
        <v>0.36</v>
      </c>
      <c r="G868" t="s">
        <v>78</v>
      </c>
      <c r="H868" t="str">
        <f>VLOOKUP(Tabla3[[#This Row],[DESCRIPCION MATERIAL]],'CODIGO MAT'!$C$2:$D$390,2,FALSE)</f>
        <v>AVI0000152</v>
      </c>
      <c r="J868">
        <v>1</v>
      </c>
      <c r="K868">
        <v>0</v>
      </c>
      <c r="L868" t="e">
        <v>#N/A</v>
      </c>
      <c r="M868" t="s">
        <v>992</v>
      </c>
      <c r="N868" t="e">
        <f>M868&amp;Tabla3[[#This Row],[CODIGO PRODUCTO TERMINADO]]&amp;"','"&amp;L868&amp;"',"&amp;Tabla3[[#This Row],[CANTIDAD MATERIAL (M)]]&amp;");"</f>
        <v>#N/A</v>
      </c>
    </row>
    <row r="869" spans="1:14" x14ac:dyDescent="0.25">
      <c r="A869" t="s">
        <v>1106</v>
      </c>
      <c r="B869" t="s">
        <v>63</v>
      </c>
      <c r="C869" t="s">
        <v>1098</v>
      </c>
      <c r="D869" t="s">
        <v>51</v>
      </c>
      <c r="E869" s="8" t="s">
        <v>397</v>
      </c>
      <c r="F869">
        <v>3</v>
      </c>
      <c r="G869" t="s">
        <v>396</v>
      </c>
      <c r="H869" t="str">
        <f>VLOOKUP(Tabla3[[#This Row],[DESCRIPCION MATERIAL]],'CODIGO MAT'!$C$2:$D$390,2,FALSE)</f>
        <v>AVI0000131</v>
      </c>
      <c r="L869" t="e">
        <v>#N/A</v>
      </c>
      <c r="M869" t="s">
        <v>992</v>
      </c>
      <c r="N869" t="e">
        <f>M869&amp;Tabla3[[#This Row],[CODIGO PRODUCTO TERMINADO]]&amp;"','"&amp;L869&amp;"',"&amp;Tabla3[[#This Row],[CANTIDAD MATERIAL (M)]]&amp;");"</f>
        <v>#N/A</v>
      </c>
    </row>
    <row r="870" spans="1:14" x14ac:dyDescent="0.25">
      <c r="A870" t="s">
        <v>1107</v>
      </c>
      <c r="B870" t="s">
        <v>63</v>
      </c>
      <c r="C870" t="s">
        <v>1099</v>
      </c>
      <c r="D870" t="s">
        <v>50</v>
      </c>
      <c r="E870" s="8" t="s">
        <v>129</v>
      </c>
      <c r="F870">
        <v>1.03</v>
      </c>
      <c r="G870" t="s">
        <v>78</v>
      </c>
      <c r="H870" t="str">
        <f>VLOOKUP(Tabla3[[#This Row],[DESCRIPCION MATERIAL]],'CODIGO MAT'!$C$2:$D$390,2,FALSE)</f>
        <v>TEL0000056</v>
      </c>
      <c r="J870">
        <v>1</v>
      </c>
      <c r="K870">
        <v>0</v>
      </c>
      <c r="L870" t="e">
        <v>#N/A</v>
      </c>
      <c r="M870" t="s">
        <v>992</v>
      </c>
      <c r="N870" t="e">
        <f>M870&amp;Tabla3[[#This Row],[CODIGO PRODUCTO TERMINADO]]&amp;"','"&amp;L870&amp;"',"&amp;Tabla3[[#This Row],[CANTIDAD MATERIAL (M)]]&amp;");"</f>
        <v>#N/A</v>
      </c>
    </row>
    <row r="871" spans="1:14" x14ac:dyDescent="0.25">
      <c r="A871" t="s">
        <v>1107</v>
      </c>
      <c r="B871" t="s">
        <v>63</v>
      </c>
      <c r="C871" t="s">
        <v>1099</v>
      </c>
      <c r="D871" t="s">
        <v>51</v>
      </c>
      <c r="E871" s="8" t="s">
        <v>996</v>
      </c>
      <c r="F871">
        <v>0.5</v>
      </c>
      <c r="G871" t="s">
        <v>78</v>
      </c>
      <c r="H871" t="str">
        <f>VLOOKUP(Tabla3[[#This Row],[DESCRIPCION MATERIAL]],'CODIGO MAT'!$C$2:$D$390,2,FALSE)</f>
        <v>AVI0000148</v>
      </c>
      <c r="J871">
        <v>1</v>
      </c>
      <c r="K871">
        <v>0</v>
      </c>
      <c r="L871" t="e">
        <v>#N/A</v>
      </c>
      <c r="M871" t="s">
        <v>992</v>
      </c>
      <c r="N871" t="e">
        <f>M871&amp;Tabla3[[#This Row],[CODIGO PRODUCTO TERMINADO]]&amp;"','"&amp;L871&amp;"',"&amp;Tabla3[[#This Row],[CANTIDAD MATERIAL (M)]]&amp;");"</f>
        <v>#N/A</v>
      </c>
    </row>
    <row r="872" spans="1:14" x14ac:dyDescent="0.25">
      <c r="A872" t="s">
        <v>1107</v>
      </c>
      <c r="B872" t="s">
        <v>63</v>
      </c>
      <c r="C872" t="s">
        <v>1099</v>
      </c>
      <c r="D872" t="s">
        <v>51</v>
      </c>
      <c r="E872" s="8" t="s">
        <v>1097</v>
      </c>
      <c r="F872">
        <v>0.36</v>
      </c>
      <c r="G872" t="s">
        <v>78</v>
      </c>
      <c r="H872" t="str">
        <f>VLOOKUP(Tabla3[[#This Row],[DESCRIPCION MATERIAL]],'CODIGO MAT'!$C$2:$D$390,2,FALSE)</f>
        <v>AVI0000152</v>
      </c>
      <c r="J872">
        <v>1</v>
      </c>
      <c r="K872">
        <v>0</v>
      </c>
      <c r="L872" t="e">
        <v>#N/A</v>
      </c>
      <c r="M872" t="s">
        <v>992</v>
      </c>
      <c r="N872" t="e">
        <f>M872&amp;Tabla3[[#This Row],[CODIGO PRODUCTO TERMINADO]]&amp;"','"&amp;L872&amp;"',"&amp;Tabla3[[#This Row],[CANTIDAD MATERIAL (M)]]&amp;");"</f>
        <v>#N/A</v>
      </c>
    </row>
    <row r="873" spans="1:14" x14ac:dyDescent="0.25">
      <c r="A873" t="s">
        <v>1107</v>
      </c>
      <c r="B873" t="s">
        <v>63</v>
      </c>
      <c r="C873" t="s">
        <v>1099</v>
      </c>
      <c r="D873" t="s">
        <v>51</v>
      </c>
      <c r="E873" s="8" t="s">
        <v>397</v>
      </c>
      <c r="F873">
        <v>3</v>
      </c>
      <c r="G873" t="s">
        <v>396</v>
      </c>
      <c r="H873" t="str">
        <f>VLOOKUP(Tabla3[[#This Row],[DESCRIPCION MATERIAL]],'CODIGO MAT'!$C$2:$D$390,2,FALSE)</f>
        <v>AVI0000131</v>
      </c>
      <c r="L873" t="e">
        <v>#N/A</v>
      </c>
      <c r="M873" t="s">
        <v>992</v>
      </c>
      <c r="N873" t="e">
        <f>M873&amp;Tabla3[[#This Row],[CODIGO PRODUCTO TERMINADO]]&amp;"','"&amp;L873&amp;"',"&amp;Tabla3[[#This Row],[CANTIDAD MATERIAL (M)]]&amp;");"</f>
        <v>#N/A</v>
      </c>
    </row>
    <row r="874" spans="1:14" x14ac:dyDescent="0.25">
      <c r="A874" t="s">
        <v>1108</v>
      </c>
      <c r="B874" t="s">
        <v>63</v>
      </c>
      <c r="C874" t="s">
        <v>1100</v>
      </c>
      <c r="D874" t="s">
        <v>50</v>
      </c>
      <c r="E874" s="8" t="s">
        <v>129</v>
      </c>
      <c r="F874">
        <v>1.1499999999999999</v>
      </c>
      <c r="G874" t="s">
        <v>78</v>
      </c>
      <c r="H874" t="str">
        <f>VLOOKUP(Tabla3[[#This Row],[DESCRIPCION MATERIAL]],'CODIGO MAT'!$C$2:$D$390,2,FALSE)</f>
        <v>TEL0000056</v>
      </c>
      <c r="J874">
        <v>1</v>
      </c>
      <c r="K874">
        <v>0</v>
      </c>
      <c r="L874" t="e">
        <v>#N/A</v>
      </c>
      <c r="M874" t="s">
        <v>992</v>
      </c>
      <c r="N874" t="e">
        <f>M874&amp;Tabla3[[#This Row],[CODIGO PRODUCTO TERMINADO]]&amp;"','"&amp;L874&amp;"',"&amp;Tabla3[[#This Row],[CANTIDAD MATERIAL (M)]]&amp;");"</f>
        <v>#N/A</v>
      </c>
    </row>
    <row r="875" spans="1:14" x14ac:dyDescent="0.25">
      <c r="A875" t="s">
        <v>1108</v>
      </c>
      <c r="B875" t="s">
        <v>63</v>
      </c>
      <c r="C875" t="s">
        <v>1100</v>
      </c>
      <c r="D875" t="s">
        <v>51</v>
      </c>
      <c r="E875" s="8" t="s">
        <v>996</v>
      </c>
      <c r="F875">
        <v>0.5</v>
      </c>
      <c r="G875" t="s">
        <v>78</v>
      </c>
      <c r="H875" t="str">
        <f>VLOOKUP(Tabla3[[#This Row],[DESCRIPCION MATERIAL]],'CODIGO MAT'!$C$2:$D$390,2,FALSE)</f>
        <v>AVI0000148</v>
      </c>
      <c r="J875">
        <v>1</v>
      </c>
      <c r="K875">
        <v>0</v>
      </c>
      <c r="L875" t="e">
        <v>#N/A</v>
      </c>
      <c r="M875" t="s">
        <v>992</v>
      </c>
      <c r="N875" t="e">
        <f>M875&amp;Tabla3[[#This Row],[CODIGO PRODUCTO TERMINADO]]&amp;"','"&amp;L875&amp;"',"&amp;Tabla3[[#This Row],[CANTIDAD MATERIAL (M)]]&amp;");"</f>
        <v>#N/A</v>
      </c>
    </row>
    <row r="876" spans="1:14" x14ac:dyDescent="0.25">
      <c r="A876" t="s">
        <v>1108</v>
      </c>
      <c r="B876" t="s">
        <v>63</v>
      </c>
      <c r="C876" t="s">
        <v>1100</v>
      </c>
      <c r="D876" t="s">
        <v>51</v>
      </c>
      <c r="E876" s="8" t="s">
        <v>1097</v>
      </c>
      <c r="F876">
        <v>0.36</v>
      </c>
      <c r="G876" t="s">
        <v>78</v>
      </c>
      <c r="H876" t="str">
        <f>VLOOKUP(Tabla3[[#This Row],[DESCRIPCION MATERIAL]],'CODIGO MAT'!$C$2:$D$390,2,FALSE)</f>
        <v>AVI0000152</v>
      </c>
      <c r="J876">
        <v>1</v>
      </c>
      <c r="K876">
        <v>0</v>
      </c>
      <c r="L876" t="e">
        <v>#N/A</v>
      </c>
      <c r="M876" t="s">
        <v>992</v>
      </c>
      <c r="N876" t="e">
        <f>M876&amp;Tabla3[[#This Row],[CODIGO PRODUCTO TERMINADO]]&amp;"','"&amp;L876&amp;"',"&amp;Tabla3[[#This Row],[CANTIDAD MATERIAL (M)]]&amp;");"</f>
        <v>#N/A</v>
      </c>
    </row>
    <row r="877" spans="1:14" x14ac:dyDescent="0.25">
      <c r="A877" t="s">
        <v>1108</v>
      </c>
      <c r="B877" t="s">
        <v>63</v>
      </c>
      <c r="C877" t="s">
        <v>1100</v>
      </c>
      <c r="D877" t="s">
        <v>51</v>
      </c>
      <c r="E877" s="8" t="s">
        <v>397</v>
      </c>
      <c r="F877">
        <v>4</v>
      </c>
      <c r="G877" t="s">
        <v>396</v>
      </c>
      <c r="H877" t="str">
        <f>VLOOKUP(Tabla3[[#This Row],[DESCRIPCION MATERIAL]],'CODIGO MAT'!$C$2:$D$390,2,FALSE)</f>
        <v>AVI0000131</v>
      </c>
      <c r="L877" t="e">
        <v>#N/A</v>
      </c>
      <c r="M877" t="s">
        <v>992</v>
      </c>
      <c r="N877" t="e">
        <f>M877&amp;Tabla3[[#This Row],[CODIGO PRODUCTO TERMINADO]]&amp;"','"&amp;L877&amp;"',"&amp;Tabla3[[#This Row],[CANTIDAD MATERIAL (M)]]&amp;");"</f>
        <v>#N/A</v>
      </c>
    </row>
    <row r="878" spans="1:14" x14ac:dyDescent="0.25">
      <c r="A878" t="s">
        <v>1109</v>
      </c>
      <c r="B878" t="s">
        <v>63</v>
      </c>
      <c r="C878" t="s">
        <v>1101</v>
      </c>
      <c r="D878" t="s">
        <v>50</v>
      </c>
      <c r="E878" s="8" t="s">
        <v>129</v>
      </c>
      <c r="F878">
        <v>1.32</v>
      </c>
      <c r="G878" t="s">
        <v>78</v>
      </c>
      <c r="H878" t="str">
        <f>VLOOKUP(Tabla3[[#This Row],[DESCRIPCION MATERIAL]],'CODIGO MAT'!$C$2:$D$390,2,FALSE)</f>
        <v>TEL0000056</v>
      </c>
      <c r="J878">
        <v>1</v>
      </c>
      <c r="K878">
        <v>0</v>
      </c>
      <c r="L878" t="e">
        <v>#N/A</v>
      </c>
      <c r="M878" t="s">
        <v>992</v>
      </c>
      <c r="N878" t="e">
        <f>M878&amp;Tabla3[[#This Row],[CODIGO PRODUCTO TERMINADO]]&amp;"','"&amp;L878&amp;"',"&amp;Tabla3[[#This Row],[CANTIDAD MATERIAL (M)]]&amp;");"</f>
        <v>#N/A</v>
      </c>
    </row>
    <row r="879" spans="1:14" x14ac:dyDescent="0.25">
      <c r="A879" t="s">
        <v>1109</v>
      </c>
      <c r="B879" t="s">
        <v>63</v>
      </c>
      <c r="C879" t="s">
        <v>1101</v>
      </c>
      <c r="D879" t="s">
        <v>51</v>
      </c>
      <c r="E879" s="8" t="s">
        <v>996</v>
      </c>
      <c r="F879">
        <v>0.5</v>
      </c>
      <c r="G879" t="s">
        <v>78</v>
      </c>
      <c r="H879" t="str">
        <f>VLOOKUP(Tabla3[[#This Row],[DESCRIPCION MATERIAL]],'CODIGO MAT'!$C$2:$D$390,2,FALSE)</f>
        <v>AVI0000148</v>
      </c>
      <c r="J879">
        <v>1</v>
      </c>
      <c r="K879">
        <v>0</v>
      </c>
      <c r="L879" t="e">
        <v>#N/A</v>
      </c>
      <c r="M879" t="s">
        <v>992</v>
      </c>
      <c r="N879" t="e">
        <f>M879&amp;Tabla3[[#This Row],[CODIGO PRODUCTO TERMINADO]]&amp;"','"&amp;L879&amp;"',"&amp;Tabla3[[#This Row],[CANTIDAD MATERIAL (M)]]&amp;");"</f>
        <v>#N/A</v>
      </c>
    </row>
    <row r="880" spans="1:14" x14ac:dyDescent="0.25">
      <c r="A880" t="s">
        <v>1109</v>
      </c>
      <c r="B880" t="s">
        <v>63</v>
      </c>
      <c r="C880" t="s">
        <v>1101</v>
      </c>
      <c r="D880" t="s">
        <v>51</v>
      </c>
      <c r="E880" s="8" t="s">
        <v>1097</v>
      </c>
      <c r="F880">
        <v>0.36</v>
      </c>
      <c r="G880" t="s">
        <v>78</v>
      </c>
      <c r="H880" t="str">
        <f>VLOOKUP(Tabla3[[#This Row],[DESCRIPCION MATERIAL]],'CODIGO MAT'!$C$2:$D$390,2,FALSE)</f>
        <v>AVI0000152</v>
      </c>
      <c r="J880">
        <v>1</v>
      </c>
      <c r="K880">
        <v>0</v>
      </c>
      <c r="L880" t="e">
        <v>#N/A</v>
      </c>
      <c r="M880" t="s">
        <v>992</v>
      </c>
      <c r="N880" t="e">
        <f>M880&amp;Tabla3[[#This Row],[CODIGO PRODUCTO TERMINADO]]&amp;"','"&amp;L880&amp;"',"&amp;Tabla3[[#This Row],[CANTIDAD MATERIAL (M)]]&amp;");"</f>
        <v>#N/A</v>
      </c>
    </row>
    <row r="881" spans="1:14" x14ac:dyDescent="0.25">
      <c r="A881" t="s">
        <v>1109</v>
      </c>
      <c r="B881" t="s">
        <v>63</v>
      </c>
      <c r="C881" t="s">
        <v>1101</v>
      </c>
      <c r="D881" t="s">
        <v>51</v>
      </c>
      <c r="E881" s="8" t="s">
        <v>397</v>
      </c>
      <c r="F881">
        <v>4</v>
      </c>
      <c r="G881" t="s">
        <v>396</v>
      </c>
      <c r="H881" t="str">
        <f>VLOOKUP(Tabla3[[#This Row],[DESCRIPCION MATERIAL]],'CODIGO MAT'!$C$2:$D$390,2,FALSE)</f>
        <v>AVI0000131</v>
      </c>
      <c r="L881" t="e">
        <v>#N/A</v>
      </c>
      <c r="M881" t="s">
        <v>992</v>
      </c>
      <c r="N881" t="e">
        <f>M881&amp;Tabla3[[#This Row],[CODIGO PRODUCTO TERMINADO]]&amp;"','"&amp;L881&amp;"',"&amp;Tabla3[[#This Row],[CANTIDAD MATERIAL (M)]]&amp;");"</f>
        <v>#N/A</v>
      </c>
    </row>
    <row r="882" spans="1:14" x14ac:dyDescent="0.25">
      <c r="A882" t="s">
        <v>1110</v>
      </c>
      <c r="B882" t="s">
        <v>63</v>
      </c>
      <c r="C882" t="s">
        <v>1102</v>
      </c>
      <c r="D882" t="s">
        <v>50</v>
      </c>
      <c r="E882" s="8" t="s">
        <v>129</v>
      </c>
      <c r="F882">
        <v>1.46</v>
      </c>
      <c r="G882" t="s">
        <v>78</v>
      </c>
      <c r="H882" t="str">
        <f>VLOOKUP(Tabla3[[#This Row],[DESCRIPCION MATERIAL]],'CODIGO MAT'!$C$2:$D$390,2,FALSE)</f>
        <v>TEL0000056</v>
      </c>
      <c r="J882">
        <v>1</v>
      </c>
      <c r="K882">
        <v>0</v>
      </c>
      <c r="L882" t="e">
        <v>#N/A</v>
      </c>
      <c r="M882" t="s">
        <v>992</v>
      </c>
      <c r="N882" t="e">
        <f>M882&amp;Tabla3[[#This Row],[CODIGO PRODUCTO TERMINADO]]&amp;"','"&amp;L882&amp;"',"&amp;Tabla3[[#This Row],[CANTIDAD MATERIAL (M)]]&amp;");"</f>
        <v>#N/A</v>
      </c>
    </row>
    <row r="883" spans="1:14" x14ac:dyDescent="0.25">
      <c r="A883" t="s">
        <v>1110</v>
      </c>
      <c r="B883" t="s">
        <v>63</v>
      </c>
      <c r="C883" t="s">
        <v>1102</v>
      </c>
      <c r="D883" t="s">
        <v>51</v>
      </c>
      <c r="E883" s="8" t="s">
        <v>996</v>
      </c>
      <c r="F883">
        <v>0.5</v>
      </c>
      <c r="G883" t="s">
        <v>78</v>
      </c>
      <c r="H883" t="str">
        <f>VLOOKUP(Tabla3[[#This Row],[DESCRIPCION MATERIAL]],'CODIGO MAT'!$C$2:$D$390,2,FALSE)</f>
        <v>AVI0000148</v>
      </c>
      <c r="J883">
        <v>1</v>
      </c>
      <c r="K883">
        <v>0</v>
      </c>
      <c r="L883" t="e">
        <v>#N/A</v>
      </c>
      <c r="M883" t="s">
        <v>992</v>
      </c>
      <c r="N883" t="e">
        <f>M883&amp;Tabla3[[#This Row],[CODIGO PRODUCTO TERMINADO]]&amp;"','"&amp;L883&amp;"',"&amp;Tabla3[[#This Row],[CANTIDAD MATERIAL (M)]]&amp;");"</f>
        <v>#N/A</v>
      </c>
    </row>
    <row r="884" spans="1:14" x14ac:dyDescent="0.25">
      <c r="A884" t="s">
        <v>1110</v>
      </c>
      <c r="B884" t="s">
        <v>63</v>
      </c>
      <c r="C884" t="s">
        <v>1102</v>
      </c>
      <c r="D884" t="s">
        <v>51</v>
      </c>
      <c r="E884" s="8" t="s">
        <v>1097</v>
      </c>
      <c r="F884">
        <v>0.36</v>
      </c>
      <c r="G884" t="s">
        <v>78</v>
      </c>
      <c r="H884" t="str">
        <f>VLOOKUP(Tabla3[[#This Row],[DESCRIPCION MATERIAL]],'CODIGO MAT'!$C$2:$D$390,2,FALSE)</f>
        <v>AVI0000152</v>
      </c>
      <c r="J884">
        <v>1</v>
      </c>
      <c r="K884">
        <v>0</v>
      </c>
      <c r="L884" t="e">
        <v>#N/A</v>
      </c>
      <c r="M884" t="s">
        <v>992</v>
      </c>
      <c r="N884" t="e">
        <f>M884&amp;Tabla3[[#This Row],[CODIGO PRODUCTO TERMINADO]]&amp;"','"&amp;L884&amp;"',"&amp;Tabla3[[#This Row],[CANTIDAD MATERIAL (M)]]&amp;");"</f>
        <v>#N/A</v>
      </c>
    </row>
    <row r="885" spans="1:14" x14ac:dyDescent="0.25">
      <c r="A885" t="s">
        <v>1110</v>
      </c>
      <c r="B885" t="s">
        <v>63</v>
      </c>
      <c r="C885" t="s">
        <v>1102</v>
      </c>
      <c r="D885" t="s">
        <v>51</v>
      </c>
      <c r="E885" s="8" t="s">
        <v>397</v>
      </c>
      <c r="F885">
        <v>4</v>
      </c>
      <c r="G885" t="s">
        <v>396</v>
      </c>
      <c r="H885" t="str">
        <f>VLOOKUP(Tabla3[[#This Row],[DESCRIPCION MATERIAL]],'CODIGO MAT'!$C$2:$D$390,2,FALSE)</f>
        <v>AVI0000131</v>
      </c>
      <c r="L885" t="e">
        <v>#N/A</v>
      </c>
      <c r="M885" t="s">
        <v>992</v>
      </c>
      <c r="N885" t="e">
        <f>M885&amp;Tabla3[[#This Row],[CODIGO PRODUCTO TERMINADO]]&amp;"','"&amp;L885&amp;"',"&amp;Tabla3[[#This Row],[CANTIDAD MATERIAL (M)]]&amp;");"</f>
        <v>#N/A</v>
      </c>
    </row>
    <row r="886" spans="1:14" x14ac:dyDescent="0.25">
      <c r="A886" t="s">
        <v>1111</v>
      </c>
      <c r="B886" t="s">
        <v>63</v>
      </c>
      <c r="C886" t="s">
        <v>1103</v>
      </c>
      <c r="D886" t="s">
        <v>50</v>
      </c>
      <c r="E886" s="8" t="s">
        <v>129</v>
      </c>
      <c r="G886" t="s">
        <v>78</v>
      </c>
      <c r="H886" t="str">
        <f>VLOOKUP(Tabla3[[#This Row],[DESCRIPCION MATERIAL]],'CODIGO MAT'!$C$2:$D$390,2,FALSE)</f>
        <v>TEL0000056</v>
      </c>
      <c r="J886">
        <v>1</v>
      </c>
      <c r="K886">
        <v>0</v>
      </c>
      <c r="L886" t="e">
        <v>#N/A</v>
      </c>
      <c r="M886" t="s">
        <v>992</v>
      </c>
      <c r="N886" t="e">
        <f>M886&amp;Tabla3[[#This Row],[CODIGO PRODUCTO TERMINADO]]&amp;"','"&amp;L886&amp;"',"&amp;Tabla3[[#This Row],[CANTIDAD MATERIAL (M)]]&amp;");"</f>
        <v>#N/A</v>
      </c>
    </row>
    <row r="887" spans="1:14" x14ac:dyDescent="0.25">
      <c r="A887" t="s">
        <v>1111</v>
      </c>
      <c r="B887" t="s">
        <v>63</v>
      </c>
      <c r="C887" t="s">
        <v>1103</v>
      </c>
      <c r="D887" t="s">
        <v>51</v>
      </c>
      <c r="E887" s="8" t="s">
        <v>996</v>
      </c>
      <c r="F887">
        <v>0.5</v>
      </c>
      <c r="G887" t="s">
        <v>78</v>
      </c>
      <c r="H887" t="str">
        <f>VLOOKUP(Tabla3[[#This Row],[DESCRIPCION MATERIAL]],'CODIGO MAT'!$C$2:$D$390,2,FALSE)</f>
        <v>AVI0000148</v>
      </c>
      <c r="J887">
        <v>1</v>
      </c>
      <c r="K887">
        <v>0</v>
      </c>
      <c r="L887" t="e">
        <v>#N/A</v>
      </c>
      <c r="M887" t="s">
        <v>992</v>
      </c>
      <c r="N887" t="e">
        <f>M887&amp;Tabla3[[#This Row],[CODIGO PRODUCTO TERMINADO]]&amp;"','"&amp;L887&amp;"',"&amp;Tabla3[[#This Row],[CANTIDAD MATERIAL (M)]]&amp;");"</f>
        <v>#N/A</v>
      </c>
    </row>
    <row r="888" spans="1:14" x14ac:dyDescent="0.25">
      <c r="A888" t="s">
        <v>1111</v>
      </c>
      <c r="B888" t="s">
        <v>63</v>
      </c>
      <c r="C888" t="s">
        <v>1103</v>
      </c>
      <c r="D888" t="s">
        <v>51</v>
      </c>
      <c r="E888" s="8" t="s">
        <v>1097</v>
      </c>
      <c r="F888">
        <v>0.36</v>
      </c>
      <c r="G888" t="s">
        <v>78</v>
      </c>
      <c r="H888" t="str">
        <f>VLOOKUP(Tabla3[[#This Row],[DESCRIPCION MATERIAL]],'CODIGO MAT'!$C$2:$D$390,2,FALSE)</f>
        <v>AVI0000152</v>
      </c>
      <c r="J888">
        <v>1</v>
      </c>
      <c r="K888">
        <v>0</v>
      </c>
      <c r="L888" t="e">
        <v>#N/A</v>
      </c>
      <c r="M888" t="s">
        <v>992</v>
      </c>
      <c r="N888" t="e">
        <f>M888&amp;Tabla3[[#This Row],[CODIGO PRODUCTO TERMINADO]]&amp;"','"&amp;L888&amp;"',"&amp;Tabla3[[#This Row],[CANTIDAD MATERIAL (M)]]&amp;");"</f>
        <v>#N/A</v>
      </c>
    </row>
    <row r="889" spans="1:14" x14ac:dyDescent="0.25">
      <c r="A889" t="s">
        <v>1111</v>
      </c>
      <c r="B889" t="s">
        <v>63</v>
      </c>
      <c r="C889" t="s">
        <v>1103</v>
      </c>
      <c r="D889" t="s">
        <v>51</v>
      </c>
      <c r="E889" s="8" t="s">
        <v>397</v>
      </c>
      <c r="F889">
        <v>4</v>
      </c>
      <c r="G889" t="s">
        <v>396</v>
      </c>
      <c r="H889" t="str">
        <f>VLOOKUP(Tabla3[[#This Row],[DESCRIPCION MATERIAL]],'CODIGO MAT'!$C$2:$D$390,2,FALSE)</f>
        <v>AVI0000131</v>
      </c>
      <c r="L889" t="e">
        <v>#N/A</v>
      </c>
      <c r="M889" t="s">
        <v>992</v>
      </c>
      <c r="N889" t="e">
        <f>M889&amp;Tabla3[[#This Row],[CODIGO PRODUCTO TERMINADO]]&amp;"','"&amp;L889&amp;"',"&amp;Tabla3[[#This Row],[CANTIDAD MATERIAL (M)]]&amp;");"</f>
        <v>#N/A</v>
      </c>
    </row>
    <row r="890" spans="1:14" x14ac:dyDescent="0.25">
      <c r="A890" t="s">
        <v>1112</v>
      </c>
      <c r="B890" t="s">
        <v>63</v>
      </c>
      <c r="C890" t="s">
        <v>1104</v>
      </c>
      <c r="D890" t="s">
        <v>50</v>
      </c>
      <c r="E890" s="8" t="s">
        <v>129</v>
      </c>
      <c r="G890" t="s">
        <v>78</v>
      </c>
      <c r="H890" t="str">
        <f>VLOOKUP(Tabla3[[#This Row],[DESCRIPCION MATERIAL]],'CODIGO MAT'!$C$2:$D$390,2,FALSE)</f>
        <v>TEL0000056</v>
      </c>
      <c r="J890">
        <v>1</v>
      </c>
      <c r="K890">
        <v>0</v>
      </c>
      <c r="L890" t="e">
        <v>#N/A</v>
      </c>
      <c r="M890" t="s">
        <v>992</v>
      </c>
      <c r="N890" t="e">
        <f>M890&amp;Tabla3[[#This Row],[CODIGO PRODUCTO TERMINADO]]&amp;"','"&amp;L890&amp;"',"&amp;Tabla3[[#This Row],[CANTIDAD MATERIAL (M)]]&amp;");"</f>
        <v>#N/A</v>
      </c>
    </row>
    <row r="891" spans="1:14" x14ac:dyDescent="0.25">
      <c r="A891" t="s">
        <v>1112</v>
      </c>
      <c r="B891" t="s">
        <v>63</v>
      </c>
      <c r="C891" t="s">
        <v>1104</v>
      </c>
      <c r="D891" t="s">
        <v>51</v>
      </c>
      <c r="E891" s="8" t="s">
        <v>996</v>
      </c>
      <c r="F891">
        <v>0.5</v>
      </c>
      <c r="G891" t="s">
        <v>78</v>
      </c>
      <c r="H891" t="str">
        <f>VLOOKUP(Tabla3[[#This Row],[DESCRIPCION MATERIAL]],'CODIGO MAT'!$C$2:$D$390,2,FALSE)</f>
        <v>AVI0000148</v>
      </c>
      <c r="J891">
        <v>1</v>
      </c>
      <c r="K891">
        <v>0</v>
      </c>
      <c r="L891" t="e">
        <v>#N/A</v>
      </c>
      <c r="M891" t="s">
        <v>992</v>
      </c>
      <c r="N891" t="e">
        <f>M891&amp;Tabla3[[#This Row],[CODIGO PRODUCTO TERMINADO]]&amp;"','"&amp;L891&amp;"',"&amp;Tabla3[[#This Row],[CANTIDAD MATERIAL (M)]]&amp;");"</f>
        <v>#N/A</v>
      </c>
    </row>
    <row r="892" spans="1:14" x14ac:dyDescent="0.25">
      <c r="A892" t="s">
        <v>1112</v>
      </c>
      <c r="B892" t="s">
        <v>63</v>
      </c>
      <c r="C892" t="s">
        <v>1104</v>
      </c>
      <c r="D892" t="s">
        <v>51</v>
      </c>
      <c r="E892" s="8" t="s">
        <v>1097</v>
      </c>
      <c r="F892">
        <v>0.36</v>
      </c>
      <c r="G892" t="s">
        <v>78</v>
      </c>
      <c r="H892" t="str">
        <f>VLOOKUP(Tabla3[[#This Row],[DESCRIPCION MATERIAL]],'CODIGO MAT'!$C$2:$D$390,2,FALSE)</f>
        <v>AVI0000152</v>
      </c>
      <c r="J892">
        <v>1</v>
      </c>
      <c r="K892">
        <v>0</v>
      </c>
      <c r="L892" t="e">
        <v>#N/A</v>
      </c>
      <c r="M892" t="s">
        <v>992</v>
      </c>
      <c r="N892" t="e">
        <f>M892&amp;Tabla3[[#This Row],[CODIGO PRODUCTO TERMINADO]]&amp;"','"&amp;L892&amp;"',"&amp;Tabla3[[#This Row],[CANTIDAD MATERIAL (M)]]&amp;");"</f>
        <v>#N/A</v>
      </c>
    </row>
    <row r="893" spans="1:14" x14ac:dyDescent="0.25">
      <c r="A893" t="s">
        <v>1112</v>
      </c>
      <c r="B893" t="s">
        <v>63</v>
      </c>
      <c r="C893" t="s">
        <v>1104</v>
      </c>
      <c r="D893" t="s">
        <v>51</v>
      </c>
      <c r="E893" s="8" t="s">
        <v>397</v>
      </c>
      <c r="F893">
        <v>5</v>
      </c>
      <c r="G893" t="s">
        <v>396</v>
      </c>
      <c r="H893" t="str">
        <f>VLOOKUP(Tabla3[[#This Row],[DESCRIPCION MATERIAL]],'CODIGO MAT'!$C$2:$D$390,2,FALSE)</f>
        <v>AVI0000131</v>
      </c>
      <c r="L893" t="e">
        <v>#N/A</v>
      </c>
      <c r="M893" t="s">
        <v>992</v>
      </c>
      <c r="N893" t="e">
        <f>M893&amp;Tabla3[[#This Row],[CODIGO PRODUCTO TERMINADO]]&amp;"','"&amp;L893&amp;"',"&amp;Tabla3[[#This Row],[CANTIDAD MATERIAL (M)]]&amp;");"</f>
        <v>#N/A</v>
      </c>
    </row>
    <row r="894" spans="1:14" x14ac:dyDescent="0.25">
      <c r="A894" t="s">
        <v>1113</v>
      </c>
      <c r="B894" t="s">
        <v>63</v>
      </c>
      <c r="C894" t="s">
        <v>1105</v>
      </c>
      <c r="D894" t="s">
        <v>50</v>
      </c>
      <c r="E894" s="8" t="s">
        <v>129</v>
      </c>
      <c r="G894" t="s">
        <v>78</v>
      </c>
      <c r="H894" t="str">
        <f>VLOOKUP(Tabla3[[#This Row],[DESCRIPCION MATERIAL]],'CODIGO MAT'!$C$2:$D$390,2,FALSE)</f>
        <v>TEL0000056</v>
      </c>
      <c r="J894">
        <v>1</v>
      </c>
      <c r="K894">
        <v>0</v>
      </c>
      <c r="L894" t="e">
        <v>#N/A</v>
      </c>
      <c r="M894" t="s">
        <v>992</v>
      </c>
      <c r="N894" t="e">
        <f>M894&amp;Tabla3[[#This Row],[CODIGO PRODUCTO TERMINADO]]&amp;"','"&amp;L894&amp;"',"&amp;Tabla3[[#This Row],[CANTIDAD MATERIAL (M)]]&amp;");"</f>
        <v>#N/A</v>
      </c>
    </row>
    <row r="895" spans="1:14" x14ac:dyDescent="0.25">
      <c r="A895" t="s">
        <v>1113</v>
      </c>
      <c r="B895" t="s">
        <v>63</v>
      </c>
      <c r="C895" t="s">
        <v>1105</v>
      </c>
      <c r="D895" t="s">
        <v>51</v>
      </c>
      <c r="E895" s="8" t="s">
        <v>996</v>
      </c>
      <c r="F895">
        <v>0.5</v>
      </c>
      <c r="G895" t="s">
        <v>78</v>
      </c>
      <c r="H895" t="str">
        <f>VLOOKUP(Tabla3[[#This Row],[DESCRIPCION MATERIAL]],'CODIGO MAT'!$C$2:$D$390,2,FALSE)</f>
        <v>AVI0000148</v>
      </c>
      <c r="J895">
        <v>1</v>
      </c>
      <c r="K895">
        <v>0</v>
      </c>
      <c r="L895" t="e">
        <v>#N/A</v>
      </c>
      <c r="M895" t="s">
        <v>992</v>
      </c>
      <c r="N895" t="e">
        <f>M895&amp;Tabla3[[#This Row],[CODIGO PRODUCTO TERMINADO]]&amp;"','"&amp;L895&amp;"',"&amp;Tabla3[[#This Row],[CANTIDAD MATERIAL (M)]]&amp;");"</f>
        <v>#N/A</v>
      </c>
    </row>
    <row r="896" spans="1:14" x14ac:dyDescent="0.25">
      <c r="A896" t="s">
        <v>1113</v>
      </c>
      <c r="B896" t="s">
        <v>63</v>
      </c>
      <c r="C896" t="s">
        <v>1105</v>
      </c>
      <c r="D896" t="s">
        <v>51</v>
      </c>
      <c r="E896" s="8" t="s">
        <v>1097</v>
      </c>
      <c r="F896">
        <v>0.36</v>
      </c>
      <c r="G896" t="s">
        <v>78</v>
      </c>
      <c r="H896" t="str">
        <f>VLOOKUP(Tabla3[[#This Row],[DESCRIPCION MATERIAL]],'CODIGO MAT'!$C$2:$D$390,2,FALSE)</f>
        <v>AVI0000152</v>
      </c>
      <c r="J896">
        <v>1</v>
      </c>
      <c r="K896">
        <v>0</v>
      </c>
      <c r="L896" t="e">
        <v>#N/A</v>
      </c>
      <c r="M896" t="s">
        <v>992</v>
      </c>
      <c r="N896" t="e">
        <f>M896&amp;Tabla3[[#This Row],[CODIGO PRODUCTO TERMINADO]]&amp;"','"&amp;L896&amp;"',"&amp;Tabla3[[#This Row],[CANTIDAD MATERIAL (M)]]&amp;");"</f>
        <v>#N/A</v>
      </c>
    </row>
    <row r="897" spans="1:14" x14ac:dyDescent="0.25">
      <c r="A897" t="s">
        <v>1113</v>
      </c>
      <c r="B897" t="s">
        <v>63</v>
      </c>
      <c r="C897" t="s">
        <v>1105</v>
      </c>
      <c r="D897" t="s">
        <v>51</v>
      </c>
      <c r="E897" s="8" t="s">
        <v>397</v>
      </c>
      <c r="F897">
        <v>5</v>
      </c>
      <c r="G897" t="s">
        <v>396</v>
      </c>
      <c r="H897" t="str">
        <f>VLOOKUP(Tabla3[[#This Row],[DESCRIPCION MATERIAL]],'CODIGO MAT'!$C$2:$D$390,2,FALSE)</f>
        <v>AVI0000131</v>
      </c>
      <c r="L897" t="e">
        <v>#N/A</v>
      </c>
      <c r="M897" t="s">
        <v>992</v>
      </c>
      <c r="N897" t="e">
        <f>M897&amp;Tabla3[[#This Row],[CODIGO PRODUCTO TERMINADO]]&amp;"','"&amp;L897&amp;"',"&amp;Tabla3[[#This Row],[CANTIDAD MATERIAL (M)]]&amp;");"</f>
        <v>#N/A</v>
      </c>
    </row>
    <row r="898" spans="1:14" x14ac:dyDescent="0.25">
      <c r="A898" t="s">
        <v>1085</v>
      </c>
      <c r="B898" t="s">
        <v>63</v>
      </c>
      <c r="C898" t="s">
        <v>1114</v>
      </c>
      <c r="D898" t="s">
        <v>50</v>
      </c>
      <c r="E898" s="8" t="s">
        <v>131</v>
      </c>
      <c r="F898">
        <v>0.78</v>
      </c>
      <c r="G898" t="s">
        <v>78</v>
      </c>
      <c r="H898" t="str">
        <f>VLOOKUP(Tabla3[[#This Row],[DESCRIPCION MATERIAL]],'CODIGO MAT'!$C$2:$D$390,2,FALSE)</f>
        <v>TEL0000058</v>
      </c>
      <c r="J898">
        <v>1</v>
      </c>
      <c r="K898">
        <v>0</v>
      </c>
      <c r="L898" t="e">
        <v>#N/A</v>
      </c>
      <c r="M898" t="s">
        <v>992</v>
      </c>
      <c r="N898" t="e">
        <f>M898&amp;Tabla3[[#This Row],[CODIGO PRODUCTO TERMINADO]]&amp;"','"&amp;L898&amp;"',"&amp;Tabla3[[#This Row],[CANTIDAD MATERIAL (M)]]&amp;");"</f>
        <v>#N/A</v>
      </c>
    </row>
    <row r="899" spans="1:14" x14ac:dyDescent="0.25">
      <c r="A899" t="s">
        <v>1085</v>
      </c>
      <c r="B899" t="s">
        <v>63</v>
      </c>
      <c r="C899" t="s">
        <v>1114</v>
      </c>
      <c r="D899" t="s">
        <v>51</v>
      </c>
      <c r="E899" s="8" t="s">
        <v>996</v>
      </c>
      <c r="F899">
        <v>0.5</v>
      </c>
      <c r="G899" t="s">
        <v>78</v>
      </c>
      <c r="H899" t="str">
        <f>VLOOKUP(Tabla3[[#This Row],[DESCRIPCION MATERIAL]],'CODIGO MAT'!$C$2:$D$390,2,FALSE)</f>
        <v>AVI0000148</v>
      </c>
      <c r="J899">
        <v>1</v>
      </c>
      <c r="K899">
        <v>0</v>
      </c>
      <c r="L899" t="e">
        <v>#N/A</v>
      </c>
      <c r="M899" t="s">
        <v>992</v>
      </c>
      <c r="N899" t="e">
        <f>M899&amp;Tabla3[[#This Row],[CODIGO PRODUCTO TERMINADO]]&amp;"','"&amp;L899&amp;"',"&amp;Tabla3[[#This Row],[CANTIDAD MATERIAL (M)]]&amp;");"</f>
        <v>#N/A</v>
      </c>
    </row>
    <row r="900" spans="1:14" x14ac:dyDescent="0.25">
      <c r="A900" t="s">
        <v>1085</v>
      </c>
      <c r="B900" t="s">
        <v>63</v>
      </c>
      <c r="C900" t="s">
        <v>1114</v>
      </c>
      <c r="D900" t="s">
        <v>51</v>
      </c>
      <c r="E900" s="8" t="s">
        <v>1097</v>
      </c>
      <c r="F900">
        <v>0.36</v>
      </c>
      <c r="G900" t="s">
        <v>78</v>
      </c>
      <c r="H900" t="str">
        <f>VLOOKUP(Tabla3[[#This Row],[DESCRIPCION MATERIAL]],'CODIGO MAT'!$C$2:$D$390,2,FALSE)</f>
        <v>AVI0000152</v>
      </c>
      <c r="J900">
        <v>1</v>
      </c>
      <c r="K900">
        <v>0</v>
      </c>
      <c r="L900" t="e">
        <v>#N/A</v>
      </c>
      <c r="M900" t="s">
        <v>992</v>
      </c>
      <c r="N900" t="e">
        <f>M900&amp;Tabla3[[#This Row],[CODIGO PRODUCTO TERMINADO]]&amp;"','"&amp;L900&amp;"',"&amp;Tabla3[[#This Row],[CANTIDAD MATERIAL (M)]]&amp;");"</f>
        <v>#N/A</v>
      </c>
    </row>
    <row r="901" spans="1:14" x14ac:dyDescent="0.25">
      <c r="A901" t="s">
        <v>1085</v>
      </c>
      <c r="B901" t="s">
        <v>63</v>
      </c>
      <c r="C901" t="s">
        <v>1114</v>
      </c>
      <c r="D901" t="s">
        <v>51</v>
      </c>
      <c r="E901" s="8" t="s">
        <v>1124</v>
      </c>
      <c r="F901">
        <v>3</v>
      </c>
      <c r="G901" t="s">
        <v>396</v>
      </c>
      <c r="H901" t="str">
        <f>VLOOKUP(Tabla3[[#This Row],[DESCRIPCION MATERIAL]],'CODIGO MAT'!$C$2:$D$390,2,FALSE)</f>
        <v>AVI0000153</v>
      </c>
      <c r="L901" t="e">
        <v>#N/A</v>
      </c>
      <c r="M901" t="s">
        <v>992</v>
      </c>
      <c r="N901" t="e">
        <f>M901&amp;Tabla3[[#This Row],[CODIGO PRODUCTO TERMINADO]]&amp;"','"&amp;L901&amp;"',"&amp;Tabla3[[#This Row],[CANTIDAD MATERIAL (M)]]&amp;");"</f>
        <v>#N/A</v>
      </c>
    </row>
    <row r="902" spans="1:14" x14ac:dyDescent="0.25">
      <c r="A902" t="s">
        <v>1086</v>
      </c>
      <c r="B902" t="s">
        <v>63</v>
      </c>
      <c r="C902" t="s">
        <v>1115</v>
      </c>
      <c r="D902" t="s">
        <v>50</v>
      </c>
      <c r="E902" s="8" t="s">
        <v>131</v>
      </c>
      <c r="F902">
        <v>0.92</v>
      </c>
      <c r="G902" t="s">
        <v>78</v>
      </c>
      <c r="H902" t="str">
        <f>VLOOKUP(Tabla3[[#This Row],[DESCRIPCION MATERIAL]],'CODIGO MAT'!$C$2:$D$390,2,FALSE)</f>
        <v>TEL0000058</v>
      </c>
      <c r="J902">
        <v>1</v>
      </c>
      <c r="K902">
        <v>0</v>
      </c>
      <c r="L902" t="e">
        <v>#N/A</v>
      </c>
      <c r="M902" t="s">
        <v>992</v>
      </c>
      <c r="N902" t="e">
        <f>M902&amp;Tabla3[[#This Row],[CODIGO PRODUCTO TERMINADO]]&amp;"','"&amp;L902&amp;"',"&amp;Tabla3[[#This Row],[CANTIDAD MATERIAL (M)]]&amp;");"</f>
        <v>#N/A</v>
      </c>
    </row>
    <row r="903" spans="1:14" x14ac:dyDescent="0.25">
      <c r="A903" t="s">
        <v>1086</v>
      </c>
      <c r="B903" t="s">
        <v>63</v>
      </c>
      <c r="C903" t="s">
        <v>1115</v>
      </c>
      <c r="D903" t="s">
        <v>51</v>
      </c>
      <c r="E903" s="8" t="s">
        <v>996</v>
      </c>
      <c r="F903">
        <v>0.5</v>
      </c>
      <c r="G903" t="s">
        <v>78</v>
      </c>
      <c r="H903" t="str">
        <f>VLOOKUP(Tabla3[[#This Row],[DESCRIPCION MATERIAL]],'CODIGO MAT'!$C$2:$D$390,2,FALSE)</f>
        <v>AVI0000148</v>
      </c>
      <c r="J903">
        <v>1</v>
      </c>
      <c r="K903">
        <v>0</v>
      </c>
      <c r="L903" t="e">
        <v>#N/A</v>
      </c>
      <c r="M903" t="s">
        <v>992</v>
      </c>
      <c r="N903" t="e">
        <f>M903&amp;Tabla3[[#This Row],[CODIGO PRODUCTO TERMINADO]]&amp;"','"&amp;L903&amp;"',"&amp;Tabla3[[#This Row],[CANTIDAD MATERIAL (M)]]&amp;");"</f>
        <v>#N/A</v>
      </c>
    </row>
    <row r="904" spans="1:14" x14ac:dyDescent="0.25">
      <c r="A904" t="s">
        <v>1086</v>
      </c>
      <c r="B904" t="s">
        <v>63</v>
      </c>
      <c r="C904" t="s">
        <v>1115</v>
      </c>
      <c r="D904" t="s">
        <v>51</v>
      </c>
      <c r="E904" s="8" t="s">
        <v>1097</v>
      </c>
      <c r="F904">
        <v>0.36</v>
      </c>
      <c r="G904" t="s">
        <v>78</v>
      </c>
      <c r="H904" t="str">
        <f>VLOOKUP(Tabla3[[#This Row],[DESCRIPCION MATERIAL]],'CODIGO MAT'!$C$2:$D$390,2,FALSE)</f>
        <v>AVI0000152</v>
      </c>
      <c r="J904">
        <v>1</v>
      </c>
      <c r="K904">
        <v>0</v>
      </c>
      <c r="L904" t="e">
        <v>#N/A</v>
      </c>
      <c r="M904" t="s">
        <v>992</v>
      </c>
      <c r="N904" t="e">
        <f>M904&amp;Tabla3[[#This Row],[CODIGO PRODUCTO TERMINADO]]&amp;"','"&amp;L904&amp;"',"&amp;Tabla3[[#This Row],[CANTIDAD MATERIAL (M)]]&amp;");"</f>
        <v>#N/A</v>
      </c>
    </row>
    <row r="905" spans="1:14" x14ac:dyDescent="0.25">
      <c r="A905" t="s">
        <v>1086</v>
      </c>
      <c r="B905" t="s">
        <v>63</v>
      </c>
      <c r="C905" t="s">
        <v>1115</v>
      </c>
      <c r="D905" t="s">
        <v>51</v>
      </c>
      <c r="E905" s="8" t="s">
        <v>1124</v>
      </c>
      <c r="F905">
        <v>3</v>
      </c>
      <c r="G905" t="s">
        <v>396</v>
      </c>
      <c r="H905" t="str">
        <f>VLOOKUP(Tabla3[[#This Row],[DESCRIPCION MATERIAL]],'CODIGO MAT'!$C$2:$D$390,2,FALSE)</f>
        <v>AVI0000153</v>
      </c>
      <c r="L905" t="e">
        <v>#N/A</v>
      </c>
      <c r="M905" t="s">
        <v>992</v>
      </c>
      <c r="N905" t="e">
        <f>M905&amp;Tabla3[[#This Row],[CODIGO PRODUCTO TERMINADO]]&amp;"','"&amp;L905&amp;"',"&amp;Tabla3[[#This Row],[CANTIDAD MATERIAL (M)]]&amp;");"</f>
        <v>#N/A</v>
      </c>
    </row>
    <row r="906" spans="1:14" x14ac:dyDescent="0.25">
      <c r="A906" t="s">
        <v>1087</v>
      </c>
      <c r="B906" t="s">
        <v>63</v>
      </c>
      <c r="C906" t="s">
        <v>1116</v>
      </c>
      <c r="D906" t="s">
        <v>50</v>
      </c>
      <c r="E906" s="8" t="s">
        <v>131</v>
      </c>
      <c r="F906">
        <v>1.03</v>
      </c>
      <c r="G906" t="s">
        <v>78</v>
      </c>
      <c r="H906" t="str">
        <f>VLOOKUP(Tabla3[[#This Row],[DESCRIPCION MATERIAL]],'CODIGO MAT'!$C$2:$D$390,2,FALSE)</f>
        <v>TEL0000058</v>
      </c>
      <c r="J906">
        <v>1</v>
      </c>
      <c r="K906">
        <v>0</v>
      </c>
      <c r="L906" t="e">
        <v>#N/A</v>
      </c>
      <c r="M906" t="s">
        <v>992</v>
      </c>
      <c r="N906" t="e">
        <f>M906&amp;Tabla3[[#This Row],[CODIGO PRODUCTO TERMINADO]]&amp;"','"&amp;L906&amp;"',"&amp;Tabla3[[#This Row],[CANTIDAD MATERIAL (M)]]&amp;");"</f>
        <v>#N/A</v>
      </c>
    </row>
    <row r="907" spans="1:14" x14ac:dyDescent="0.25">
      <c r="A907" t="s">
        <v>1087</v>
      </c>
      <c r="B907" t="s">
        <v>63</v>
      </c>
      <c r="C907" t="s">
        <v>1116</v>
      </c>
      <c r="D907" t="s">
        <v>51</v>
      </c>
      <c r="E907" s="8" t="s">
        <v>996</v>
      </c>
      <c r="F907">
        <v>0.5</v>
      </c>
      <c r="G907" t="s">
        <v>78</v>
      </c>
      <c r="H907" t="str">
        <f>VLOOKUP(Tabla3[[#This Row],[DESCRIPCION MATERIAL]],'CODIGO MAT'!$C$2:$D$390,2,FALSE)</f>
        <v>AVI0000148</v>
      </c>
      <c r="J907">
        <v>1</v>
      </c>
      <c r="K907">
        <v>0</v>
      </c>
      <c r="L907" t="e">
        <v>#N/A</v>
      </c>
      <c r="M907" t="s">
        <v>992</v>
      </c>
      <c r="N907" t="e">
        <f>M907&amp;Tabla3[[#This Row],[CODIGO PRODUCTO TERMINADO]]&amp;"','"&amp;L907&amp;"',"&amp;Tabla3[[#This Row],[CANTIDAD MATERIAL (M)]]&amp;");"</f>
        <v>#N/A</v>
      </c>
    </row>
    <row r="908" spans="1:14" x14ac:dyDescent="0.25">
      <c r="A908" t="s">
        <v>1087</v>
      </c>
      <c r="B908" t="s">
        <v>63</v>
      </c>
      <c r="C908" t="s">
        <v>1116</v>
      </c>
      <c r="D908" t="s">
        <v>51</v>
      </c>
      <c r="E908" s="8" t="s">
        <v>1097</v>
      </c>
      <c r="F908">
        <v>0.36</v>
      </c>
      <c r="G908" t="s">
        <v>78</v>
      </c>
      <c r="H908" t="str">
        <f>VLOOKUP(Tabla3[[#This Row],[DESCRIPCION MATERIAL]],'CODIGO MAT'!$C$2:$D$390,2,FALSE)</f>
        <v>AVI0000152</v>
      </c>
      <c r="J908">
        <v>1</v>
      </c>
      <c r="K908">
        <v>0</v>
      </c>
      <c r="L908" t="e">
        <v>#N/A</v>
      </c>
      <c r="M908" t="s">
        <v>992</v>
      </c>
      <c r="N908" t="e">
        <f>M908&amp;Tabla3[[#This Row],[CODIGO PRODUCTO TERMINADO]]&amp;"','"&amp;L908&amp;"',"&amp;Tabla3[[#This Row],[CANTIDAD MATERIAL (M)]]&amp;");"</f>
        <v>#N/A</v>
      </c>
    </row>
    <row r="909" spans="1:14" x14ac:dyDescent="0.25">
      <c r="A909" t="s">
        <v>1087</v>
      </c>
      <c r="B909" t="s">
        <v>63</v>
      </c>
      <c r="C909" t="s">
        <v>1116</v>
      </c>
      <c r="D909" t="s">
        <v>51</v>
      </c>
      <c r="E909" s="8" t="s">
        <v>1124</v>
      </c>
      <c r="F909">
        <v>3</v>
      </c>
      <c r="G909" t="s">
        <v>396</v>
      </c>
      <c r="H909" t="str">
        <f>VLOOKUP(Tabla3[[#This Row],[DESCRIPCION MATERIAL]],'CODIGO MAT'!$C$2:$D$390,2,FALSE)</f>
        <v>AVI0000153</v>
      </c>
      <c r="L909" t="e">
        <v>#N/A</v>
      </c>
      <c r="M909" t="s">
        <v>992</v>
      </c>
      <c r="N909" t="e">
        <f>M909&amp;Tabla3[[#This Row],[CODIGO PRODUCTO TERMINADO]]&amp;"','"&amp;L909&amp;"',"&amp;Tabla3[[#This Row],[CANTIDAD MATERIAL (M)]]&amp;");"</f>
        <v>#N/A</v>
      </c>
    </row>
    <row r="910" spans="1:14" x14ac:dyDescent="0.25">
      <c r="A910" t="s">
        <v>1088</v>
      </c>
      <c r="B910" t="s">
        <v>63</v>
      </c>
      <c r="C910" t="s">
        <v>1117</v>
      </c>
      <c r="D910" t="s">
        <v>50</v>
      </c>
      <c r="E910" s="8" t="s">
        <v>131</v>
      </c>
      <c r="F910">
        <v>1.1499999999999999</v>
      </c>
      <c r="G910" t="s">
        <v>78</v>
      </c>
      <c r="H910" t="str">
        <f>VLOOKUP(Tabla3[[#This Row],[DESCRIPCION MATERIAL]],'CODIGO MAT'!$C$2:$D$390,2,FALSE)</f>
        <v>TEL0000058</v>
      </c>
      <c r="J910">
        <v>1</v>
      </c>
      <c r="K910">
        <v>0</v>
      </c>
      <c r="L910" t="e">
        <v>#N/A</v>
      </c>
      <c r="M910" t="s">
        <v>992</v>
      </c>
      <c r="N910" t="e">
        <f>M910&amp;Tabla3[[#This Row],[CODIGO PRODUCTO TERMINADO]]&amp;"','"&amp;L910&amp;"',"&amp;Tabla3[[#This Row],[CANTIDAD MATERIAL (M)]]&amp;");"</f>
        <v>#N/A</v>
      </c>
    </row>
    <row r="911" spans="1:14" x14ac:dyDescent="0.25">
      <c r="A911" t="s">
        <v>1088</v>
      </c>
      <c r="B911" t="s">
        <v>63</v>
      </c>
      <c r="C911" t="s">
        <v>1117</v>
      </c>
      <c r="D911" t="s">
        <v>51</v>
      </c>
      <c r="E911" s="8" t="s">
        <v>996</v>
      </c>
      <c r="F911">
        <v>0.5</v>
      </c>
      <c r="G911" t="s">
        <v>78</v>
      </c>
      <c r="H911" t="str">
        <f>VLOOKUP(Tabla3[[#This Row],[DESCRIPCION MATERIAL]],'CODIGO MAT'!$C$2:$D$390,2,FALSE)</f>
        <v>AVI0000148</v>
      </c>
      <c r="J911">
        <v>1</v>
      </c>
      <c r="K911">
        <v>0</v>
      </c>
      <c r="L911" t="e">
        <v>#N/A</v>
      </c>
      <c r="M911" t="s">
        <v>992</v>
      </c>
      <c r="N911" t="e">
        <f>M911&amp;Tabla3[[#This Row],[CODIGO PRODUCTO TERMINADO]]&amp;"','"&amp;L911&amp;"',"&amp;Tabla3[[#This Row],[CANTIDAD MATERIAL (M)]]&amp;");"</f>
        <v>#N/A</v>
      </c>
    </row>
    <row r="912" spans="1:14" x14ac:dyDescent="0.25">
      <c r="A912" t="s">
        <v>1088</v>
      </c>
      <c r="B912" t="s">
        <v>63</v>
      </c>
      <c r="C912" t="s">
        <v>1117</v>
      </c>
      <c r="D912" t="s">
        <v>51</v>
      </c>
      <c r="E912" s="8" t="s">
        <v>1097</v>
      </c>
      <c r="F912">
        <v>0.36</v>
      </c>
      <c r="G912" t="s">
        <v>78</v>
      </c>
      <c r="H912" t="str">
        <f>VLOOKUP(Tabla3[[#This Row],[DESCRIPCION MATERIAL]],'CODIGO MAT'!$C$2:$D$390,2,FALSE)</f>
        <v>AVI0000152</v>
      </c>
      <c r="J912">
        <v>1</v>
      </c>
      <c r="K912">
        <v>0</v>
      </c>
      <c r="L912" t="e">
        <v>#N/A</v>
      </c>
      <c r="M912" t="s">
        <v>992</v>
      </c>
      <c r="N912" t="e">
        <f>M912&amp;Tabla3[[#This Row],[CODIGO PRODUCTO TERMINADO]]&amp;"','"&amp;L912&amp;"',"&amp;Tabla3[[#This Row],[CANTIDAD MATERIAL (M)]]&amp;");"</f>
        <v>#N/A</v>
      </c>
    </row>
    <row r="913" spans="1:14" x14ac:dyDescent="0.25">
      <c r="A913" t="s">
        <v>1088</v>
      </c>
      <c r="B913" t="s">
        <v>63</v>
      </c>
      <c r="C913" t="s">
        <v>1117</v>
      </c>
      <c r="D913" t="s">
        <v>51</v>
      </c>
      <c r="E913" s="8" t="s">
        <v>1124</v>
      </c>
      <c r="F913">
        <v>4</v>
      </c>
      <c r="G913" t="s">
        <v>396</v>
      </c>
      <c r="H913" t="str">
        <f>VLOOKUP(Tabla3[[#This Row],[DESCRIPCION MATERIAL]],'CODIGO MAT'!$C$2:$D$390,2,FALSE)</f>
        <v>AVI0000153</v>
      </c>
      <c r="L913" t="e">
        <v>#N/A</v>
      </c>
      <c r="M913" t="s">
        <v>992</v>
      </c>
      <c r="N913" t="e">
        <f>M913&amp;Tabla3[[#This Row],[CODIGO PRODUCTO TERMINADO]]&amp;"','"&amp;L913&amp;"',"&amp;Tabla3[[#This Row],[CANTIDAD MATERIAL (M)]]&amp;");"</f>
        <v>#N/A</v>
      </c>
    </row>
    <row r="914" spans="1:14" x14ac:dyDescent="0.25">
      <c r="A914" t="s">
        <v>1089</v>
      </c>
      <c r="B914" t="s">
        <v>63</v>
      </c>
      <c r="C914" t="s">
        <v>1118</v>
      </c>
      <c r="D914" t="s">
        <v>50</v>
      </c>
      <c r="E914" s="8" t="s">
        <v>131</v>
      </c>
      <c r="F914">
        <v>1.32</v>
      </c>
      <c r="G914" t="s">
        <v>78</v>
      </c>
      <c r="H914" t="str">
        <f>VLOOKUP(Tabla3[[#This Row],[DESCRIPCION MATERIAL]],'CODIGO MAT'!$C$2:$D$390,2,FALSE)</f>
        <v>TEL0000058</v>
      </c>
      <c r="J914">
        <v>1</v>
      </c>
      <c r="K914">
        <v>0</v>
      </c>
      <c r="L914" t="e">
        <v>#N/A</v>
      </c>
      <c r="M914" t="s">
        <v>992</v>
      </c>
      <c r="N914" t="e">
        <f>M914&amp;Tabla3[[#This Row],[CODIGO PRODUCTO TERMINADO]]&amp;"','"&amp;L914&amp;"',"&amp;Tabla3[[#This Row],[CANTIDAD MATERIAL (M)]]&amp;");"</f>
        <v>#N/A</v>
      </c>
    </row>
    <row r="915" spans="1:14" x14ac:dyDescent="0.25">
      <c r="A915" t="s">
        <v>1089</v>
      </c>
      <c r="B915" t="s">
        <v>63</v>
      </c>
      <c r="C915" t="s">
        <v>1118</v>
      </c>
      <c r="D915" t="s">
        <v>51</v>
      </c>
      <c r="E915" s="8" t="s">
        <v>996</v>
      </c>
      <c r="F915">
        <v>0.5</v>
      </c>
      <c r="G915" t="s">
        <v>78</v>
      </c>
      <c r="H915" t="str">
        <f>VLOOKUP(Tabla3[[#This Row],[DESCRIPCION MATERIAL]],'CODIGO MAT'!$C$2:$D$390,2,FALSE)</f>
        <v>AVI0000148</v>
      </c>
      <c r="J915">
        <v>1</v>
      </c>
      <c r="K915">
        <v>0</v>
      </c>
    </row>
    <row r="916" spans="1:14" x14ac:dyDescent="0.25">
      <c r="A916" t="s">
        <v>1089</v>
      </c>
      <c r="B916" t="s">
        <v>63</v>
      </c>
      <c r="C916" t="s">
        <v>1118</v>
      </c>
      <c r="D916" t="s">
        <v>51</v>
      </c>
      <c r="E916" s="8" t="s">
        <v>1097</v>
      </c>
      <c r="F916">
        <v>0.36</v>
      </c>
      <c r="G916" t="s">
        <v>78</v>
      </c>
      <c r="H916" t="str">
        <f>VLOOKUP(Tabla3[[#This Row],[DESCRIPCION MATERIAL]],'CODIGO MAT'!$C$2:$D$390,2,FALSE)</f>
        <v>AVI0000152</v>
      </c>
      <c r="J916">
        <v>1</v>
      </c>
      <c r="K916">
        <v>0</v>
      </c>
    </row>
    <row r="917" spans="1:14" x14ac:dyDescent="0.25">
      <c r="A917" t="s">
        <v>1089</v>
      </c>
      <c r="B917" t="s">
        <v>63</v>
      </c>
      <c r="C917" t="s">
        <v>1118</v>
      </c>
      <c r="D917" t="s">
        <v>51</v>
      </c>
      <c r="E917" s="8" t="s">
        <v>1124</v>
      </c>
      <c r="F917">
        <v>4</v>
      </c>
      <c r="G917" t="s">
        <v>396</v>
      </c>
      <c r="H917" t="str">
        <f>VLOOKUP(Tabla3[[#This Row],[DESCRIPCION MATERIAL]],'CODIGO MAT'!$C$2:$D$390,2,FALSE)</f>
        <v>AVI0000153</v>
      </c>
    </row>
    <row r="918" spans="1:14" x14ac:dyDescent="0.25">
      <c r="A918" t="s">
        <v>1090</v>
      </c>
      <c r="B918" t="s">
        <v>63</v>
      </c>
      <c r="C918" t="s">
        <v>1119</v>
      </c>
      <c r="D918" t="s">
        <v>50</v>
      </c>
      <c r="E918" s="8" t="s">
        <v>131</v>
      </c>
      <c r="F918">
        <v>1.46</v>
      </c>
      <c r="G918" t="s">
        <v>78</v>
      </c>
      <c r="H918" t="str">
        <f>VLOOKUP(Tabla3[[#This Row],[DESCRIPCION MATERIAL]],'CODIGO MAT'!$C$2:$D$390,2,FALSE)</f>
        <v>TEL0000058</v>
      </c>
      <c r="J918">
        <v>1</v>
      </c>
      <c r="K918">
        <v>0</v>
      </c>
    </row>
    <row r="919" spans="1:14" x14ac:dyDescent="0.25">
      <c r="A919" t="s">
        <v>1090</v>
      </c>
      <c r="B919" t="s">
        <v>63</v>
      </c>
      <c r="C919" t="s">
        <v>1119</v>
      </c>
      <c r="D919" t="s">
        <v>51</v>
      </c>
      <c r="E919" s="8" t="s">
        <v>996</v>
      </c>
      <c r="F919">
        <v>0.5</v>
      </c>
      <c r="G919" t="s">
        <v>78</v>
      </c>
      <c r="H919" t="str">
        <f>VLOOKUP(Tabla3[[#This Row],[DESCRIPCION MATERIAL]],'CODIGO MAT'!$C$2:$D$390,2,FALSE)</f>
        <v>AVI0000148</v>
      </c>
      <c r="J919">
        <v>1</v>
      </c>
      <c r="K919">
        <v>0</v>
      </c>
    </row>
    <row r="920" spans="1:14" x14ac:dyDescent="0.25">
      <c r="A920" t="s">
        <v>1090</v>
      </c>
      <c r="B920" t="s">
        <v>63</v>
      </c>
      <c r="C920" t="s">
        <v>1119</v>
      </c>
      <c r="D920" t="s">
        <v>51</v>
      </c>
      <c r="E920" s="8" t="s">
        <v>1097</v>
      </c>
      <c r="F920">
        <v>0.36</v>
      </c>
      <c r="G920" t="s">
        <v>78</v>
      </c>
      <c r="H920" t="str">
        <f>VLOOKUP(Tabla3[[#This Row],[DESCRIPCION MATERIAL]],'CODIGO MAT'!$C$2:$D$390,2,FALSE)</f>
        <v>AVI0000152</v>
      </c>
      <c r="J920">
        <v>1</v>
      </c>
      <c r="K920">
        <v>0</v>
      </c>
    </row>
    <row r="921" spans="1:14" x14ac:dyDescent="0.25">
      <c r="A921" t="s">
        <v>1090</v>
      </c>
      <c r="B921" t="s">
        <v>63</v>
      </c>
      <c r="C921" t="s">
        <v>1119</v>
      </c>
      <c r="D921" t="s">
        <v>51</v>
      </c>
      <c r="E921" s="8" t="s">
        <v>1124</v>
      </c>
      <c r="F921">
        <v>4</v>
      </c>
      <c r="G921" t="s">
        <v>396</v>
      </c>
      <c r="H921" t="str">
        <f>VLOOKUP(Tabla3[[#This Row],[DESCRIPCION MATERIAL]],'CODIGO MAT'!$C$2:$D$390,2,FALSE)</f>
        <v>AVI0000153</v>
      </c>
    </row>
    <row r="922" spans="1:14" x14ac:dyDescent="0.25">
      <c r="A922" t="s">
        <v>1091</v>
      </c>
      <c r="B922" t="s">
        <v>63</v>
      </c>
      <c r="C922" t="s">
        <v>1120</v>
      </c>
      <c r="D922" t="s">
        <v>50</v>
      </c>
      <c r="E922" s="8" t="s">
        <v>131</v>
      </c>
      <c r="G922" t="s">
        <v>78</v>
      </c>
      <c r="H922" t="str">
        <f>VLOOKUP(Tabla3[[#This Row],[DESCRIPCION MATERIAL]],'CODIGO MAT'!$C$2:$D$390,2,FALSE)</f>
        <v>TEL0000058</v>
      </c>
      <c r="J922">
        <v>1</v>
      </c>
      <c r="K922">
        <v>0</v>
      </c>
    </row>
    <row r="923" spans="1:14" x14ac:dyDescent="0.25">
      <c r="A923" t="s">
        <v>1091</v>
      </c>
      <c r="B923" t="s">
        <v>63</v>
      </c>
      <c r="C923" t="s">
        <v>1120</v>
      </c>
      <c r="D923" t="s">
        <v>51</v>
      </c>
      <c r="E923" s="8" t="s">
        <v>996</v>
      </c>
      <c r="F923">
        <v>0.5</v>
      </c>
      <c r="G923" t="s">
        <v>78</v>
      </c>
      <c r="H923" t="str">
        <f>VLOOKUP(Tabla3[[#This Row],[DESCRIPCION MATERIAL]],'CODIGO MAT'!$C$2:$D$390,2,FALSE)</f>
        <v>AVI0000148</v>
      </c>
      <c r="J923">
        <v>1</v>
      </c>
      <c r="K923">
        <v>0</v>
      </c>
    </row>
    <row r="924" spans="1:14" x14ac:dyDescent="0.25">
      <c r="A924" t="s">
        <v>1091</v>
      </c>
      <c r="B924" t="s">
        <v>63</v>
      </c>
      <c r="C924" t="s">
        <v>1120</v>
      </c>
      <c r="D924" t="s">
        <v>51</v>
      </c>
      <c r="E924" s="8" t="s">
        <v>1097</v>
      </c>
      <c r="F924">
        <v>0.36</v>
      </c>
      <c r="G924" t="s">
        <v>78</v>
      </c>
      <c r="H924" t="str">
        <f>VLOOKUP(Tabla3[[#This Row],[DESCRIPCION MATERIAL]],'CODIGO MAT'!$C$2:$D$390,2,FALSE)</f>
        <v>AVI0000152</v>
      </c>
      <c r="J924">
        <v>1</v>
      </c>
      <c r="K924">
        <v>0</v>
      </c>
    </row>
    <row r="925" spans="1:14" x14ac:dyDescent="0.25">
      <c r="A925" t="s">
        <v>1091</v>
      </c>
      <c r="B925" t="s">
        <v>63</v>
      </c>
      <c r="C925" t="s">
        <v>1120</v>
      </c>
      <c r="D925" t="s">
        <v>51</v>
      </c>
      <c r="E925" s="8" t="s">
        <v>1124</v>
      </c>
      <c r="F925">
        <v>4</v>
      </c>
      <c r="G925" t="s">
        <v>396</v>
      </c>
      <c r="H925" t="str">
        <f>VLOOKUP(Tabla3[[#This Row],[DESCRIPCION MATERIAL]],'CODIGO MAT'!$C$2:$D$390,2,FALSE)</f>
        <v>AVI0000153</v>
      </c>
    </row>
    <row r="926" spans="1:14" x14ac:dyDescent="0.25">
      <c r="A926" t="s">
        <v>1092</v>
      </c>
      <c r="B926" t="s">
        <v>63</v>
      </c>
      <c r="C926" t="s">
        <v>1121</v>
      </c>
      <c r="D926" t="s">
        <v>50</v>
      </c>
      <c r="E926" s="8" t="s">
        <v>131</v>
      </c>
      <c r="G926" t="s">
        <v>78</v>
      </c>
      <c r="H926" t="str">
        <f>VLOOKUP(Tabla3[[#This Row],[DESCRIPCION MATERIAL]],'CODIGO MAT'!$C$2:$D$390,2,FALSE)</f>
        <v>TEL0000058</v>
      </c>
      <c r="J926">
        <v>1</v>
      </c>
      <c r="K926">
        <v>0</v>
      </c>
    </row>
    <row r="927" spans="1:14" x14ac:dyDescent="0.25">
      <c r="A927" t="s">
        <v>1092</v>
      </c>
      <c r="B927" t="s">
        <v>63</v>
      </c>
      <c r="C927" t="s">
        <v>1121</v>
      </c>
      <c r="D927" t="s">
        <v>51</v>
      </c>
      <c r="E927" s="8" t="s">
        <v>996</v>
      </c>
      <c r="F927">
        <v>0.5</v>
      </c>
      <c r="G927" t="s">
        <v>78</v>
      </c>
      <c r="H927" t="str">
        <f>VLOOKUP(Tabla3[[#This Row],[DESCRIPCION MATERIAL]],'CODIGO MAT'!$C$2:$D$390,2,FALSE)</f>
        <v>AVI0000148</v>
      </c>
      <c r="J927">
        <v>1</v>
      </c>
      <c r="K927">
        <v>0</v>
      </c>
    </row>
    <row r="928" spans="1:14" x14ac:dyDescent="0.25">
      <c r="A928" t="s">
        <v>1092</v>
      </c>
      <c r="B928" t="s">
        <v>63</v>
      </c>
      <c r="C928" t="s">
        <v>1121</v>
      </c>
      <c r="D928" t="s">
        <v>51</v>
      </c>
      <c r="E928" s="8" t="s">
        <v>1097</v>
      </c>
      <c r="F928">
        <v>0.36</v>
      </c>
      <c r="G928" t="s">
        <v>78</v>
      </c>
      <c r="H928" t="str">
        <f>VLOOKUP(Tabla3[[#This Row],[DESCRIPCION MATERIAL]],'CODIGO MAT'!$C$2:$D$390,2,FALSE)</f>
        <v>AVI0000152</v>
      </c>
      <c r="J928">
        <v>1</v>
      </c>
      <c r="K928">
        <v>0</v>
      </c>
    </row>
    <row r="929" spans="1:11" x14ac:dyDescent="0.25">
      <c r="A929" t="s">
        <v>1092</v>
      </c>
      <c r="B929" t="s">
        <v>63</v>
      </c>
      <c r="C929" t="s">
        <v>1121</v>
      </c>
      <c r="D929" t="s">
        <v>51</v>
      </c>
      <c r="E929" s="8" t="s">
        <v>36</v>
      </c>
      <c r="F929">
        <v>5</v>
      </c>
      <c r="G929" t="s">
        <v>396</v>
      </c>
      <c r="H929" t="str">
        <f>VLOOKUP(Tabla3[[#This Row],[DESCRIPCION MATERIAL]],'CODIGO MAT'!$C$2:$D$390,2,FALSE)</f>
        <v>AVI0000135</v>
      </c>
    </row>
    <row r="930" spans="1:11" x14ac:dyDescent="0.25">
      <c r="A930" t="s">
        <v>1093</v>
      </c>
      <c r="B930" t="s">
        <v>63</v>
      </c>
      <c r="C930" t="s">
        <v>1122</v>
      </c>
      <c r="D930" t="s">
        <v>50</v>
      </c>
      <c r="E930" s="8" t="s">
        <v>131</v>
      </c>
      <c r="G930" t="s">
        <v>78</v>
      </c>
      <c r="H930" t="str">
        <f>VLOOKUP(Tabla3[[#This Row],[DESCRIPCION MATERIAL]],'CODIGO MAT'!$C$2:$D$390,2,FALSE)</f>
        <v>TEL0000058</v>
      </c>
      <c r="J930">
        <v>1</v>
      </c>
      <c r="K930">
        <v>0</v>
      </c>
    </row>
    <row r="931" spans="1:11" x14ac:dyDescent="0.25">
      <c r="A931" t="s">
        <v>1093</v>
      </c>
      <c r="B931" t="s">
        <v>63</v>
      </c>
      <c r="C931" t="s">
        <v>1122</v>
      </c>
      <c r="D931" t="s">
        <v>51</v>
      </c>
      <c r="E931" s="8" t="s">
        <v>996</v>
      </c>
      <c r="F931">
        <v>0.5</v>
      </c>
      <c r="G931" t="s">
        <v>78</v>
      </c>
      <c r="H931" t="str">
        <f>VLOOKUP(Tabla3[[#This Row],[DESCRIPCION MATERIAL]],'CODIGO MAT'!$C$2:$D$390,2,FALSE)</f>
        <v>AVI0000148</v>
      </c>
      <c r="J931">
        <v>1</v>
      </c>
      <c r="K931">
        <v>0</v>
      </c>
    </row>
    <row r="932" spans="1:11" x14ac:dyDescent="0.25">
      <c r="A932" t="s">
        <v>1093</v>
      </c>
      <c r="B932" t="s">
        <v>63</v>
      </c>
      <c r="C932" t="s">
        <v>1122</v>
      </c>
      <c r="D932" t="s">
        <v>51</v>
      </c>
      <c r="E932" s="8" t="s">
        <v>1097</v>
      </c>
      <c r="F932">
        <v>0.36</v>
      </c>
      <c r="G932" t="s">
        <v>78</v>
      </c>
      <c r="H932" t="str">
        <f>VLOOKUP(Tabla3[[#This Row],[DESCRIPCION MATERIAL]],'CODIGO MAT'!$C$2:$D$390,2,FALSE)</f>
        <v>AVI0000152</v>
      </c>
      <c r="J932">
        <v>1</v>
      </c>
      <c r="K932">
        <v>0</v>
      </c>
    </row>
    <row r="933" spans="1:11" x14ac:dyDescent="0.25">
      <c r="A933" t="s">
        <v>1093</v>
      </c>
      <c r="B933" t="s">
        <v>63</v>
      </c>
      <c r="C933" t="s">
        <v>1122</v>
      </c>
      <c r="D933" t="s">
        <v>51</v>
      </c>
      <c r="E933" s="8" t="s">
        <v>36</v>
      </c>
      <c r="F933">
        <v>5</v>
      </c>
      <c r="G933" t="s">
        <v>396</v>
      </c>
      <c r="H933" t="str">
        <f>VLOOKUP(Tabla3[[#This Row],[DESCRIPCION MATERIAL]],'CODIGO MAT'!$C$2:$D$390,2,FALSE)</f>
        <v>AVI0000135</v>
      </c>
    </row>
    <row r="934" spans="1:11" x14ac:dyDescent="0.25">
      <c r="A934" t="s">
        <v>1017</v>
      </c>
      <c r="B934" t="s">
        <v>63</v>
      </c>
      <c r="C934" t="s">
        <v>1016</v>
      </c>
      <c r="D934" t="s">
        <v>51</v>
      </c>
      <c r="E934" s="8" t="s">
        <v>1128</v>
      </c>
      <c r="F934">
        <v>5.0000000000000001E-3</v>
      </c>
      <c r="G934" t="s">
        <v>78</v>
      </c>
      <c r="H934" t="str">
        <f>VLOOKUP(Tabla3[[#This Row],[DESCRIPCION MATERIAL]],'CODIGO MAT'!$C$2:$D$390,2,FALSE)</f>
        <v>AVI0000149</v>
      </c>
    </row>
    <row r="935" spans="1:11" x14ac:dyDescent="0.25">
      <c r="A935" t="s">
        <v>1026</v>
      </c>
      <c r="B935" t="s">
        <v>63</v>
      </c>
      <c r="C935" t="s">
        <v>1018</v>
      </c>
      <c r="D935" t="s">
        <v>51</v>
      </c>
      <c r="E935" s="8" t="s">
        <v>1128</v>
      </c>
      <c r="F935">
        <v>5.0000000000000001E-3</v>
      </c>
      <c r="G935" t="s">
        <v>78</v>
      </c>
      <c r="H935" t="str">
        <f>VLOOKUP(Tabla3[[#This Row],[DESCRIPCION MATERIAL]],'CODIGO MAT'!$C$2:$D$390,2,FALSE)</f>
        <v>AVI0000149</v>
      </c>
    </row>
    <row r="936" spans="1:11" x14ac:dyDescent="0.25">
      <c r="A936" t="s">
        <v>1027</v>
      </c>
      <c r="B936" t="s">
        <v>63</v>
      </c>
      <c r="C936" t="s">
        <v>1019</v>
      </c>
      <c r="D936" t="s">
        <v>51</v>
      </c>
      <c r="E936" s="8" t="s">
        <v>1128</v>
      </c>
      <c r="F936">
        <v>5.0000000000000001E-3</v>
      </c>
      <c r="G936" t="s">
        <v>78</v>
      </c>
      <c r="H936" t="str">
        <f>VLOOKUP(Tabla3[[#This Row],[DESCRIPCION MATERIAL]],'CODIGO MAT'!$C$2:$D$390,2,FALSE)</f>
        <v>AVI0000149</v>
      </c>
    </row>
    <row r="937" spans="1:11" x14ac:dyDescent="0.25">
      <c r="A937" t="s">
        <v>1028</v>
      </c>
      <c r="B937" t="s">
        <v>63</v>
      </c>
      <c r="C937" t="s">
        <v>1020</v>
      </c>
      <c r="D937" t="s">
        <v>51</v>
      </c>
      <c r="E937" s="8" t="s">
        <v>1128</v>
      </c>
      <c r="F937">
        <v>5.0000000000000001E-3</v>
      </c>
      <c r="G937" t="s">
        <v>78</v>
      </c>
      <c r="H937" t="str">
        <f>VLOOKUP(Tabla3[[#This Row],[DESCRIPCION MATERIAL]],'CODIGO MAT'!$C$2:$D$390,2,FALSE)</f>
        <v>AVI0000149</v>
      </c>
    </row>
    <row r="938" spans="1:11" x14ac:dyDescent="0.25">
      <c r="A938" t="s">
        <v>1029</v>
      </c>
      <c r="B938" t="s">
        <v>63</v>
      </c>
      <c r="C938" t="s">
        <v>1021</v>
      </c>
      <c r="D938" t="s">
        <v>51</v>
      </c>
      <c r="E938" s="8" t="s">
        <v>1128</v>
      </c>
      <c r="F938">
        <v>5.0000000000000001E-3</v>
      </c>
      <c r="G938" t="s">
        <v>78</v>
      </c>
      <c r="H938" t="str">
        <f>VLOOKUP(Tabla3[[#This Row],[DESCRIPCION MATERIAL]],'CODIGO MAT'!$C$2:$D$390,2,FALSE)</f>
        <v>AVI0000149</v>
      </c>
    </row>
    <row r="939" spans="1:11" x14ac:dyDescent="0.25">
      <c r="A939" t="s">
        <v>1030</v>
      </c>
      <c r="B939" t="s">
        <v>63</v>
      </c>
      <c r="C939" t="s">
        <v>1022</v>
      </c>
      <c r="D939" t="s">
        <v>51</v>
      </c>
      <c r="E939" s="8" t="s">
        <v>1128</v>
      </c>
      <c r="F939">
        <v>5.0000000000000001E-3</v>
      </c>
      <c r="G939" t="s">
        <v>78</v>
      </c>
      <c r="H939" t="str">
        <f>VLOOKUP(Tabla3[[#This Row],[DESCRIPCION MATERIAL]],'CODIGO MAT'!$C$2:$D$390,2,FALSE)</f>
        <v>AVI0000149</v>
      </c>
    </row>
    <row r="940" spans="1:11" x14ac:dyDescent="0.25">
      <c r="A940" t="s">
        <v>1031</v>
      </c>
      <c r="B940" t="s">
        <v>63</v>
      </c>
      <c r="C940" t="s">
        <v>1023</v>
      </c>
      <c r="D940" t="s">
        <v>51</v>
      </c>
      <c r="E940" s="8" t="s">
        <v>1128</v>
      </c>
      <c r="F940">
        <v>5.0000000000000001E-3</v>
      </c>
      <c r="G940" t="s">
        <v>78</v>
      </c>
      <c r="H940" t="str">
        <f>VLOOKUP(Tabla3[[#This Row],[DESCRIPCION MATERIAL]],'CODIGO MAT'!$C$2:$D$390,2,FALSE)</f>
        <v>AVI0000149</v>
      </c>
    </row>
    <row r="941" spans="1:11" x14ac:dyDescent="0.25">
      <c r="A941" t="s">
        <v>1032</v>
      </c>
      <c r="B941" t="s">
        <v>63</v>
      </c>
      <c r="C941" t="s">
        <v>1024</v>
      </c>
      <c r="D941" t="s">
        <v>51</v>
      </c>
      <c r="E941" s="8" t="s">
        <v>1128</v>
      </c>
      <c r="F941">
        <v>5.0000000000000001E-3</v>
      </c>
      <c r="G941" t="s">
        <v>78</v>
      </c>
      <c r="H941" t="str">
        <f>VLOOKUP(Tabla3[[#This Row],[DESCRIPCION MATERIAL]],'CODIGO MAT'!$C$2:$D$390,2,FALSE)</f>
        <v>AVI0000149</v>
      </c>
    </row>
    <row r="942" spans="1:11" x14ac:dyDescent="0.25">
      <c r="A942" t="s">
        <v>1033</v>
      </c>
      <c r="B942" t="s">
        <v>63</v>
      </c>
      <c r="C942" t="s">
        <v>1025</v>
      </c>
      <c r="D942" t="s">
        <v>51</v>
      </c>
      <c r="E942" s="8" t="s">
        <v>1128</v>
      </c>
      <c r="F942">
        <v>5.0000000000000001E-3</v>
      </c>
      <c r="G942" t="s">
        <v>78</v>
      </c>
      <c r="H942" t="str">
        <f>VLOOKUP(Tabla3[[#This Row],[DESCRIPCION MATERIAL]],'CODIGO MAT'!$C$2:$D$390,2,FALSE)</f>
        <v>AVI0000149</v>
      </c>
    </row>
    <row r="943" spans="1:11" x14ac:dyDescent="0.25">
      <c r="A943" t="s">
        <v>1043</v>
      </c>
      <c r="B943" t="s">
        <v>63</v>
      </c>
      <c r="C943" t="s">
        <v>1034</v>
      </c>
      <c r="D943" t="s">
        <v>51</v>
      </c>
      <c r="E943" s="8" t="s">
        <v>1128</v>
      </c>
      <c r="F943">
        <v>5.0000000000000001E-3</v>
      </c>
      <c r="G943" t="s">
        <v>78</v>
      </c>
      <c r="H943" t="str">
        <f>VLOOKUP(Tabla3[[#This Row],[DESCRIPCION MATERIAL]],'CODIGO MAT'!$C$2:$D$390,2,FALSE)</f>
        <v>AVI0000149</v>
      </c>
    </row>
    <row r="944" spans="1:11" x14ac:dyDescent="0.25">
      <c r="A944" t="s">
        <v>1044</v>
      </c>
      <c r="B944" t="s">
        <v>63</v>
      </c>
      <c r="C944" t="s">
        <v>1035</v>
      </c>
      <c r="D944" t="s">
        <v>51</v>
      </c>
      <c r="E944" s="8" t="s">
        <v>1128</v>
      </c>
      <c r="F944">
        <v>5.0000000000000001E-3</v>
      </c>
      <c r="G944" t="s">
        <v>78</v>
      </c>
      <c r="H944" t="str">
        <f>VLOOKUP(Tabla3[[#This Row],[DESCRIPCION MATERIAL]],'CODIGO MAT'!$C$2:$D$390,2,FALSE)</f>
        <v>AVI0000149</v>
      </c>
    </row>
    <row r="945" spans="1:8" x14ac:dyDescent="0.25">
      <c r="A945" t="s">
        <v>1045</v>
      </c>
      <c r="B945" t="s">
        <v>63</v>
      </c>
      <c r="C945" t="s">
        <v>1036</v>
      </c>
      <c r="D945" t="s">
        <v>51</v>
      </c>
      <c r="E945" s="8" t="s">
        <v>1128</v>
      </c>
      <c r="F945">
        <v>5.0000000000000001E-3</v>
      </c>
      <c r="G945" t="s">
        <v>78</v>
      </c>
      <c r="H945" t="str">
        <f>VLOOKUP(Tabla3[[#This Row],[DESCRIPCION MATERIAL]],'CODIGO MAT'!$C$2:$D$390,2,FALSE)</f>
        <v>AVI0000149</v>
      </c>
    </row>
    <row r="946" spans="1:8" x14ac:dyDescent="0.25">
      <c r="A946" t="s">
        <v>1046</v>
      </c>
      <c r="B946" t="s">
        <v>63</v>
      </c>
      <c r="C946" t="s">
        <v>1037</v>
      </c>
      <c r="D946" t="s">
        <v>51</v>
      </c>
      <c r="E946" s="8" t="s">
        <v>1128</v>
      </c>
      <c r="F946">
        <v>5.0000000000000001E-3</v>
      </c>
      <c r="G946" t="s">
        <v>78</v>
      </c>
      <c r="H946" t="str">
        <f>VLOOKUP(Tabla3[[#This Row],[DESCRIPCION MATERIAL]],'CODIGO MAT'!$C$2:$D$390,2,FALSE)</f>
        <v>AVI0000149</v>
      </c>
    </row>
    <row r="947" spans="1:8" x14ac:dyDescent="0.25">
      <c r="A947" t="s">
        <v>1047</v>
      </c>
      <c r="B947" t="s">
        <v>63</v>
      </c>
      <c r="C947" t="s">
        <v>1038</v>
      </c>
      <c r="D947" t="s">
        <v>51</v>
      </c>
      <c r="E947" s="8" t="s">
        <v>1128</v>
      </c>
      <c r="F947">
        <v>5.0000000000000001E-3</v>
      </c>
      <c r="G947" t="s">
        <v>78</v>
      </c>
      <c r="H947" t="str">
        <f>VLOOKUP(Tabla3[[#This Row],[DESCRIPCION MATERIAL]],'CODIGO MAT'!$C$2:$D$390,2,FALSE)</f>
        <v>AVI0000149</v>
      </c>
    </row>
    <row r="948" spans="1:8" x14ac:dyDescent="0.25">
      <c r="A948" t="s">
        <v>1048</v>
      </c>
      <c r="B948" t="s">
        <v>63</v>
      </c>
      <c r="C948" t="s">
        <v>1039</v>
      </c>
      <c r="D948" t="s">
        <v>51</v>
      </c>
      <c r="E948" s="8" t="s">
        <v>1128</v>
      </c>
      <c r="F948">
        <v>5.0000000000000001E-3</v>
      </c>
      <c r="G948" t="s">
        <v>78</v>
      </c>
      <c r="H948" t="str">
        <f>VLOOKUP(Tabla3[[#This Row],[DESCRIPCION MATERIAL]],'CODIGO MAT'!$C$2:$D$390,2,FALSE)</f>
        <v>AVI0000149</v>
      </c>
    </row>
    <row r="949" spans="1:8" x14ac:dyDescent="0.25">
      <c r="A949" t="s">
        <v>1049</v>
      </c>
      <c r="B949" t="s">
        <v>63</v>
      </c>
      <c r="C949" t="s">
        <v>1040</v>
      </c>
      <c r="D949" t="s">
        <v>51</v>
      </c>
      <c r="E949" s="8" t="s">
        <v>1128</v>
      </c>
      <c r="F949">
        <v>5.0000000000000001E-3</v>
      </c>
      <c r="G949" t="s">
        <v>78</v>
      </c>
      <c r="H949" t="str">
        <f>VLOOKUP(Tabla3[[#This Row],[DESCRIPCION MATERIAL]],'CODIGO MAT'!$C$2:$D$390,2,FALSE)</f>
        <v>AVI0000149</v>
      </c>
    </row>
    <row r="950" spans="1:8" x14ac:dyDescent="0.25">
      <c r="A950" t="s">
        <v>1050</v>
      </c>
      <c r="B950" t="s">
        <v>63</v>
      </c>
      <c r="C950" t="s">
        <v>1041</v>
      </c>
      <c r="D950" t="s">
        <v>51</v>
      </c>
      <c r="E950" s="8" t="s">
        <v>1128</v>
      </c>
      <c r="F950">
        <v>5.0000000000000001E-3</v>
      </c>
      <c r="G950" t="s">
        <v>78</v>
      </c>
      <c r="H950" t="str">
        <f>VLOOKUP(Tabla3[[#This Row],[DESCRIPCION MATERIAL]],'CODIGO MAT'!$C$2:$D$390,2,FALSE)</f>
        <v>AVI0000149</v>
      </c>
    </row>
    <row r="951" spans="1:8" x14ac:dyDescent="0.25">
      <c r="A951" t="s">
        <v>1051</v>
      </c>
      <c r="B951" t="s">
        <v>63</v>
      </c>
      <c r="C951" t="s">
        <v>1042</v>
      </c>
      <c r="D951" t="s">
        <v>51</v>
      </c>
      <c r="E951" s="8" t="s">
        <v>1128</v>
      </c>
      <c r="F951">
        <v>5.0000000000000001E-3</v>
      </c>
      <c r="G951" t="s">
        <v>78</v>
      </c>
      <c r="H951" t="str">
        <f>VLOOKUP(Tabla3[[#This Row],[DESCRIPCION MATERIAL]],'CODIGO MAT'!$C$2:$D$390,2,FALSE)</f>
        <v>AVI0000149</v>
      </c>
    </row>
    <row r="952" spans="1:8" x14ac:dyDescent="0.25">
      <c r="A952" t="s">
        <v>1017</v>
      </c>
      <c r="B952" t="s">
        <v>63</v>
      </c>
      <c r="C952" t="s">
        <v>1067</v>
      </c>
      <c r="D952" t="s">
        <v>51</v>
      </c>
      <c r="E952" s="8" t="s">
        <v>1128</v>
      </c>
      <c r="F952">
        <v>5.0000000000000001E-3</v>
      </c>
      <c r="G952" t="s">
        <v>78</v>
      </c>
      <c r="H952" t="str">
        <f>VLOOKUP(Tabla3[[#This Row],[DESCRIPCION MATERIAL]],'CODIGO MAT'!$C$2:$D$390,2,FALSE)</f>
        <v>AVI0000149</v>
      </c>
    </row>
    <row r="953" spans="1:8" x14ac:dyDescent="0.25">
      <c r="A953" t="s">
        <v>1026</v>
      </c>
      <c r="B953" t="s">
        <v>63</v>
      </c>
      <c r="C953" t="s">
        <v>1068</v>
      </c>
      <c r="D953" t="s">
        <v>51</v>
      </c>
      <c r="E953" s="8" t="s">
        <v>1128</v>
      </c>
      <c r="F953">
        <v>5.0000000000000001E-3</v>
      </c>
      <c r="G953" t="s">
        <v>78</v>
      </c>
      <c r="H953" t="str">
        <f>VLOOKUP(Tabla3[[#This Row],[DESCRIPCION MATERIAL]],'CODIGO MAT'!$C$2:$D$390,2,FALSE)</f>
        <v>AVI0000149</v>
      </c>
    </row>
    <row r="954" spans="1:8" x14ac:dyDescent="0.25">
      <c r="A954" t="s">
        <v>1027</v>
      </c>
      <c r="B954" t="s">
        <v>63</v>
      </c>
      <c r="C954" t="s">
        <v>1069</v>
      </c>
      <c r="D954" t="s">
        <v>51</v>
      </c>
      <c r="E954" s="8" t="s">
        <v>1128</v>
      </c>
      <c r="F954">
        <v>5.0000000000000001E-3</v>
      </c>
      <c r="G954" t="s">
        <v>78</v>
      </c>
      <c r="H954" t="str">
        <f>VLOOKUP(Tabla3[[#This Row],[DESCRIPCION MATERIAL]],'CODIGO MAT'!$C$2:$D$390,2,FALSE)</f>
        <v>AVI0000149</v>
      </c>
    </row>
    <row r="955" spans="1:8" x14ac:dyDescent="0.25">
      <c r="A955" t="s">
        <v>1028</v>
      </c>
      <c r="B955" t="s">
        <v>63</v>
      </c>
      <c r="C955" t="s">
        <v>1070</v>
      </c>
      <c r="D955" t="s">
        <v>51</v>
      </c>
      <c r="E955" s="8" t="s">
        <v>1128</v>
      </c>
      <c r="F955">
        <v>5.0000000000000001E-3</v>
      </c>
      <c r="G955" t="s">
        <v>78</v>
      </c>
      <c r="H955" t="str">
        <f>VLOOKUP(Tabla3[[#This Row],[DESCRIPCION MATERIAL]],'CODIGO MAT'!$C$2:$D$390,2,FALSE)</f>
        <v>AVI0000149</v>
      </c>
    </row>
    <row r="956" spans="1:8" x14ac:dyDescent="0.25">
      <c r="A956" t="s">
        <v>1029</v>
      </c>
      <c r="B956" t="s">
        <v>63</v>
      </c>
      <c r="C956" t="s">
        <v>1071</v>
      </c>
      <c r="D956" t="s">
        <v>51</v>
      </c>
      <c r="E956" s="8" t="s">
        <v>1128</v>
      </c>
      <c r="F956">
        <v>5.0000000000000001E-3</v>
      </c>
      <c r="G956" t="s">
        <v>78</v>
      </c>
      <c r="H956" t="str">
        <f>VLOOKUP(Tabla3[[#This Row],[DESCRIPCION MATERIAL]],'CODIGO MAT'!$C$2:$D$390,2,FALSE)</f>
        <v>AVI0000149</v>
      </c>
    </row>
    <row r="957" spans="1:8" x14ac:dyDescent="0.25">
      <c r="A957" t="s">
        <v>1030</v>
      </c>
      <c r="B957" t="s">
        <v>63</v>
      </c>
      <c r="C957" t="s">
        <v>1072</v>
      </c>
      <c r="D957" t="s">
        <v>51</v>
      </c>
      <c r="E957" s="8" t="s">
        <v>1128</v>
      </c>
      <c r="F957">
        <v>5.0000000000000001E-3</v>
      </c>
      <c r="G957" t="s">
        <v>78</v>
      </c>
      <c r="H957" t="str">
        <f>VLOOKUP(Tabla3[[#This Row],[DESCRIPCION MATERIAL]],'CODIGO MAT'!$C$2:$D$390,2,FALSE)</f>
        <v>AVI0000149</v>
      </c>
    </row>
    <row r="958" spans="1:8" x14ac:dyDescent="0.25">
      <c r="A958" t="s">
        <v>1031</v>
      </c>
      <c r="B958" t="s">
        <v>63</v>
      </c>
      <c r="C958" t="s">
        <v>1073</v>
      </c>
      <c r="D958" t="s">
        <v>51</v>
      </c>
      <c r="E958" s="8" t="s">
        <v>1128</v>
      </c>
      <c r="F958">
        <v>5.0000000000000001E-3</v>
      </c>
      <c r="G958" t="s">
        <v>78</v>
      </c>
      <c r="H958" t="str">
        <f>VLOOKUP(Tabla3[[#This Row],[DESCRIPCION MATERIAL]],'CODIGO MAT'!$C$2:$D$390,2,FALSE)</f>
        <v>AVI0000149</v>
      </c>
    </row>
    <row r="959" spans="1:8" x14ac:dyDescent="0.25">
      <c r="A959" t="s">
        <v>1032</v>
      </c>
      <c r="B959" t="s">
        <v>63</v>
      </c>
      <c r="C959" t="s">
        <v>1074</v>
      </c>
      <c r="D959" t="s">
        <v>51</v>
      </c>
      <c r="E959" s="8" t="s">
        <v>1128</v>
      </c>
      <c r="F959">
        <v>5.0000000000000001E-3</v>
      </c>
      <c r="G959" t="s">
        <v>78</v>
      </c>
      <c r="H959" t="str">
        <f>VLOOKUP(Tabla3[[#This Row],[DESCRIPCION MATERIAL]],'CODIGO MAT'!$C$2:$D$390,2,FALSE)</f>
        <v>AVI0000149</v>
      </c>
    </row>
    <row r="960" spans="1:8" x14ac:dyDescent="0.25">
      <c r="A960" t="s">
        <v>1033</v>
      </c>
      <c r="B960" t="s">
        <v>63</v>
      </c>
      <c r="C960" t="s">
        <v>1075</v>
      </c>
      <c r="D960" t="s">
        <v>51</v>
      </c>
      <c r="E960" s="8" t="s">
        <v>1128</v>
      </c>
      <c r="F960">
        <v>5.0000000000000001E-3</v>
      </c>
      <c r="G960" t="s">
        <v>78</v>
      </c>
      <c r="H960" t="str">
        <f>VLOOKUP(Tabla3[[#This Row],[DESCRIPCION MATERIAL]],'CODIGO MAT'!$C$2:$D$390,2,FALSE)</f>
        <v>AVI0000149</v>
      </c>
    </row>
    <row r="961" spans="1:11" x14ac:dyDescent="0.25">
      <c r="A961" t="s">
        <v>1085</v>
      </c>
      <c r="B961" t="s">
        <v>63</v>
      </c>
      <c r="C961" t="s">
        <v>1076</v>
      </c>
      <c r="D961" t="s">
        <v>51</v>
      </c>
      <c r="E961" s="8" t="s">
        <v>1128</v>
      </c>
      <c r="F961">
        <v>5.0000000000000001E-3</v>
      </c>
      <c r="G961" t="s">
        <v>78</v>
      </c>
      <c r="H961" t="str">
        <f>VLOOKUP(Tabla3[[#This Row],[DESCRIPCION MATERIAL]],'CODIGO MAT'!$C$2:$D$390,2,FALSE)</f>
        <v>AVI0000149</v>
      </c>
    </row>
    <row r="962" spans="1:11" x14ac:dyDescent="0.25">
      <c r="A962" t="s">
        <v>1086</v>
      </c>
      <c r="B962" t="s">
        <v>63</v>
      </c>
      <c r="C962" t="s">
        <v>1077</v>
      </c>
      <c r="D962" t="s">
        <v>51</v>
      </c>
      <c r="E962" s="8" t="s">
        <v>1128</v>
      </c>
      <c r="F962">
        <v>5.0000000000000001E-3</v>
      </c>
      <c r="G962" t="s">
        <v>78</v>
      </c>
      <c r="H962" t="str">
        <f>VLOOKUP(Tabla3[[#This Row],[DESCRIPCION MATERIAL]],'CODIGO MAT'!$C$2:$D$390,2,FALSE)</f>
        <v>AVI0000149</v>
      </c>
    </row>
    <row r="963" spans="1:11" x14ac:dyDescent="0.25">
      <c r="A963" t="s">
        <v>1087</v>
      </c>
      <c r="B963" t="s">
        <v>63</v>
      </c>
      <c r="C963" t="s">
        <v>1078</v>
      </c>
      <c r="D963" t="s">
        <v>51</v>
      </c>
      <c r="E963" s="8" t="s">
        <v>1128</v>
      </c>
      <c r="F963">
        <v>5.0000000000000001E-3</v>
      </c>
      <c r="G963" t="s">
        <v>78</v>
      </c>
      <c r="H963" t="str">
        <f>VLOOKUP(Tabla3[[#This Row],[DESCRIPCION MATERIAL]],'CODIGO MAT'!$C$2:$D$390,2,FALSE)</f>
        <v>AVI0000149</v>
      </c>
    </row>
    <row r="964" spans="1:11" x14ac:dyDescent="0.25">
      <c r="A964" t="s">
        <v>1088</v>
      </c>
      <c r="B964" t="s">
        <v>63</v>
      </c>
      <c r="C964" t="s">
        <v>1079</v>
      </c>
      <c r="D964" t="s">
        <v>51</v>
      </c>
      <c r="E964" s="8" t="s">
        <v>1128</v>
      </c>
      <c r="F964">
        <v>5.0000000000000001E-3</v>
      </c>
      <c r="G964" t="s">
        <v>78</v>
      </c>
      <c r="H964" t="str">
        <f>VLOOKUP(Tabla3[[#This Row],[DESCRIPCION MATERIAL]],'CODIGO MAT'!$C$2:$D$390,2,FALSE)</f>
        <v>AVI0000149</v>
      </c>
    </row>
    <row r="965" spans="1:11" x14ac:dyDescent="0.25">
      <c r="A965" t="s">
        <v>1089</v>
      </c>
      <c r="B965" t="s">
        <v>63</v>
      </c>
      <c r="C965" t="s">
        <v>1080</v>
      </c>
      <c r="D965" t="s">
        <v>51</v>
      </c>
      <c r="E965" s="8" t="s">
        <v>1128</v>
      </c>
      <c r="F965">
        <v>5.0000000000000001E-3</v>
      </c>
      <c r="G965" t="s">
        <v>78</v>
      </c>
      <c r="H965" t="str">
        <f>VLOOKUP(Tabla3[[#This Row],[DESCRIPCION MATERIAL]],'CODIGO MAT'!$C$2:$D$390,2,FALSE)</f>
        <v>AVI0000149</v>
      </c>
    </row>
    <row r="966" spans="1:11" x14ac:dyDescent="0.25">
      <c r="A966" t="s">
        <v>1090</v>
      </c>
      <c r="B966" t="s">
        <v>63</v>
      </c>
      <c r="C966" t="s">
        <v>1081</v>
      </c>
      <c r="D966" t="s">
        <v>51</v>
      </c>
      <c r="E966" s="8" t="s">
        <v>1128</v>
      </c>
      <c r="F966">
        <v>5.0000000000000001E-3</v>
      </c>
      <c r="G966" t="s">
        <v>78</v>
      </c>
      <c r="H966" t="str">
        <f>VLOOKUP(Tabla3[[#This Row],[DESCRIPCION MATERIAL]],'CODIGO MAT'!$C$2:$D$390,2,FALSE)</f>
        <v>AVI0000149</v>
      </c>
    </row>
    <row r="967" spans="1:11" x14ac:dyDescent="0.25">
      <c r="A967" t="s">
        <v>1091</v>
      </c>
      <c r="B967" t="s">
        <v>63</v>
      </c>
      <c r="C967" t="s">
        <v>1082</v>
      </c>
      <c r="D967" t="s">
        <v>51</v>
      </c>
      <c r="E967" s="8" t="s">
        <v>1128</v>
      </c>
      <c r="F967">
        <v>5.0000000000000001E-3</v>
      </c>
      <c r="G967" t="s">
        <v>78</v>
      </c>
      <c r="H967" t="str">
        <f>VLOOKUP(Tabla3[[#This Row],[DESCRIPCION MATERIAL]],'CODIGO MAT'!$C$2:$D$390,2,FALSE)</f>
        <v>AVI0000149</v>
      </c>
    </row>
    <row r="968" spans="1:11" x14ac:dyDescent="0.25">
      <c r="A968" t="s">
        <v>1092</v>
      </c>
      <c r="B968" t="s">
        <v>63</v>
      </c>
      <c r="C968" t="s">
        <v>1083</v>
      </c>
      <c r="D968" t="s">
        <v>51</v>
      </c>
      <c r="E968" s="8" t="s">
        <v>1128</v>
      </c>
      <c r="F968">
        <v>5.0000000000000001E-3</v>
      </c>
      <c r="G968" t="s">
        <v>78</v>
      </c>
      <c r="H968" t="str">
        <f>VLOOKUP(Tabla3[[#This Row],[DESCRIPCION MATERIAL]],'CODIGO MAT'!$C$2:$D$390,2,FALSE)</f>
        <v>AVI0000149</v>
      </c>
    </row>
    <row r="969" spans="1:11" x14ac:dyDescent="0.25">
      <c r="A969" t="s">
        <v>1093</v>
      </c>
      <c r="B969" t="s">
        <v>63</v>
      </c>
      <c r="C969" t="s">
        <v>1084</v>
      </c>
      <c r="D969" t="s">
        <v>51</v>
      </c>
      <c r="E969" s="8" t="s">
        <v>1128</v>
      </c>
      <c r="F969">
        <v>5.0000000000000001E-3</v>
      </c>
      <c r="G969" t="s">
        <v>78</v>
      </c>
      <c r="H969" t="str">
        <f>VLOOKUP(Tabla3[[#This Row],[DESCRIPCION MATERIAL]],'CODIGO MAT'!$C$2:$D$390,2,FALSE)</f>
        <v>AVI0000149</v>
      </c>
    </row>
    <row r="970" spans="1:11" x14ac:dyDescent="0.25">
      <c r="A970" s="3"/>
      <c r="B970" s="3"/>
      <c r="C970" s="3"/>
      <c r="D970" s="3"/>
      <c r="E970" s="48"/>
      <c r="F970" s="3">
        <v>0</v>
      </c>
      <c r="G970" s="3"/>
      <c r="H970" s="3" t="e">
        <f>VLOOKUP(Tabla3[[#This Row],[DESCRIPCION MATERIAL]],'CODIGO MAT'!$C$2:$D$390,2,FALSE)</f>
        <v>#N/A</v>
      </c>
      <c r="J970" s="3"/>
      <c r="K970" s="3"/>
    </row>
    <row r="971" spans="1:11" x14ac:dyDescent="0.25">
      <c r="A971" t="s">
        <v>1135</v>
      </c>
      <c r="B971" t="s">
        <v>63</v>
      </c>
      <c r="C971" t="s">
        <v>1136</v>
      </c>
      <c r="D971" t="s">
        <v>50</v>
      </c>
      <c r="E971" s="8" t="s">
        <v>241</v>
      </c>
      <c r="F971">
        <v>0.70799999999999996</v>
      </c>
      <c r="G971" t="s">
        <v>78</v>
      </c>
      <c r="H971" t="str">
        <f>VLOOKUP(Tabla3[[#This Row],[DESCRIPCION MATERIAL]],'CODIGO MAT'!$C$2:$D$390,2,FALSE)</f>
        <v>TEL0000169</v>
      </c>
      <c r="J971">
        <v>1</v>
      </c>
      <c r="K971">
        <v>0</v>
      </c>
    </row>
    <row r="972" spans="1:11" x14ac:dyDescent="0.25">
      <c r="A972" t="s">
        <v>1135</v>
      </c>
      <c r="B972" t="s">
        <v>63</v>
      </c>
      <c r="C972" t="s">
        <v>1136</v>
      </c>
      <c r="D972" t="s">
        <v>50</v>
      </c>
      <c r="E972" s="8" t="s">
        <v>232</v>
      </c>
      <c r="F972">
        <v>0.35799999999999998</v>
      </c>
      <c r="G972" t="s">
        <v>78</v>
      </c>
      <c r="H972" t="str">
        <f>VLOOKUP(Tabla3[[#This Row],[DESCRIPCION MATERIAL]],'CODIGO MAT'!$C$2:$D$390,2,FALSE)</f>
        <v>TEL0000160</v>
      </c>
      <c r="J972">
        <v>1</v>
      </c>
      <c r="K972">
        <v>0</v>
      </c>
    </row>
    <row r="973" spans="1:11" x14ac:dyDescent="0.25">
      <c r="A973" t="s">
        <v>1135</v>
      </c>
      <c r="B973" t="s">
        <v>63</v>
      </c>
      <c r="C973" t="s">
        <v>1136</v>
      </c>
      <c r="D973" t="s">
        <v>50</v>
      </c>
      <c r="E973" s="8" t="s">
        <v>239</v>
      </c>
      <c r="F973">
        <v>2.5000000000000001E-2</v>
      </c>
      <c r="G973" t="s">
        <v>78</v>
      </c>
      <c r="H973" t="str">
        <f>VLOOKUP(Tabla3[[#This Row],[DESCRIPCION MATERIAL]],'CODIGO MAT'!$C$2:$D$390,2,FALSE)</f>
        <v>TEL0000167</v>
      </c>
      <c r="J973">
        <v>1</v>
      </c>
      <c r="K973">
        <v>0</v>
      </c>
    </row>
    <row r="974" spans="1:11" x14ac:dyDescent="0.25">
      <c r="A974" t="s">
        <v>1135</v>
      </c>
      <c r="B974" t="s">
        <v>63</v>
      </c>
      <c r="C974" t="s">
        <v>1136</v>
      </c>
      <c r="D974" t="s">
        <v>50</v>
      </c>
      <c r="E974" s="8" t="s">
        <v>11</v>
      </c>
      <c r="F974">
        <v>5.5800000000000002E-2</v>
      </c>
      <c r="G974" t="s">
        <v>78</v>
      </c>
      <c r="H974" t="str">
        <f>VLOOKUP(Tabla3[[#This Row],[DESCRIPCION MATERIAL]],'CODIGO MAT'!$C$2:$D$390,2,FALSE)</f>
        <v>TEL0000149</v>
      </c>
      <c r="J974">
        <v>1</v>
      </c>
      <c r="K974">
        <v>0</v>
      </c>
    </row>
    <row r="975" spans="1:11" x14ac:dyDescent="0.25">
      <c r="A975" t="s">
        <v>1135</v>
      </c>
      <c r="B975" t="s">
        <v>63</v>
      </c>
      <c r="C975" t="s">
        <v>1136</v>
      </c>
      <c r="D975" t="s">
        <v>51</v>
      </c>
      <c r="E975" s="8" t="s">
        <v>425</v>
      </c>
      <c r="F975">
        <v>13.34</v>
      </c>
      <c r="G975" t="s">
        <v>410</v>
      </c>
      <c r="H975" t="str">
        <f>VLOOKUP(Tabla3[[#This Row],[DESCRIPCION MATERIAL]],'CODIGO MAT'!$C$2:$D$390,2,FALSE)</f>
        <v>INS0000015</v>
      </c>
    </row>
    <row r="976" spans="1:11" x14ac:dyDescent="0.25">
      <c r="A976" t="s">
        <v>1135</v>
      </c>
      <c r="B976" t="s">
        <v>63</v>
      </c>
      <c r="C976" t="s">
        <v>1136</v>
      </c>
      <c r="D976" t="s">
        <v>51</v>
      </c>
      <c r="E976" s="8" t="s">
        <v>420</v>
      </c>
      <c r="F976">
        <v>1</v>
      </c>
      <c r="G976" t="s">
        <v>410</v>
      </c>
      <c r="H976" t="str">
        <f>VLOOKUP(Tabla3[[#This Row],[DESCRIPCION MATERIAL]],'CODIGO MAT'!$C$2:$D$390,2,FALSE)</f>
        <v>INS0000010</v>
      </c>
    </row>
    <row r="977" spans="1:11" x14ac:dyDescent="0.25">
      <c r="A977" t="s">
        <v>1185</v>
      </c>
      <c r="B977" t="s">
        <v>63</v>
      </c>
      <c r="C977" t="s">
        <v>1136</v>
      </c>
      <c r="D977" t="s">
        <v>51</v>
      </c>
      <c r="E977" s="8" t="s">
        <v>325</v>
      </c>
      <c r="F977">
        <v>0.8</v>
      </c>
      <c r="G977" t="s">
        <v>78</v>
      </c>
      <c r="H977" t="str">
        <f>VLOOKUP(Tabla3[[#This Row],[DESCRIPCION MATERIAL]],'CODIGO MAT'!$C$2:$D$390,2,FALSE)</f>
        <v>AVI0000063</v>
      </c>
    </row>
    <row r="978" spans="1:11" x14ac:dyDescent="0.25">
      <c r="A978" t="s">
        <v>1137</v>
      </c>
      <c r="B978" t="s">
        <v>63</v>
      </c>
      <c r="C978" t="s">
        <v>1138</v>
      </c>
      <c r="D978" t="s">
        <v>50</v>
      </c>
      <c r="E978" s="8" t="s">
        <v>241</v>
      </c>
      <c r="F978">
        <v>1.425</v>
      </c>
      <c r="G978" t="s">
        <v>78</v>
      </c>
      <c r="H978" t="str">
        <f>VLOOKUP(Tabla3[[#This Row],[DESCRIPCION MATERIAL]],'CODIGO MAT'!$C$2:$D$390,2,FALSE)</f>
        <v>TEL0000169</v>
      </c>
      <c r="J978">
        <v>1</v>
      </c>
      <c r="K978">
        <v>0</v>
      </c>
    </row>
    <row r="979" spans="1:11" x14ac:dyDescent="0.25">
      <c r="A979" t="s">
        <v>1137</v>
      </c>
      <c r="B979" t="s">
        <v>63</v>
      </c>
      <c r="C979" t="s">
        <v>1138</v>
      </c>
      <c r="D979" t="s">
        <v>50</v>
      </c>
      <c r="E979" s="8" t="s">
        <v>11</v>
      </c>
      <c r="F979">
        <v>5.3800000000000001E-2</v>
      </c>
      <c r="G979" t="s">
        <v>78</v>
      </c>
      <c r="H979" t="str">
        <f>VLOOKUP(Tabla3[[#This Row],[DESCRIPCION MATERIAL]],'CODIGO MAT'!$C$2:$D$390,2,FALSE)</f>
        <v>TEL0000149</v>
      </c>
      <c r="J979">
        <v>1</v>
      </c>
      <c r="K979">
        <v>0</v>
      </c>
    </row>
    <row r="980" spans="1:11" x14ac:dyDescent="0.25">
      <c r="A980" t="s">
        <v>1137</v>
      </c>
      <c r="B980" t="s">
        <v>63</v>
      </c>
      <c r="C980" t="s">
        <v>1138</v>
      </c>
      <c r="D980" t="s">
        <v>51</v>
      </c>
      <c r="E980" s="8" t="s">
        <v>372</v>
      </c>
      <c r="F980">
        <v>1</v>
      </c>
      <c r="G980" t="s">
        <v>396</v>
      </c>
      <c r="H980" t="str">
        <f>VLOOKUP(Tabla3[[#This Row],[DESCRIPCION MATERIAL]],'CODIGO MAT'!$C$2:$D$390,2,FALSE)</f>
        <v>AVI0000109</v>
      </c>
      <c r="J980">
        <v>1</v>
      </c>
      <c r="K980">
        <v>0</v>
      </c>
    </row>
    <row r="981" spans="1:11" x14ac:dyDescent="0.25">
      <c r="A981" t="s">
        <v>1186</v>
      </c>
      <c r="B981" t="s">
        <v>63</v>
      </c>
      <c r="C981" t="s">
        <v>1138</v>
      </c>
      <c r="D981" t="s">
        <v>51</v>
      </c>
      <c r="E981" s="8" t="s">
        <v>325</v>
      </c>
      <c r="F981">
        <v>0.8</v>
      </c>
      <c r="G981" t="s">
        <v>78</v>
      </c>
      <c r="H981" t="str">
        <f>VLOOKUP(Tabla3[[#This Row],[DESCRIPCION MATERIAL]],'CODIGO MAT'!$C$2:$D$390,2,FALSE)</f>
        <v>AVI0000063</v>
      </c>
      <c r="J981">
        <v>1</v>
      </c>
      <c r="K981">
        <v>0</v>
      </c>
    </row>
    <row r="982" spans="1:11" x14ac:dyDescent="0.25">
      <c r="A982" t="s">
        <v>1137</v>
      </c>
      <c r="B982" t="s">
        <v>63</v>
      </c>
      <c r="C982" t="s">
        <v>1138</v>
      </c>
      <c r="D982" t="s">
        <v>51</v>
      </c>
      <c r="E982" s="8" t="s">
        <v>425</v>
      </c>
      <c r="F982">
        <v>13.34</v>
      </c>
      <c r="G982" t="s">
        <v>410</v>
      </c>
      <c r="H982" t="str">
        <f>VLOOKUP(Tabla3[[#This Row],[DESCRIPCION MATERIAL]],'CODIGO MAT'!$C$2:$D$390,2,FALSE)</f>
        <v>INS0000015</v>
      </c>
    </row>
    <row r="983" spans="1:11" x14ac:dyDescent="0.25">
      <c r="A983" t="s">
        <v>1137</v>
      </c>
      <c r="B983" t="s">
        <v>63</v>
      </c>
      <c r="C983" t="s">
        <v>1138</v>
      </c>
      <c r="D983" t="s">
        <v>51</v>
      </c>
      <c r="E983" s="8" t="s">
        <v>420</v>
      </c>
      <c r="F983">
        <v>1</v>
      </c>
      <c r="G983" t="s">
        <v>410</v>
      </c>
      <c r="H983" t="str">
        <f>VLOOKUP(Tabla3[[#This Row],[DESCRIPCION MATERIAL]],'CODIGO MAT'!$C$2:$D$390,2,FALSE)</f>
        <v>INS0000010</v>
      </c>
    </row>
    <row r="984" spans="1:11" x14ac:dyDescent="0.25">
      <c r="A984" t="s">
        <v>1139</v>
      </c>
      <c r="B984" t="s">
        <v>63</v>
      </c>
      <c r="C984" t="s">
        <v>1140</v>
      </c>
      <c r="D984" t="s">
        <v>50</v>
      </c>
      <c r="E984" s="8" t="s">
        <v>12</v>
      </c>
      <c r="F984">
        <v>1.3167</v>
      </c>
      <c r="G984" t="s">
        <v>78</v>
      </c>
      <c r="H984" t="str">
        <f>VLOOKUP(Tabla3[[#This Row],[DESCRIPCION MATERIAL]],'CODIGO MAT'!$C$2:$D$390,2,FALSE)</f>
        <v>TEL0000040</v>
      </c>
      <c r="J984">
        <v>1</v>
      </c>
      <c r="K984">
        <v>0</v>
      </c>
    </row>
    <row r="985" spans="1:11" x14ac:dyDescent="0.25">
      <c r="A985" t="s">
        <v>1139</v>
      </c>
      <c r="B985" t="s">
        <v>63</v>
      </c>
      <c r="C985" t="s">
        <v>1140</v>
      </c>
      <c r="D985" t="s">
        <v>50</v>
      </c>
      <c r="E985" s="8" t="s">
        <v>32</v>
      </c>
      <c r="F985">
        <v>0.17899999999999999</v>
      </c>
      <c r="G985" t="s">
        <v>78</v>
      </c>
      <c r="H985" t="str">
        <f>VLOOKUP(Tabla3[[#This Row],[DESCRIPCION MATERIAL]],'CODIGO MAT'!$C$2:$D$390,2,FALSE)</f>
        <v>TEL0000041</v>
      </c>
      <c r="J985">
        <v>1</v>
      </c>
      <c r="K985">
        <v>0</v>
      </c>
    </row>
    <row r="986" spans="1:11" x14ac:dyDescent="0.25">
      <c r="A986" t="s">
        <v>1139</v>
      </c>
      <c r="B986" t="s">
        <v>63</v>
      </c>
      <c r="C986" t="s">
        <v>1140</v>
      </c>
      <c r="D986" t="s">
        <v>51</v>
      </c>
      <c r="E986" s="8" t="s">
        <v>389</v>
      </c>
      <c r="F986">
        <v>8</v>
      </c>
      <c r="G986" t="s">
        <v>396</v>
      </c>
      <c r="H986" t="str">
        <f>VLOOKUP(Tabla3[[#This Row],[DESCRIPCION MATERIAL]],'CODIGO MAT'!$C$2:$D$390,2,FALSE)</f>
        <v>AVI0000124</v>
      </c>
    </row>
    <row r="987" spans="1:11" x14ac:dyDescent="0.25">
      <c r="A987" t="s">
        <v>1139</v>
      </c>
      <c r="B987" t="s">
        <v>63</v>
      </c>
      <c r="C987" t="s">
        <v>1140</v>
      </c>
      <c r="D987" t="s">
        <v>51</v>
      </c>
      <c r="E987" s="8" t="s">
        <v>266</v>
      </c>
      <c r="F987">
        <v>0</v>
      </c>
      <c r="G987" t="s">
        <v>78</v>
      </c>
      <c r="H987" t="str">
        <f>VLOOKUP(Tabla3[[#This Row],[DESCRIPCION MATERIAL]],'CODIGO MAT'!$C$2:$D$390,2,FALSE)</f>
        <v>AVI0000008</v>
      </c>
    </row>
    <row r="988" spans="1:11" x14ac:dyDescent="0.25">
      <c r="A988" t="s">
        <v>1139</v>
      </c>
      <c r="B988" t="s">
        <v>63</v>
      </c>
      <c r="C988" t="s">
        <v>1140</v>
      </c>
      <c r="D988" t="s">
        <v>51</v>
      </c>
      <c r="E988" s="8" t="s">
        <v>68</v>
      </c>
      <c r="F988">
        <v>0</v>
      </c>
      <c r="G988" t="s">
        <v>78</v>
      </c>
      <c r="H988" t="str">
        <f>VLOOKUP(Tabla3[[#This Row],[DESCRIPCION MATERIAL]],'CODIGO MAT'!$C$2:$D$390,2,FALSE)</f>
        <v>AVI0000005</v>
      </c>
    </row>
    <row r="989" spans="1:11" x14ac:dyDescent="0.25">
      <c r="A989" t="s">
        <v>1141</v>
      </c>
      <c r="B989" t="s">
        <v>63</v>
      </c>
      <c r="C989" t="s">
        <v>1142</v>
      </c>
      <c r="D989" t="s">
        <v>50</v>
      </c>
      <c r="E989" s="8" t="s">
        <v>12</v>
      </c>
      <c r="F989">
        <v>1.3167</v>
      </c>
      <c r="G989" t="s">
        <v>78</v>
      </c>
      <c r="H989" t="str">
        <f>VLOOKUP(Tabla3[[#This Row],[DESCRIPCION MATERIAL]],'CODIGO MAT'!$C$2:$D$390,2,FALSE)</f>
        <v>TEL0000040</v>
      </c>
      <c r="J989">
        <v>1</v>
      </c>
      <c r="K989">
        <v>0</v>
      </c>
    </row>
    <row r="990" spans="1:11" x14ac:dyDescent="0.25">
      <c r="A990" t="s">
        <v>1141</v>
      </c>
      <c r="B990" t="s">
        <v>63</v>
      </c>
      <c r="C990" t="s">
        <v>1142</v>
      </c>
      <c r="D990" t="s">
        <v>50</v>
      </c>
      <c r="E990" s="8" t="s">
        <v>121</v>
      </c>
      <c r="F990">
        <v>0.17899999999999999</v>
      </c>
      <c r="G990" t="s">
        <v>78</v>
      </c>
      <c r="H990" t="str">
        <f>VLOOKUP(Tabla3[[#This Row],[DESCRIPCION MATERIAL]],'CODIGO MAT'!$C$2:$D$390,2,FALSE)</f>
        <v>TEL0000048</v>
      </c>
      <c r="J990">
        <v>1</v>
      </c>
      <c r="K990">
        <v>0</v>
      </c>
    </row>
    <row r="991" spans="1:11" x14ac:dyDescent="0.25">
      <c r="A991" t="s">
        <v>1141</v>
      </c>
      <c r="B991" t="s">
        <v>63</v>
      </c>
      <c r="C991" t="s">
        <v>1142</v>
      </c>
      <c r="D991" t="s">
        <v>51</v>
      </c>
      <c r="E991" s="8" t="s">
        <v>391</v>
      </c>
      <c r="F991">
        <v>8</v>
      </c>
      <c r="G991" t="s">
        <v>396</v>
      </c>
      <c r="H991" t="str">
        <f>VLOOKUP(Tabla3[[#This Row],[DESCRIPCION MATERIAL]],'CODIGO MAT'!$C$2:$D$390,2,FALSE)</f>
        <v>AVI0000126</v>
      </c>
    </row>
    <row r="992" spans="1:11" x14ac:dyDescent="0.25">
      <c r="A992" t="s">
        <v>1141</v>
      </c>
      <c r="B992" t="s">
        <v>63</v>
      </c>
      <c r="C992" t="s">
        <v>1142</v>
      </c>
      <c r="D992" t="s">
        <v>51</v>
      </c>
      <c r="E992" s="8" t="s">
        <v>277</v>
      </c>
      <c r="F992">
        <v>0</v>
      </c>
      <c r="G992" t="s">
        <v>78</v>
      </c>
      <c r="H992" t="str">
        <f>VLOOKUP(Tabla3[[#This Row],[DESCRIPCION MATERIAL]],'CODIGO MAT'!$C$2:$D$390,2,FALSE)</f>
        <v>AVI0000020</v>
      </c>
    </row>
    <row r="993" spans="1:11" x14ac:dyDescent="0.25">
      <c r="A993" t="s">
        <v>1141</v>
      </c>
      <c r="B993" t="s">
        <v>63</v>
      </c>
      <c r="C993" t="s">
        <v>1142</v>
      </c>
      <c r="D993" t="s">
        <v>51</v>
      </c>
      <c r="E993" s="8" t="s">
        <v>68</v>
      </c>
      <c r="F993">
        <v>0</v>
      </c>
      <c r="G993" t="s">
        <v>78</v>
      </c>
      <c r="H993" t="str">
        <f>VLOOKUP(Tabla3[[#This Row],[DESCRIPCION MATERIAL]],'CODIGO MAT'!$C$2:$D$390,2,FALSE)</f>
        <v>AVI0000005</v>
      </c>
    </row>
    <row r="994" spans="1:11" x14ac:dyDescent="0.25">
      <c r="A994" t="s">
        <v>1143</v>
      </c>
      <c r="B994" t="s">
        <v>63</v>
      </c>
      <c r="C994" t="s">
        <v>1144</v>
      </c>
      <c r="D994" t="s">
        <v>50</v>
      </c>
      <c r="E994" s="8" t="s">
        <v>12</v>
      </c>
      <c r="F994">
        <v>0.63249999999999995</v>
      </c>
      <c r="G994" t="s">
        <v>78</v>
      </c>
      <c r="H994" t="str">
        <f>VLOOKUP(Tabla3[[#This Row],[DESCRIPCION MATERIAL]],'CODIGO MAT'!$C$2:$D$390,2,FALSE)</f>
        <v>TEL0000040</v>
      </c>
      <c r="J994">
        <v>1</v>
      </c>
      <c r="K994">
        <v>0</v>
      </c>
    </row>
    <row r="995" spans="1:11" x14ac:dyDescent="0.25">
      <c r="A995" t="s">
        <v>1143</v>
      </c>
      <c r="B995" t="s">
        <v>63</v>
      </c>
      <c r="C995" t="s">
        <v>1144</v>
      </c>
      <c r="D995" t="s">
        <v>50</v>
      </c>
      <c r="E995" s="8" t="s">
        <v>32</v>
      </c>
      <c r="F995">
        <v>0.20200000000000001</v>
      </c>
      <c r="G995" t="s">
        <v>78</v>
      </c>
      <c r="H995" t="str">
        <f>VLOOKUP(Tabla3[[#This Row],[DESCRIPCION MATERIAL]],'CODIGO MAT'!$C$2:$D$390,2,FALSE)</f>
        <v>TEL0000041</v>
      </c>
      <c r="J995">
        <v>1</v>
      </c>
      <c r="K995">
        <v>0</v>
      </c>
    </row>
    <row r="996" spans="1:11" x14ac:dyDescent="0.25">
      <c r="A996" t="s">
        <v>1143</v>
      </c>
      <c r="B996" t="s">
        <v>63</v>
      </c>
      <c r="C996" t="s">
        <v>1144</v>
      </c>
      <c r="D996" t="s">
        <v>50</v>
      </c>
      <c r="E996" s="8" t="s">
        <v>106</v>
      </c>
      <c r="F996">
        <v>5.67E-2</v>
      </c>
      <c r="G996" t="s">
        <v>78</v>
      </c>
      <c r="H996" t="str">
        <f>VLOOKUP(Tabla3[[#This Row],[DESCRIPCION MATERIAL]],'CODIGO MAT'!$C$2:$D$390,2,FALSE)</f>
        <v>TEL0000029</v>
      </c>
      <c r="J996">
        <v>1</v>
      </c>
      <c r="K996">
        <v>0</v>
      </c>
    </row>
    <row r="997" spans="1:11" x14ac:dyDescent="0.25">
      <c r="A997" t="s">
        <v>1143</v>
      </c>
      <c r="B997" t="s">
        <v>63</v>
      </c>
      <c r="C997" t="s">
        <v>1144</v>
      </c>
      <c r="D997" t="s">
        <v>50</v>
      </c>
      <c r="E997" s="8" t="s">
        <v>211</v>
      </c>
      <c r="F997">
        <v>2.8400000000000002E-2</v>
      </c>
      <c r="G997" t="s">
        <v>78</v>
      </c>
      <c r="H997" t="str">
        <f>VLOOKUP(Tabla3[[#This Row],[DESCRIPCION MATERIAL]],'CODIGO MAT'!$C$2:$D$390,2,FALSE)</f>
        <v>TEL0000138</v>
      </c>
      <c r="J997">
        <v>1</v>
      </c>
      <c r="K997">
        <v>0</v>
      </c>
    </row>
    <row r="998" spans="1:11" x14ac:dyDescent="0.25">
      <c r="A998" t="s">
        <v>1143</v>
      </c>
      <c r="B998" t="s">
        <v>63</v>
      </c>
      <c r="C998" t="s">
        <v>1144</v>
      </c>
      <c r="D998" t="s">
        <v>51</v>
      </c>
      <c r="E998" s="8" t="s">
        <v>387</v>
      </c>
      <c r="F998">
        <v>4</v>
      </c>
      <c r="G998" t="s">
        <v>78</v>
      </c>
      <c r="H998" t="str">
        <f>VLOOKUP(Tabla3[[#This Row],[DESCRIPCION MATERIAL]],'CODIGO MAT'!$C$2:$D$390,2,FALSE)</f>
        <v>AVI0000122</v>
      </c>
    </row>
    <row r="999" spans="1:11" x14ac:dyDescent="0.25">
      <c r="A999" t="s">
        <v>1143</v>
      </c>
      <c r="B999" t="s">
        <v>63</v>
      </c>
      <c r="C999" t="s">
        <v>1144</v>
      </c>
      <c r="D999" t="s">
        <v>51</v>
      </c>
      <c r="E999" s="8" t="s">
        <v>323</v>
      </c>
      <c r="F999">
        <v>0.4</v>
      </c>
      <c r="G999" t="s">
        <v>78</v>
      </c>
      <c r="H999" t="str">
        <f>VLOOKUP(Tabla3[[#This Row],[DESCRIPCION MATERIAL]],'CODIGO MAT'!$C$2:$D$390,2,FALSE)</f>
        <v>AVI0000061</v>
      </c>
      <c r="J999">
        <v>1</v>
      </c>
      <c r="K999">
        <v>0</v>
      </c>
    </row>
    <row r="1000" spans="1:11" x14ac:dyDescent="0.25">
      <c r="A1000" t="s">
        <v>1143</v>
      </c>
      <c r="B1000" t="s">
        <v>63</v>
      </c>
      <c r="C1000" t="s">
        <v>1144</v>
      </c>
      <c r="D1000" t="s">
        <v>51</v>
      </c>
      <c r="E1000" s="8" t="s">
        <v>617</v>
      </c>
      <c r="F1000">
        <v>4.4999999999999997E-3</v>
      </c>
      <c r="G1000" t="s">
        <v>78</v>
      </c>
      <c r="H1000" t="str">
        <f>VLOOKUP(Tabla3[[#This Row],[DESCRIPCION MATERIAL]],'CODIGO MAT'!$C$2:$D$390,2,FALSE)</f>
        <v>AVI0000154</v>
      </c>
    </row>
    <row r="1001" spans="1:11" x14ac:dyDescent="0.25">
      <c r="A1001" t="s">
        <v>1143</v>
      </c>
      <c r="B1001" t="s">
        <v>63</v>
      </c>
      <c r="C1001" t="s">
        <v>1144</v>
      </c>
      <c r="D1001" t="s">
        <v>51</v>
      </c>
      <c r="E1001" s="8" t="s">
        <v>257</v>
      </c>
      <c r="F1001">
        <v>3.3999999999999998E-3</v>
      </c>
      <c r="G1001" t="s">
        <v>78</v>
      </c>
      <c r="H1001" t="str">
        <f>VLOOKUP(Tabla3[[#This Row],[DESCRIPCION MATERIAL]],'CODIGO MAT'!$C$2:$D$390,2,FALSE)</f>
        <v>TEL0000185</v>
      </c>
    </row>
    <row r="1002" spans="1:11" x14ac:dyDescent="0.25">
      <c r="A1002" t="s">
        <v>1143</v>
      </c>
      <c r="B1002" t="s">
        <v>63</v>
      </c>
      <c r="C1002" t="s">
        <v>1144</v>
      </c>
      <c r="D1002" t="s">
        <v>51</v>
      </c>
      <c r="E1002" s="8" t="s">
        <v>69</v>
      </c>
      <c r="F1002">
        <v>0</v>
      </c>
      <c r="G1002" t="s">
        <v>78</v>
      </c>
      <c r="H1002" t="str">
        <f>VLOOKUP(Tabla3[[#This Row],[DESCRIPCION MATERIAL]],'CODIGO MAT'!$C$2:$D$390,2,FALSE)</f>
        <v>AVI0000147</v>
      </c>
    </row>
    <row r="1003" spans="1:11" x14ac:dyDescent="0.25">
      <c r="A1003" t="s">
        <v>1145</v>
      </c>
      <c r="B1003" t="s">
        <v>63</v>
      </c>
      <c r="C1003" t="s">
        <v>1146</v>
      </c>
      <c r="D1003" t="s">
        <v>50</v>
      </c>
      <c r="E1003" s="8" t="s">
        <v>12</v>
      </c>
      <c r="F1003">
        <v>0.9</v>
      </c>
      <c r="G1003" t="s">
        <v>78</v>
      </c>
      <c r="H1003" t="str">
        <f>VLOOKUP(Tabla3[[#This Row],[DESCRIPCION MATERIAL]],'CODIGO MAT'!$C$2:$D$390,2,FALSE)</f>
        <v>TEL0000040</v>
      </c>
      <c r="J1003">
        <v>1</v>
      </c>
      <c r="K1003">
        <v>0</v>
      </c>
    </row>
    <row r="1004" spans="1:11" x14ac:dyDescent="0.25">
      <c r="A1004" t="s">
        <v>1145</v>
      </c>
      <c r="B1004" t="s">
        <v>63</v>
      </c>
      <c r="C1004" t="s">
        <v>1146</v>
      </c>
      <c r="D1004" t="s">
        <v>51</v>
      </c>
      <c r="E1004" s="8" t="s">
        <v>387</v>
      </c>
      <c r="F1004">
        <v>4</v>
      </c>
      <c r="G1004" t="s">
        <v>396</v>
      </c>
      <c r="H1004" t="str">
        <f>VLOOKUP(Tabla3[[#This Row],[DESCRIPCION MATERIAL]],'CODIGO MAT'!$C$2:$D$390,2,FALSE)</f>
        <v>AVI0000122</v>
      </c>
    </row>
    <row r="1005" spans="1:11" x14ac:dyDescent="0.25">
      <c r="A1005" t="s">
        <v>1145</v>
      </c>
      <c r="B1005" t="s">
        <v>63</v>
      </c>
      <c r="C1005" t="s">
        <v>1146</v>
      </c>
      <c r="D1005" t="s">
        <v>51</v>
      </c>
      <c r="E1005" s="8" t="s">
        <v>257</v>
      </c>
      <c r="F1005">
        <v>3.3999999999999998E-3</v>
      </c>
      <c r="G1005" t="s">
        <v>78</v>
      </c>
      <c r="H1005" t="str">
        <f>VLOOKUP(Tabla3[[#This Row],[DESCRIPCION MATERIAL]],'CODIGO MAT'!$C$2:$D$390,2,FALSE)</f>
        <v>TEL0000185</v>
      </c>
    </row>
    <row r="1006" spans="1:11" x14ac:dyDescent="0.25">
      <c r="A1006" t="s">
        <v>1145</v>
      </c>
      <c r="B1006" t="s">
        <v>63</v>
      </c>
      <c r="C1006" t="s">
        <v>1146</v>
      </c>
      <c r="D1006" t="s">
        <v>51</v>
      </c>
      <c r="E1006" s="8" t="s">
        <v>267</v>
      </c>
      <c r="F1006">
        <v>0</v>
      </c>
      <c r="G1006" t="s">
        <v>78</v>
      </c>
      <c r="H1006" t="str">
        <f>VLOOKUP(Tabla3[[#This Row],[DESCRIPCION MATERIAL]],'CODIGO MAT'!$C$2:$D$390,2,FALSE)</f>
        <v>AVI0000009</v>
      </c>
    </row>
    <row r="1007" spans="1:11" x14ac:dyDescent="0.25">
      <c r="A1007" t="s">
        <v>1145</v>
      </c>
      <c r="B1007" t="s">
        <v>63</v>
      </c>
      <c r="C1007" t="s">
        <v>1146</v>
      </c>
      <c r="D1007" t="s">
        <v>51</v>
      </c>
      <c r="E1007" s="8" t="s">
        <v>276</v>
      </c>
      <c r="F1007">
        <v>0</v>
      </c>
      <c r="G1007" t="s">
        <v>78</v>
      </c>
      <c r="H1007" t="str">
        <f>VLOOKUP(Tabla3[[#This Row],[DESCRIPCION MATERIAL]],'CODIGO MAT'!$C$2:$D$390,2,FALSE)</f>
        <v>AVI0000019</v>
      </c>
    </row>
    <row r="1008" spans="1:11" x14ac:dyDescent="0.25">
      <c r="A1008" t="s">
        <v>1147</v>
      </c>
      <c r="B1008" t="s">
        <v>63</v>
      </c>
      <c r="C1008" t="s">
        <v>1148</v>
      </c>
      <c r="D1008" t="s">
        <v>50</v>
      </c>
      <c r="E1008" s="8" t="s">
        <v>12</v>
      </c>
      <c r="F1008">
        <v>1.27</v>
      </c>
      <c r="G1008" t="s">
        <v>78</v>
      </c>
      <c r="H1008" t="str">
        <f>VLOOKUP(Tabla3[[#This Row],[DESCRIPCION MATERIAL]],'CODIGO MAT'!$C$2:$D$390,2,FALSE)</f>
        <v>TEL0000040</v>
      </c>
      <c r="J1008">
        <v>1</v>
      </c>
      <c r="K1008">
        <v>0</v>
      </c>
    </row>
    <row r="1009" spans="1:11" x14ac:dyDescent="0.25">
      <c r="A1009" t="s">
        <v>1147</v>
      </c>
      <c r="B1009" t="s">
        <v>63</v>
      </c>
      <c r="C1009" t="s">
        <v>1148</v>
      </c>
      <c r="D1009" t="s">
        <v>51</v>
      </c>
      <c r="E1009" s="8" t="s">
        <v>1150</v>
      </c>
      <c r="F1009">
        <v>1</v>
      </c>
      <c r="G1009" t="s">
        <v>396</v>
      </c>
      <c r="H1009" t="str">
        <f>VLOOKUP(Tabla3[[#This Row],[DESCRIPCION MATERIAL]],'CODIGO MAT'!$C$2:$D$390,2,FALSE)</f>
        <v>AVI0000155</v>
      </c>
      <c r="J1009">
        <v>1</v>
      </c>
      <c r="K1009">
        <v>0</v>
      </c>
    </row>
    <row r="1010" spans="1:11" x14ac:dyDescent="0.25">
      <c r="A1010" t="s">
        <v>1147</v>
      </c>
      <c r="B1010" t="s">
        <v>63</v>
      </c>
      <c r="C1010" t="s">
        <v>1149</v>
      </c>
      <c r="D1010" t="s">
        <v>51</v>
      </c>
      <c r="E1010" s="8" t="s">
        <v>996</v>
      </c>
      <c r="F1010">
        <v>0.5</v>
      </c>
      <c r="G1010" t="s">
        <v>78</v>
      </c>
      <c r="H1010" t="str">
        <f>VLOOKUP(Tabla3[[#This Row],[DESCRIPCION MATERIAL]],'CODIGO MAT'!$C$2:$D$390,2,FALSE)</f>
        <v>AVI0000148</v>
      </c>
      <c r="J1010">
        <v>1</v>
      </c>
      <c r="K1010">
        <v>0</v>
      </c>
    </row>
    <row r="1011" spans="1:11" x14ac:dyDescent="0.25">
      <c r="A1011" t="s">
        <v>1147</v>
      </c>
      <c r="B1011" t="s">
        <v>63</v>
      </c>
      <c r="C1011" t="s">
        <v>1148</v>
      </c>
      <c r="D1011" t="s">
        <v>51</v>
      </c>
      <c r="E1011" s="8" t="s">
        <v>257</v>
      </c>
      <c r="F1011">
        <v>3.3999999999999998E-3</v>
      </c>
      <c r="G1011" t="s">
        <v>78</v>
      </c>
      <c r="H1011" t="str">
        <f>VLOOKUP(Tabla3[[#This Row],[DESCRIPCION MATERIAL]],'CODIGO MAT'!$C$2:$D$390,2,FALSE)</f>
        <v>TEL0000185</v>
      </c>
    </row>
    <row r="1012" spans="1:11" x14ac:dyDescent="0.25">
      <c r="A1012" t="s">
        <v>1147</v>
      </c>
      <c r="B1012" t="s">
        <v>63</v>
      </c>
      <c r="C1012" t="s">
        <v>1148</v>
      </c>
      <c r="D1012" t="s">
        <v>51</v>
      </c>
      <c r="E1012" s="8" t="s">
        <v>267</v>
      </c>
      <c r="F1012">
        <v>0</v>
      </c>
      <c r="G1012" t="s">
        <v>78</v>
      </c>
      <c r="H1012" t="str">
        <f>VLOOKUP(Tabla3[[#This Row],[DESCRIPCION MATERIAL]],'CODIGO MAT'!$C$2:$D$390,2,FALSE)</f>
        <v>AVI0000009</v>
      </c>
    </row>
    <row r="1013" spans="1:11" x14ac:dyDescent="0.25">
      <c r="A1013" t="s">
        <v>1147</v>
      </c>
      <c r="B1013" t="s">
        <v>63</v>
      </c>
      <c r="C1013" t="s">
        <v>1148</v>
      </c>
      <c r="D1013" t="s">
        <v>51</v>
      </c>
      <c r="E1013" s="8" t="s">
        <v>276</v>
      </c>
      <c r="F1013">
        <v>0</v>
      </c>
      <c r="G1013" t="s">
        <v>78</v>
      </c>
      <c r="H1013" t="str">
        <f>VLOOKUP(Tabla3[[#This Row],[DESCRIPCION MATERIAL]],'CODIGO MAT'!$C$2:$D$390,2,FALSE)</f>
        <v>AVI0000019</v>
      </c>
    </row>
    <row r="1014" spans="1:11" x14ac:dyDescent="0.25">
      <c r="A1014" t="s">
        <v>1147</v>
      </c>
      <c r="B1014" t="s">
        <v>63</v>
      </c>
      <c r="C1014" t="s">
        <v>1151</v>
      </c>
      <c r="D1014" t="s">
        <v>50</v>
      </c>
      <c r="E1014" s="8" t="s">
        <v>135</v>
      </c>
      <c r="F1014">
        <v>1.107</v>
      </c>
      <c r="G1014" t="s">
        <v>78</v>
      </c>
      <c r="H1014" t="str">
        <f>VLOOKUP(Tabla3[[#This Row],[DESCRIPCION MATERIAL]],'CODIGO MAT'!$C$2:$D$390,2,FALSE)</f>
        <v>TEL0000062</v>
      </c>
      <c r="J1014">
        <v>1</v>
      </c>
      <c r="K1014">
        <v>0</v>
      </c>
    </row>
    <row r="1015" spans="1:11" x14ac:dyDescent="0.25">
      <c r="A1015" t="s">
        <v>1147</v>
      </c>
      <c r="B1015" t="s">
        <v>63</v>
      </c>
      <c r="C1015" t="s">
        <v>1151</v>
      </c>
      <c r="D1015" t="s">
        <v>51</v>
      </c>
      <c r="E1015" s="8" t="s">
        <v>996</v>
      </c>
      <c r="F1015">
        <v>0.5</v>
      </c>
      <c r="G1015" t="s">
        <v>78</v>
      </c>
      <c r="H1015" t="str">
        <f>VLOOKUP(Tabla3[[#This Row],[DESCRIPCION MATERIAL]],'CODIGO MAT'!$C$2:$D$390,2,FALSE)</f>
        <v>AVI0000148</v>
      </c>
      <c r="J1015">
        <v>1</v>
      </c>
      <c r="K1015">
        <v>0</v>
      </c>
    </row>
    <row r="1016" spans="1:11" x14ac:dyDescent="0.25">
      <c r="A1016" t="s">
        <v>1147</v>
      </c>
      <c r="B1016" t="s">
        <v>63</v>
      </c>
      <c r="C1016" t="s">
        <v>1151</v>
      </c>
      <c r="D1016" t="s">
        <v>51</v>
      </c>
      <c r="E1016" s="8" t="s">
        <v>1097</v>
      </c>
      <c r="F1016">
        <v>0.36</v>
      </c>
      <c r="G1016" t="s">
        <v>78</v>
      </c>
      <c r="H1016" t="str">
        <f>VLOOKUP(Tabla3[[#This Row],[DESCRIPCION MATERIAL]],'CODIGO MAT'!$C$2:$D$390,2,FALSE)</f>
        <v>AVI0000152</v>
      </c>
      <c r="J1016">
        <v>1</v>
      </c>
      <c r="K1016">
        <v>0</v>
      </c>
    </row>
    <row r="1017" spans="1:11" x14ac:dyDescent="0.25">
      <c r="A1017" t="s">
        <v>1147</v>
      </c>
      <c r="B1017" t="s">
        <v>63</v>
      </c>
      <c r="C1017" t="s">
        <v>1151</v>
      </c>
      <c r="D1017" t="s">
        <v>51</v>
      </c>
      <c r="E1017" s="8" t="s">
        <v>257</v>
      </c>
      <c r="F1017">
        <v>3.3999999999999998E-3</v>
      </c>
      <c r="G1017" t="s">
        <v>78</v>
      </c>
      <c r="H1017" t="str">
        <f>VLOOKUP(Tabla3[[#This Row],[DESCRIPCION MATERIAL]],'CODIGO MAT'!$C$2:$D$390,2,FALSE)</f>
        <v>TEL0000185</v>
      </c>
    </row>
    <row r="1018" spans="1:11" x14ac:dyDescent="0.25">
      <c r="A1018" t="s">
        <v>1147</v>
      </c>
      <c r="B1018" t="s">
        <v>63</v>
      </c>
      <c r="C1018" t="s">
        <v>1151</v>
      </c>
      <c r="D1018" t="s">
        <v>51</v>
      </c>
      <c r="E1018" s="8" t="s">
        <v>263</v>
      </c>
      <c r="F1018">
        <v>0</v>
      </c>
      <c r="G1018" t="s">
        <v>78</v>
      </c>
      <c r="H1018" t="str">
        <f>VLOOKUP(Tabla3[[#This Row],[DESCRIPCION MATERIAL]],'CODIGO MAT'!$C$2:$D$390,2,FALSE)</f>
        <v>AVI0000004</v>
      </c>
    </row>
    <row r="1019" spans="1:11" x14ac:dyDescent="0.25">
      <c r="A1019" t="s">
        <v>1152</v>
      </c>
      <c r="B1019" t="s">
        <v>63</v>
      </c>
      <c r="C1019" t="s">
        <v>1153</v>
      </c>
      <c r="D1019" t="s">
        <v>50</v>
      </c>
      <c r="E1019" s="8" t="s">
        <v>12</v>
      </c>
      <c r="F1019">
        <v>1.097</v>
      </c>
      <c r="G1019" t="s">
        <v>78</v>
      </c>
      <c r="H1019" t="str">
        <f>VLOOKUP(Tabla3[[#This Row],[DESCRIPCION MATERIAL]],'CODIGO MAT'!$C$2:$D$390,2,FALSE)</f>
        <v>TEL0000040</v>
      </c>
      <c r="J1019">
        <v>1</v>
      </c>
      <c r="K1019">
        <v>0</v>
      </c>
    </row>
    <row r="1020" spans="1:11" x14ac:dyDescent="0.25">
      <c r="A1020" t="s">
        <v>1152</v>
      </c>
      <c r="B1020" t="s">
        <v>63</v>
      </c>
      <c r="C1020" t="s">
        <v>1153</v>
      </c>
      <c r="D1020" t="s">
        <v>51</v>
      </c>
      <c r="E1020" s="8" t="s">
        <v>387</v>
      </c>
      <c r="F1020">
        <v>4</v>
      </c>
      <c r="G1020" t="s">
        <v>396</v>
      </c>
      <c r="H1020" t="str">
        <f>VLOOKUP(Tabla3[[#This Row],[DESCRIPCION MATERIAL]],'CODIGO MAT'!$C$2:$D$390,2,FALSE)</f>
        <v>AVI0000122</v>
      </c>
    </row>
    <row r="1021" spans="1:11" x14ac:dyDescent="0.25">
      <c r="A1021" t="s">
        <v>1154</v>
      </c>
      <c r="B1021" t="s">
        <v>63</v>
      </c>
      <c r="C1021" t="s">
        <v>1155</v>
      </c>
      <c r="D1021" t="s">
        <v>50</v>
      </c>
      <c r="E1021" s="8" t="s">
        <v>87</v>
      </c>
      <c r="F1021">
        <v>1.0900000000000001</v>
      </c>
      <c r="G1021" t="s">
        <v>78</v>
      </c>
      <c r="H1021" t="str">
        <f>VLOOKUP(Tabla3[[#This Row],[DESCRIPCION MATERIAL]],'CODIGO MAT'!$C$2:$D$390,2,FALSE)</f>
        <v>TEL0000010</v>
      </c>
      <c r="J1021">
        <v>1</v>
      </c>
      <c r="K1021">
        <v>0</v>
      </c>
    </row>
    <row r="1022" spans="1:11" x14ac:dyDescent="0.25">
      <c r="A1022" t="s">
        <v>1154</v>
      </c>
      <c r="B1022" t="s">
        <v>63</v>
      </c>
      <c r="C1022" t="s">
        <v>1155</v>
      </c>
      <c r="D1022" t="s">
        <v>50</v>
      </c>
      <c r="E1022" s="8" t="s">
        <v>103</v>
      </c>
      <c r="F1022">
        <v>5.6000000000000001E-2</v>
      </c>
      <c r="G1022" t="s">
        <v>78</v>
      </c>
      <c r="H1022" t="str">
        <f>VLOOKUP(Tabla3[[#This Row],[DESCRIPCION MATERIAL]],'CODIGO MAT'!$C$2:$D$390,2,FALSE)</f>
        <v>TEL0000026</v>
      </c>
      <c r="J1022">
        <v>1</v>
      </c>
      <c r="K1022">
        <v>0</v>
      </c>
    </row>
    <row r="1023" spans="1:11" x14ac:dyDescent="0.25">
      <c r="A1023" t="s">
        <v>1154</v>
      </c>
      <c r="B1023" t="s">
        <v>63</v>
      </c>
      <c r="C1023" t="s">
        <v>1155</v>
      </c>
      <c r="D1023" t="s">
        <v>50</v>
      </c>
      <c r="E1023" s="8" t="s">
        <v>102</v>
      </c>
      <c r="F1023">
        <v>2.8000000000000001E-2</v>
      </c>
      <c r="G1023" t="s">
        <v>78</v>
      </c>
      <c r="H1023" t="str">
        <f>VLOOKUP(Tabla3[[#This Row],[DESCRIPCION MATERIAL]],'CODIGO MAT'!$C$2:$D$390,2,FALSE)</f>
        <v>TEL0000025</v>
      </c>
      <c r="J1023">
        <v>1</v>
      </c>
      <c r="K1023">
        <v>0</v>
      </c>
    </row>
    <row r="1024" spans="1:11" x14ac:dyDescent="0.25">
      <c r="A1024" t="s">
        <v>1154</v>
      </c>
      <c r="B1024" t="s">
        <v>63</v>
      </c>
      <c r="C1024" t="s">
        <v>1155</v>
      </c>
      <c r="D1024" t="s">
        <v>50</v>
      </c>
      <c r="E1024" s="8" t="s">
        <v>88</v>
      </c>
      <c r="F1024">
        <v>0</v>
      </c>
      <c r="G1024" t="s">
        <v>78</v>
      </c>
      <c r="H1024" t="str">
        <f>VLOOKUP(Tabla3[[#This Row],[DESCRIPCION MATERIAL]],'CODIGO MAT'!$C$2:$D$390,2,FALSE)</f>
        <v>TEL0000011</v>
      </c>
      <c r="J1024">
        <v>1</v>
      </c>
      <c r="K1024">
        <v>0</v>
      </c>
    </row>
    <row r="1025" spans="1:11" x14ac:dyDescent="0.25">
      <c r="A1025" t="s">
        <v>1154</v>
      </c>
      <c r="B1025" t="s">
        <v>63</v>
      </c>
      <c r="C1025" t="s">
        <v>1155</v>
      </c>
      <c r="D1025" t="s">
        <v>51</v>
      </c>
      <c r="E1025" s="8" t="s">
        <v>367</v>
      </c>
      <c r="F1025">
        <v>1</v>
      </c>
      <c r="G1025" t="s">
        <v>396</v>
      </c>
      <c r="H1025" t="str">
        <f>VLOOKUP(Tabla3[[#This Row],[DESCRIPCION MATERIAL]],'CODIGO MAT'!$C$2:$D$390,2,FALSE)</f>
        <v>AVI0000105</v>
      </c>
      <c r="J1025">
        <v>1</v>
      </c>
      <c r="K1025">
        <v>0</v>
      </c>
    </row>
    <row r="1026" spans="1:11" x14ac:dyDescent="0.25">
      <c r="A1026" t="s">
        <v>1154</v>
      </c>
      <c r="B1026" t="s">
        <v>63</v>
      </c>
      <c r="C1026" t="s">
        <v>1155</v>
      </c>
      <c r="D1026" t="s">
        <v>51</v>
      </c>
      <c r="E1026" s="8" t="s">
        <v>616</v>
      </c>
      <c r="F1026">
        <v>0</v>
      </c>
      <c r="G1026" t="s">
        <v>78</v>
      </c>
      <c r="H1026" t="str">
        <f>VLOOKUP(Tabla3[[#This Row],[DESCRIPCION MATERIAL]],'CODIGO MAT'!$C$2:$D$390,2,FALSE)</f>
        <v>AVI0000156</v>
      </c>
    </row>
    <row r="1027" spans="1:11" x14ac:dyDescent="0.25">
      <c r="A1027" t="s">
        <v>1154</v>
      </c>
      <c r="B1027" t="s">
        <v>63</v>
      </c>
      <c r="C1027" t="s">
        <v>1155</v>
      </c>
      <c r="D1027" t="s">
        <v>51</v>
      </c>
      <c r="E1027" s="8" t="s">
        <v>615</v>
      </c>
      <c r="F1027">
        <v>0</v>
      </c>
      <c r="G1027" t="s">
        <v>78</v>
      </c>
      <c r="H1027" t="str">
        <f>VLOOKUP(Tabla3[[#This Row],[DESCRIPCION MATERIAL]],'CODIGO MAT'!$C$2:$D$390,2,FALSE)</f>
        <v>AVI0000146</v>
      </c>
    </row>
    <row r="1028" spans="1:11" x14ac:dyDescent="0.25">
      <c r="A1028" t="s">
        <v>1154</v>
      </c>
      <c r="B1028" t="s">
        <v>63</v>
      </c>
      <c r="C1028" t="s">
        <v>1155</v>
      </c>
      <c r="D1028" t="s">
        <v>51</v>
      </c>
      <c r="E1028" s="8" t="s">
        <v>263</v>
      </c>
      <c r="F1028">
        <v>0</v>
      </c>
      <c r="G1028" t="s">
        <v>78</v>
      </c>
      <c r="H1028" t="str">
        <f>VLOOKUP(Tabla3[[#This Row],[DESCRIPCION MATERIAL]],'CODIGO MAT'!$C$2:$D$390,2,FALSE)</f>
        <v>AVI0000004</v>
      </c>
    </row>
    <row r="1029" spans="1:11" x14ac:dyDescent="0.25">
      <c r="A1029" t="s">
        <v>1154</v>
      </c>
      <c r="B1029" t="s">
        <v>63</v>
      </c>
      <c r="C1029" t="s">
        <v>1155</v>
      </c>
      <c r="D1029" t="s">
        <v>51</v>
      </c>
      <c r="E1029" s="8" t="s">
        <v>67</v>
      </c>
      <c r="F1029">
        <v>0</v>
      </c>
      <c r="G1029" t="s">
        <v>78</v>
      </c>
      <c r="H1029" t="str">
        <f>VLOOKUP(Tabla3[[#This Row],[DESCRIPCION MATERIAL]],'CODIGO MAT'!$C$2:$D$390,2,FALSE)</f>
        <v>AVI0000007</v>
      </c>
    </row>
    <row r="1030" spans="1:11" x14ac:dyDescent="0.25">
      <c r="A1030" t="s">
        <v>1154</v>
      </c>
      <c r="B1030" t="s">
        <v>63</v>
      </c>
      <c r="C1030" t="s">
        <v>1155</v>
      </c>
      <c r="D1030" t="s">
        <v>51</v>
      </c>
      <c r="E1030" s="8" t="s">
        <v>69</v>
      </c>
      <c r="F1030">
        <v>0</v>
      </c>
      <c r="G1030" t="s">
        <v>78</v>
      </c>
      <c r="H1030" t="str">
        <f>VLOOKUP(Tabla3[[#This Row],[DESCRIPCION MATERIAL]],'CODIGO MAT'!$C$2:$D$390,2,FALSE)</f>
        <v>AVI0000147</v>
      </c>
    </row>
    <row r="1031" spans="1:11" x14ac:dyDescent="0.25">
      <c r="A1031" t="s">
        <v>1154</v>
      </c>
      <c r="B1031" t="s">
        <v>63</v>
      </c>
      <c r="C1031" t="s">
        <v>1155</v>
      </c>
      <c r="D1031" t="s">
        <v>51</v>
      </c>
      <c r="E1031" s="8" t="s">
        <v>267</v>
      </c>
      <c r="F1031">
        <v>0</v>
      </c>
      <c r="G1031" t="s">
        <v>78</v>
      </c>
      <c r="H1031" t="str">
        <f>VLOOKUP(Tabla3[[#This Row],[DESCRIPCION MATERIAL]],'CODIGO MAT'!$C$2:$D$390,2,FALSE)</f>
        <v>AVI0000009</v>
      </c>
    </row>
    <row r="1032" spans="1:11" x14ac:dyDescent="0.25">
      <c r="A1032" t="s">
        <v>1154</v>
      </c>
      <c r="B1032" t="s">
        <v>63</v>
      </c>
      <c r="C1032" t="s">
        <v>1155</v>
      </c>
      <c r="D1032" t="s">
        <v>51</v>
      </c>
      <c r="E1032" s="8" t="s">
        <v>68</v>
      </c>
      <c r="F1032">
        <v>0</v>
      </c>
      <c r="G1032" t="s">
        <v>78</v>
      </c>
      <c r="H1032" t="str">
        <f>VLOOKUP(Tabla3[[#This Row],[DESCRIPCION MATERIAL]],'CODIGO MAT'!$C$2:$D$390,2,FALSE)</f>
        <v>AVI0000005</v>
      </c>
    </row>
    <row r="1033" spans="1:11" x14ac:dyDescent="0.25">
      <c r="A1033" t="s">
        <v>1156</v>
      </c>
      <c r="B1033" t="s">
        <v>63</v>
      </c>
      <c r="C1033" t="s">
        <v>1157</v>
      </c>
      <c r="D1033" t="s">
        <v>50</v>
      </c>
      <c r="E1033" s="8" t="s">
        <v>1158</v>
      </c>
      <c r="F1033">
        <v>0.66300000000000003</v>
      </c>
      <c r="G1033" t="s">
        <v>78</v>
      </c>
      <c r="H1033" t="str">
        <f>VLOOKUP(Tabla3[[#This Row],[DESCRIPCION MATERIAL]],'CODIGO MAT'!$C$2:$D$390,2,FALSE)</f>
        <v>TEL0000193</v>
      </c>
      <c r="J1033">
        <v>1</v>
      </c>
      <c r="K1033">
        <v>0</v>
      </c>
    </row>
    <row r="1034" spans="1:11" x14ac:dyDescent="0.25">
      <c r="A1034" t="s">
        <v>1156</v>
      </c>
      <c r="B1034" t="s">
        <v>63</v>
      </c>
      <c r="C1034" t="s">
        <v>1157</v>
      </c>
      <c r="D1034" t="s">
        <v>50</v>
      </c>
      <c r="E1034" s="8" t="s">
        <v>1159</v>
      </c>
      <c r="F1034">
        <v>0.498</v>
      </c>
      <c r="G1034" t="s">
        <v>78</v>
      </c>
      <c r="H1034" t="str">
        <f>VLOOKUP(Tabla3[[#This Row],[DESCRIPCION MATERIAL]],'CODIGO MAT'!$C$2:$D$390,2,FALSE)</f>
        <v>TEL0000194</v>
      </c>
      <c r="J1034">
        <v>1</v>
      </c>
      <c r="K1034">
        <v>0</v>
      </c>
    </row>
    <row r="1035" spans="1:11" x14ac:dyDescent="0.25">
      <c r="A1035" t="s">
        <v>1156</v>
      </c>
      <c r="B1035" t="s">
        <v>63</v>
      </c>
      <c r="C1035" t="s">
        <v>1157</v>
      </c>
      <c r="D1035" t="s">
        <v>51</v>
      </c>
      <c r="E1035" s="8" t="s">
        <v>996</v>
      </c>
      <c r="F1035">
        <v>0.5</v>
      </c>
      <c r="G1035" t="s">
        <v>78</v>
      </c>
      <c r="H1035" t="str">
        <f>VLOOKUP(Tabla3[[#This Row],[DESCRIPCION MATERIAL]],'CODIGO MAT'!$C$2:$D$390,2,FALSE)</f>
        <v>AVI0000148</v>
      </c>
      <c r="J1035">
        <v>1</v>
      </c>
      <c r="K1035">
        <v>0</v>
      </c>
    </row>
    <row r="1036" spans="1:11" x14ac:dyDescent="0.25">
      <c r="A1036" t="s">
        <v>1156</v>
      </c>
      <c r="B1036" t="s">
        <v>63</v>
      </c>
      <c r="C1036" t="s">
        <v>1157</v>
      </c>
      <c r="D1036" t="s">
        <v>51</v>
      </c>
      <c r="E1036" s="8" t="s">
        <v>1097</v>
      </c>
      <c r="F1036">
        <v>0.36</v>
      </c>
      <c r="G1036" t="s">
        <v>78</v>
      </c>
      <c r="H1036" t="str">
        <f>VLOOKUP(Tabla3[[#This Row],[DESCRIPCION MATERIAL]],'CODIGO MAT'!$C$2:$D$390,2,FALSE)</f>
        <v>AVI0000152</v>
      </c>
      <c r="J1036">
        <v>1</v>
      </c>
      <c r="K1036">
        <v>0</v>
      </c>
    </row>
    <row r="1037" spans="1:11" x14ac:dyDescent="0.25">
      <c r="A1037" t="s">
        <v>1165</v>
      </c>
      <c r="B1037" t="s">
        <v>63</v>
      </c>
      <c r="C1037" t="s">
        <v>1166</v>
      </c>
      <c r="D1037" t="s">
        <v>50</v>
      </c>
      <c r="E1037" s="8" t="s">
        <v>121</v>
      </c>
      <c r="F1037">
        <v>0.66300000000000003</v>
      </c>
      <c r="G1037" t="s">
        <v>78</v>
      </c>
      <c r="H1037" t="str">
        <f>VLOOKUP(Tabla3[[#This Row],[DESCRIPCION MATERIAL]],'CODIGO MAT'!$C$2:$D$390,2,FALSE)</f>
        <v>TEL0000048</v>
      </c>
      <c r="J1037">
        <v>1</v>
      </c>
      <c r="K1037">
        <v>0</v>
      </c>
    </row>
    <row r="1038" spans="1:11" x14ac:dyDescent="0.25">
      <c r="A1038" t="s">
        <v>1165</v>
      </c>
      <c r="B1038" t="s">
        <v>63</v>
      </c>
      <c r="C1038" t="s">
        <v>1166</v>
      </c>
      <c r="D1038" t="s">
        <v>50</v>
      </c>
      <c r="E1038" s="8" t="s">
        <v>1164</v>
      </c>
      <c r="F1038">
        <v>0.498</v>
      </c>
      <c r="G1038" t="s">
        <v>78</v>
      </c>
      <c r="H1038" t="str">
        <f>VLOOKUP(Tabla3[[#This Row],[DESCRIPCION MATERIAL]],'CODIGO MAT'!$C$2:$D$390,2,FALSE)</f>
        <v>TEL0000195</v>
      </c>
      <c r="J1038">
        <v>1</v>
      </c>
      <c r="K1038">
        <v>0</v>
      </c>
    </row>
    <row r="1039" spans="1:11" x14ac:dyDescent="0.25">
      <c r="A1039" t="s">
        <v>1165</v>
      </c>
      <c r="B1039" t="s">
        <v>63</v>
      </c>
      <c r="C1039" t="s">
        <v>1166</v>
      </c>
      <c r="D1039" t="s">
        <v>51</v>
      </c>
      <c r="E1039" s="8" t="s">
        <v>996</v>
      </c>
      <c r="F1039">
        <v>0.5</v>
      </c>
      <c r="G1039" t="s">
        <v>78</v>
      </c>
      <c r="H1039" t="str">
        <f>VLOOKUP(Tabla3[[#This Row],[DESCRIPCION MATERIAL]],'CODIGO MAT'!$C$2:$D$390,2,FALSE)</f>
        <v>AVI0000148</v>
      </c>
      <c r="J1039">
        <v>1</v>
      </c>
      <c r="K1039">
        <v>0</v>
      </c>
    </row>
    <row r="1040" spans="1:11" x14ac:dyDescent="0.25">
      <c r="A1040" t="s">
        <v>1165</v>
      </c>
      <c r="B1040" t="s">
        <v>63</v>
      </c>
      <c r="C1040" t="s">
        <v>1166</v>
      </c>
      <c r="D1040" t="s">
        <v>51</v>
      </c>
      <c r="E1040" s="8" t="s">
        <v>1097</v>
      </c>
      <c r="F1040">
        <v>0.36</v>
      </c>
      <c r="G1040" t="s">
        <v>78</v>
      </c>
      <c r="H1040" t="str">
        <f>VLOOKUP(Tabla3[[#This Row],[DESCRIPCION MATERIAL]],'CODIGO MAT'!$C$2:$D$390,2,FALSE)</f>
        <v>AVI0000152</v>
      </c>
      <c r="J1040">
        <v>1</v>
      </c>
      <c r="K1040">
        <v>0</v>
      </c>
    </row>
    <row r="1041" spans="1:11" x14ac:dyDescent="0.25">
      <c r="A1041" t="s">
        <v>1167</v>
      </c>
      <c r="B1041" t="s">
        <v>63</v>
      </c>
      <c r="C1041" t="s">
        <v>1168</v>
      </c>
      <c r="D1041" t="s">
        <v>50</v>
      </c>
      <c r="E1041" s="8" t="s">
        <v>118</v>
      </c>
      <c r="F1041">
        <v>1.32</v>
      </c>
      <c r="G1041" t="s">
        <v>78</v>
      </c>
      <c r="H1041" t="str">
        <f>VLOOKUP(Tabla3[[#This Row],[DESCRIPCION MATERIAL]],'CODIGO MAT'!$C$2:$D$390,2,FALSE)</f>
        <v>TEL0000045</v>
      </c>
      <c r="J1041">
        <v>1</v>
      </c>
      <c r="K1041">
        <v>0</v>
      </c>
    </row>
    <row r="1042" spans="1:11" x14ac:dyDescent="0.25">
      <c r="A1042" t="s">
        <v>1167</v>
      </c>
      <c r="B1042" t="s">
        <v>63</v>
      </c>
      <c r="C1042" t="s">
        <v>1168</v>
      </c>
      <c r="D1042" t="s">
        <v>50</v>
      </c>
      <c r="E1042" s="8" t="s">
        <v>104</v>
      </c>
      <c r="F1042">
        <v>2.46E-2</v>
      </c>
      <c r="G1042" t="s">
        <v>78</v>
      </c>
      <c r="H1042" t="str">
        <f>VLOOKUP(Tabla3[[#This Row],[DESCRIPCION MATERIAL]],'CODIGO MAT'!$C$2:$D$390,2,FALSE)</f>
        <v>TEL0000027</v>
      </c>
      <c r="J1042">
        <v>1</v>
      </c>
      <c r="K1042">
        <v>0</v>
      </c>
    </row>
    <row r="1043" spans="1:11" x14ac:dyDescent="0.25">
      <c r="A1043" t="s">
        <v>1167</v>
      </c>
      <c r="B1043" t="s">
        <v>63</v>
      </c>
      <c r="C1043" t="s">
        <v>1168</v>
      </c>
      <c r="D1043" t="s">
        <v>50</v>
      </c>
      <c r="E1043" s="8" t="s">
        <v>140</v>
      </c>
      <c r="F1043">
        <v>9.6000000000000002E-2</v>
      </c>
      <c r="G1043" t="s">
        <v>78</v>
      </c>
      <c r="H1043" t="str">
        <f>VLOOKUP(Tabla3[[#This Row],[DESCRIPCION MATERIAL]],'CODIGO MAT'!$C$2:$D$390,2,FALSE)</f>
        <v>TEL0000067</v>
      </c>
      <c r="J1043">
        <v>1</v>
      </c>
      <c r="K1043">
        <v>0</v>
      </c>
    </row>
    <row r="1044" spans="1:11" x14ac:dyDescent="0.25">
      <c r="A1044" t="s">
        <v>1167</v>
      </c>
      <c r="B1044" t="s">
        <v>63</v>
      </c>
      <c r="C1044" t="s">
        <v>1168</v>
      </c>
      <c r="D1044" t="s">
        <v>51</v>
      </c>
      <c r="E1044" s="8" t="s">
        <v>430</v>
      </c>
      <c r="F1044">
        <v>0</v>
      </c>
      <c r="G1044" t="s">
        <v>78</v>
      </c>
      <c r="H1044" t="str">
        <f>VLOOKUP(Tabla3[[#This Row],[DESCRIPCION MATERIAL]],'CODIGO MAT'!$C$2:$D$390,2,FALSE)</f>
        <v>AVI0000142</v>
      </c>
      <c r="J1044">
        <v>1</v>
      </c>
      <c r="K1044">
        <v>0</v>
      </c>
    </row>
    <row r="1045" spans="1:11" x14ac:dyDescent="0.25">
      <c r="A1045" t="s">
        <v>1167</v>
      </c>
      <c r="B1045" t="s">
        <v>63</v>
      </c>
      <c r="C1045" t="s">
        <v>1168</v>
      </c>
      <c r="D1045" t="s">
        <v>51</v>
      </c>
      <c r="E1045" s="8" t="s">
        <v>35</v>
      </c>
      <c r="F1045">
        <v>0.24</v>
      </c>
      <c r="G1045" t="s">
        <v>78</v>
      </c>
      <c r="H1045" t="str">
        <f>VLOOKUP(Tabla3[[#This Row],[DESCRIPCION MATERIAL]],'CODIGO MAT'!$C$2:$D$390,2,FALSE)</f>
        <v>AVI0000031</v>
      </c>
    </row>
    <row r="1046" spans="1:11" x14ac:dyDescent="0.25">
      <c r="A1046" t="s">
        <v>1167</v>
      </c>
      <c r="B1046" t="s">
        <v>63</v>
      </c>
      <c r="C1046" t="s">
        <v>1168</v>
      </c>
      <c r="D1046" t="s">
        <v>51</v>
      </c>
      <c r="E1046" s="8" t="s">
        <v>398</v>
      </c>
      <c r="F1046">
        <v>10</v>
      </c>
      <c r="G1046" t="s">
        <v>396</v>
      </c>
      <c r="H1046" t="str">
        <f>VLOOKUP(Tabla3[[#This Row],[DESCRIPCION MATERIAL]],'CODIGO MAT'!$C$2:$D$390,2,FALSE)</f>
        <v>AVI0000132</v>
      </c>
    </row>
    <row r="1047" spans="1:11" x14ac:dyDescent="0.25">
      <c r="A1047" t="s">
        <v>1167</v>
      </c>
      <c r="B1047" t="s">
        <v>63</v>
      </c>
      <c r="C1047" t="s">
        <v>1168</v>
      </c>
      <c r="D1047" t="s">
        <v>51</v>
      </c>
      <c r="E1047" s="8" t="s">
        <v>261</v>
      </c>
      <c r="F1047">
        <v>1</v>
      </c>
      <c r="G1047" t="s">
        <v>78</v>
      </c>
      <c r="H1047" t="str">
        <f>VLOOKUP(Tabla3[[#This Row],[DESCRIPCION MATERIAL]],'CODIGO MAT'!$C$2:$D$390,2,FALSE)</f>
        <v>AVI0000002</v>
      </c>
      <c r="J1047">
        <v>1</v>
      </c>
      <c r="K1047">
        <v>0</v>
      </c>
    </row>
    <row r="1048" spans="1:11" x14ac:dyDescent="0.25">
      <c r="A1048" t="s">
        <v>1167</v>
      </c>
      <c r="B1048" t="s">
        <v>63</v>
      </c>
      <c r="C1048" t="s">
        <v>1168</v>
      </c>
      <c r="D1048" t="s">
        <v>51</v>
      </c>
      <c r="E1048" s="8" t="s">
        <v>1128</v>
      </c>
      <c r="F1048">
        <v>5.0000000000000001E-3</v>
      </c>
      <c r="G1048" t="s">
        <v>78</v>
      </c>
      <c r="H1048" t="str">
        <f>VLOOKUP(Tabla3[[#This Row],[DESCRIPCION MATERIAL]],'CODIGO MAT'!$C$2:$D$390,2,FALSE)</f>
        <v>AVI0000149</v>
      </c>
    </row>
    <row r="1049" spans="1:11" x14ac:dyDescent="0.25">
      <c r="A1049" t="s">
        <v>1167</v>
      </c>
      <c r="B1049" t="s">
        <v>63</v>
      </c>
      <c r="C1049" t="s">
        <v>1168</v>
      </c>
      <c r="D1049" t="s">
        <v>51</v>
      </c>
      <c r="E1049" s="8" t="s">
        <v>67</v>
      </c>
      <c r="F1049">
        <v>0</v>
      </c>
      <c r="G1049" t="s">
        <v>78</v>
      </c>
      <c r="H1049" t="str">
        <f>VLOOKUP(Tabla3[[#This Row],[DESCRIPCION MATERIAL]],'CODIGO MAT'!$C$2:$D$390,2,FALSE)</f>
        <v>AVI0000007</v>
      </c>
    </row>
    <row r="1050" spans="1:11" x14ac:dyDescent="0.25">
      <c r="A1050" t="s">
        <v>1169</v>
      </c>
      <c r="B1050" t="s">
        <v>63</v>
      </c>
      <c r="C1050" t="s">
        <v>1170</v>
      </c>
      <c r="D1050" t="s">
        <v>50</v>
      </c>
      <c r="E1050" s="8" t="s">
        <v>121</v>
      </c>
      <c r="F1050">
        <v>0.66300000000000003</v>
      </c>
      <c r="G1050" t="s">
        <v>78</v>
      </c>
      <c r="H1050" t="str">
        <f>VLOOKUP(Tabla3[[#This Row],[DESCRIPCION MATERIAL]],'CODIGO MAT'!$C$2:$D$390,2,FALSE)</f>
        <v>TEL0000048</v>
      </c>
      <c r="J1050">
        <v>1</v>
      </c>
      <c r="K1050">
        <v>0</v>
      </c>
    </row>
    <row r="1051" spans="1:11" x14ac:dyDescent="0.25">
      <c r="A1051" t="s">
        <v>1169</v>
      </c>
      <c r="B1051" t="s">
        <v>63</v>
      </c>
      <c r="C1051" t="s">
        <v>1170</v>
      </c>
      <c r="D1051" t="s">
        <v>50</v>
      </c>
      <c r="E1051" s="8" t="s">
        <v>1162</v>
      </c>
      <c r="F1051">
        <v>0.498</v>
      </c>
      <c r="G1051" t="s">
        <v>78</v>
      </c>
      <c r="H1051" t="str">
        <f>VLOOKUP(Tabla3[[#This Row],[DESCRIPCION MATERIAL]],'CODIGO MAT'!$C$2:$D$390,2,FALSE)</f>
        <v>TEL0000196</v>
      </c>
      <c r="J1051">
        <v>1</v>
      </c>
      <c r="K1051">
        <v>0</v>
      </c>
    </row>
    <row r="1052" spans="1:11" x14ac:dyDescent="0.25">
      <c r="A1052" t="s">
        <v>1169</v>
      </c>
      <c r="B1052" t="s">
        <v>63</v>
      </c>
      <c r="C1052" t="s">
        <v>1170</v>
      </c>
      <c r="D1052" t="s">
        <v>51</v>
      </c>
      <c r="E1052" s="8" t="s">
        <v>996</v>
      </c>
      <c r="F1052">
        <v>0.5</v>
      </c>
      <c r="G1052" t="s">
        <v>78</v>
      </c>
      <c r="H1052" t="str">
        <f>VLOOKUP(Tabla3[[#This Row],[DESCRIPCION MATERIAL]],'CODIGO MAT'!$C$2:$D$390,2,FALSE)</f>
        <v>AVI0000148</v>
      </c>
      <c r="J1052">
        <v>1</v>
      </c>
      <c r="K1052">
        <v>0</v>
      </c>
    </row>
    <row r="1053" spans="1:11" x14ac:dyDescent="0.25">
      <c r="A1053" t="s">
        <v>1169</v>
      </c>
      <c r="B1053" t="s">
        <v>63</v>
      </c>
      <c r="C1053" t="s">
        <v>1170</v>
      </c>
      <c r="D1053" t="s">
        <v>51</v>
      </c>
      <c r="E1053" s="8" t="s">
        <v>1097</v>
      </c>
      <c r="F1053">
        <v>0.36</v>
      </c>
      <c r="G1053" t="s">
        <v>78</v>
      </c>
      <c r="H1053" t="str">
        <f>VLOOKUP(Tabla3[[#This Row],[DESCRIPCION MATERIAL]],'CODIGO MAT'!$C$2:$D$390,2,FALSE)</f>
        <v>AVI0000152</v>
      </c>
      <c r="J1053">
        <v>1</v>
      </c>
      <c r="K1053">
        <v>0</v>
      </c>
    </row>
    <row r="1054" spans="1:11" x14ac:dyDescent="0.25">
      <c r="A1054" t="s">
        <v>1171</v>
      </c>
      <c r="B1054" t="s">
        <v>63</v>
      </c>
      <c r="C1054" t="s">
        <v>1172</v>
      </c>
      <c r="D1054" t="s">
        <v>50</v>
      </c>
      <c r="E1054" s="8" t="s">
        <v>12</v>
      </c>
      <c r="F1054">
        <v>1.41</v>
      </c>
      <c r="G1054" t="s">
        <v>78</v>
      </c>
      <c r="H1054" t="str">
        <f>VLOOKUP(Tabla3[[#This Row],[DESCRIPCION MATERIAL]],'CODIGO MAT'!$C$2:$D$390,2,FALSE)</f>
        <v>TEL0000040</v>
      </c>
      <c r="J1054">
        <v>1</v>
      </c>
      <c r="K1054">
        <v>0</v>
      </c>
    </row>
    <row r="1055" spans="1:11" x14ac:dyDescent="0.25">
      <c r="A1055" t="s">
        <v>1171</v>
      </c>
      <c r="B1055" t="s">
        <v>63</v>
      </c>
      <c r="C1055" t="s">
        <v>1172</v>
      </c>
      <c r="D1055" t="s">
        <v>50</v>
      </c>
      <c r="E1055" s="8" t="s">
        <v>106</v>
      </c>
      <c r="F1055">
        <v>8.8999999999999996E-2</v>
      </c>
      <c r="G1055" t="s">
        <v>78</v>
      </c>
      <c r="H1055" t="str">
        <f>VLOOKUP(Tabla3[[#This Row],[DESCRIPCION MATERIAL]],'CODIGO MAT'!$C$2:$D$390,2,FALSE)</f>
        <v>TEL0000029</v>
      </c>
      <c r="J1055">
        <v>1</v>
      </c>
      <c r="K1055">
        <v>0</v>
      </c>
    </row>
    <row r="1056" spans="1:11" x14ac:dyDescent="0.25">
      <c r="A1056" t="s">
        <v>1171</v>
      </c>
      <c r="B1056" t="s">
        <v>63</v>
      </c>
      <c r="C1056" t="s">
        <v>1172</v>
      </c>
      <c r="D1056" t="s">
        <v>50</v>
      </c>
      <c r="E1056" s="8" t="s">
        <v>32</v>
      </c>
      <c r="F1056">
        <v>2.1999999999999999E-2</v>
      </c>
      <c r="G1056" t="s">
        <v>78</v>
      </c>
      <c r="H1056" t="str">
        <f>VLOOKUP(Tabla3[[#This Row],[DESCRIPCION MATERIAL]],'CODIGO MAT'!$C$2:$D$390,2,FALSE)</f>
        <v>TEL0000041</v>
      </c>
      <c r="J1056">
        <v>1</v>
      </c>
      <c r="K1056">
        <v>0</v>
      </c>
    </row>
    <row r="1057" spans="1:11" x14ac:dyDescent="0.25">
      <c r="A1057" t="s">
        <v>1171</v>
      </c>
      <c r="B1057" t="s">
        <v>63</v>
      </c>
      <c r="C1057" t="s">
        <v>1172</v>
      </c>
      <c r="D1057" t="s">
        <v>50</v>
      </c>
      <c r="E1057" s="8" t="s">
        <v>11</v>
      </c>
      <c r="F1057">
        <v>3.5000000000000003E-2</v>
      </c>
      <c r="G1057" t="s">
        <v>78</v>
      </c>
      <c r="H1057" t="str">
        <f>VLOOKUP(Tabla3[[#This Row],[DESCRIPCION MATERIAL]],'CODIGO MAT'!$C$2:$D$390,2,FALSE)</f>
        <v>TEL0000149</v>
      </c>
      <c r="J1057">
        <v>1</v>
      </c>
      <c r="K1057">
        <v>0</v>
      </c>
    </row>
    <row r="1058" spans="1:11" x14ac:dyDescent="0.25">
      <c r="A1058" t="s">
        <v>1171</v>
      </c>
      <c r="B1058" t="s">
        <v>63</v>
      </c>
      <c r="C1058" t="s">
        <v>1172</v>
      </c>
      <c r="D1058" t="s">
        <v>51</v>
      </c>
      <c r="E1058" s="8" t="s">
        <v>323</v>
      </c>
      <c r="F1058">
        <v>4.22</v>
      </c>
      <c r="G1058" t="s">
        <v>78</v>
      </c>
      <c r="H1058" t="str">
        <f>VLOOKUP(Tabla3[[#This Row],[DESCRIPCION MATERIAL]],'CODIGO MAT'!$C$2:$D$390,2,FALSE)</f>
        <v>AVI0000061</v>
      </c>
      <c r="J1058">
        <v>1</v>
      </c>
      <c r="K1058">
        <v>0</v>
      </c>
    </row>
    <row r="1059" spans="1:11" x14ac:dyDescent="0.25">
      <c r="A1059" t="s">
        <v>1171</v>
      </c>
      <c r="B1059" t="s">
        <v>63</v>
      </c>
      <c r="C1059" t="s">
        <v>1172</v>
      </c>
      <c r="D1059" t="s">
        <v>51</v>
      </c>
      <c r="E1059" s="8" t="s">
        <v>389</v>
      </c>
      <c r="F1059">
        <v>6</v>
      </c>
      <c r="G1059" t="s">
        <v>396</v>
      </c>
      <c r="H1059" t="str">
        <f>VLOOKUP(Tabla3[[#This Row],[DESCRIPCION MATERIAL]],'CODIGO MAT'!$C$2:$D$390,2,FALSE)</f>
        <v>AVI0000124</v>
      </c>
    </row>
    <row r="1060" spans="1:11" x14ac:dyDescent="0.25">
      <c r="A1060" t="s">
        <v>1171</v>
      </c>
      <c r="B1060" t="s">
        <v>63</v>
      </c>
      <c r="C1060" t="s">
        <v>1172</v>
      </c>
      <c r="D1060" t="s">
        <v>51</v>
      </c>
      <c r="E1060" s="8" t="s">
        <v>996</v>
      </c>
      <c r="F1060">
        <v>0.5</v>
      </c>
      <c r="G1060" t="s">
        <v>78</v>
      </c>
      <c r="H1060" t="str">
        <f>VLOOKUP(Tabla3[[#This Row],[DESCRIPCION MATERIAL]],'CODIGO MAT'!$C$2:$D$390,2,FALSE)</f>
        <v>AVI0000148</v>
      </c>
      <c r="J1060">
        <v>1</v>
      </c>
      <c r="K1060">
        <v>0</v>
      </c>
    </row>
    <row r="1061" spans="1:11" x14ac:dyDescent="0.25">
      <c r="A1061" t="s">
        <v>1171</v>
      </c>
      <c r="B1061" t="s">
        <v>63</v>
      </c>
      <c r="C1061" t="s">
        <v>1172</v>
      </c>
      <c r="D1061" t="s">
        <v>51</v>
      </c>
      <c r="E1061" s="8" t="s">
        <v>68</v>
      </c>
      <c r="F1061">
        <v>0</v>
      </c>
      <c r="G1061" t="s">
        <v>78</v>
      </c>
      <c r="H1061" t="str">
        <f>VLOOKUP(Tabla3[[#This Row],[DESCRIPCION MATERIAL]],'CODIGO MAT'!$C$2:$D$390,2,FALSE)</f>
        <v>AVI0000005</v>
      </c>
    </row>
    <row r="1062" spans="1:11" x14ac:dyDescent="0.25">
      <c r="A1062" t="s">
        <v>1171</v>
      </c>
      <c r="B1062" t="s">
        <v>63</v>
      </c>
      <c r="C1062" t="s">
        <v>1172</v>
      </c>
      <c r="D1062" t="s">
        <v>51</v>
      </c>
      <c r="E1062" s="8" t="s">
        <v>67</v>
      </c>
      <c r="F1062">
        <v>0</v>
      </c>
      <c r="G1062" t="s">
        <v>78</v>
      </c>
      <c r="H1062" t="str">
        <f>VLOOKUP(Tabla3[[#This Row],[DESCRIPCION MATERIAL]],'CODIGO MAT'!$C$2:$D$390,2,FALSE)</f>
        <v>AVI0000007</v>
      </c>
    </row>
    <row r="1063" spans="1:11" x14ac:dyDescent="0.25">
      <c r="A1063" t="s">
        <v>1173</v>
      </c>
      <c r="B1063" t="s">
        <v>63</v>
      </c>
      <c r="C1063" t="s">
        <v>1174</v>
      </c>
      <c r="D1063" t="s">
        <v>50</v>
      </c>
      <c r="E1063" s="8" t="s">
        <v>12</v>
      </c>
      <c r="F1063">
        <v>1.55</v>
      </c>
      <c r="G1063" t="s">
        <v>78</v>
      </c>
      <c r="H1063" t="str">
        <f>VLOOKUP(Tabla3[[#This Row],[DESCRIPCION MATERIAL]],'CODIGO MAT'!$C$2:$D$390,2,FALSE)</f>
        <v>TEL0000040</v>
      </c>
      <c r="J1063">
        <v>1</v>
      </c>
      <c r="K1063">
        <v>0</v>
      </c>
    </row>
    <row r="1064" spans="1:11" x14ac:dyDescent="0.25">
      <c r="A1064" t="s">
        <v>1173</v>
      </c>
      <c r="B1064" t="s">
        <v>63</v>
      </c>
      <c r="C1064" t="s">
        <v>1174</v>
      </c>
      <c r="D1064" t="s">
        <v>50</v>
      </c>
      <c r="E1064" s="8" t="s">
        <v>106</v>
      </c>
      <c r="F1064">
        <v>8.8999999999999996E-2</v>
      </c>
      <c r="G1064" t="s">
        <v>78</v>
      </c>
      <c r="H1064" t="str">
        <f>VLOOKUP(Tabla3[[#This Row],[DESCRIPCION MATERIAL]],'CODIGO MAT'!$C$2:$D$390,2,FALSE)</f>
        <v>TEL0000029</v>
      </c>
      <c r="J1064">
        <v>1</v>
      </c>
      <c r="K1064">
        <v>0</v>
      </c>
    </row>
    <row r="1065" spans="1:11" x14ac:dyDescent="0.25">
      <c r="A1065" t="s">
        <v>1173</v>
      </c>
      <c r="B1065" t="s">
        <v>63</v>
      </c>
      <c r="C1065" t="s">
        <v>1174</v>
      </c>
      <c r="D1065" t="s">
        <v>50</v>
      </c>
      <c r="E1065" s="8" t="s">
        <v>32</v>
      </c>
      <c r="F1065">
        <v>2.1999999999999999E-2</v>
      </c>
      <c r="G1065" t="s">
        <v>78</v>
      </c>
      <c r="H1065" t="str">
        <f>VLOOKUP(Tabla3[[#This Row],[DESCRIPCION MATERIAL]],'CODIGO MAT'!$C$2:$D$390,2,FALSE)</f>
        <v>TEL0000041</v>
      </c>
      <c r="J1065">
        <v>1</v>
      </c>
      <c r="K1065">
        <v>0</v>
      </c>
    </row>
    <row r="1066" spans="1:11" x14ac:dyDescent="0.25">
      <c r="A1066" t="s">
        <v>1173</v>
      </c>
      <c r="B1066" t="s">
        <v>63</v>
      </c>
      <c r="C1066" t="s">
        <v>1174</v>
      </c>
      <c r="D1066" t="s">
        <v>50</v>
      </c>
      <c r="E1066" s="8" t="s">
        <v>11</v>
      </c>
      <c r="F1066">
        <v>3.5000000000000003E-2</v>
      </c>
      <c r="G1066" t="s">
        <v>78</v>
      </c>
      <c r="H1066" t="str">
        <f>VLOOKUP(Tabla3[[#This Row],[DESCRIPCION MATERIAL]],'CODIGO MAT'!$C$2:$D$390,2,FALSE)</f>
        <v>TEL0000149</v>
      </c>
      <c r="J1066">
        <v>1</v>
      </c>
      <c r="K1066">
        <v>0</v>
      </c>
    </row>
    <row r="1067" spans="1:11" x14ac:dyDescent="0.25">
      <c r="A1067" t="s">
        <v>1173</v>
      </c>
      <c r="B1067" t="s">
        <v>63</v>
      </c>
      <c r="C1067" t="s">
        <v>1174</v>
      </c>
      <c r="D1067" t="s">
        <v>51</v>
      </c>
      <c r="E1067" s="8" t="s">
        <v>323</v>
      </c>
      <c r="F1067">
        <v>7.97</v>
      </c>
      <c r="G1067" t="s">
        <v>78</v>
      </c>
      <c r="H1067" t="str">
        <f>VLOOKUP(Tabla3[[#This Row],[DESCRIPCION MATERIAL]],'CODIGO MAT'!$C$2:$D$390,2,FALSE)</f>
        <v>AVI0000061</v>
      </c>
      <c r="J1067">
        <v>1</v>
      </c>
      <c r="K1067">
        <v>0</v>
      </c>
    </row>
    <row r="1068" spans="1:11" x14ac:dyDescent="0.25">
      <c r="A1068" t="s">
        <v>1173</v>
      </c>
      <c r="B1068" t="s">
        <v>63</v>
      </c>
      <c r="C1068" t="s">
        <v>1174</v>
      </c>
      <c r="D1068" t="s">
        <v>51</v>
      </c>
      <c r="E1068" s="8" t="s">
        <v>389</v>
      </c>
      <c r="F1068">
        <v>6</v>
      </c>
      <c r="G1068" t="s">
        <v>396</v>
      </c>
      <c r="H1068" t="str">
        <f>VLOOKUP(Tabla3[[#This Row],[DESCRIPCION MATERIAL]],'CODIGO MAT'!$C$2:$D$390,2,FALSE)</f>
        <v>AVI0000124</v>
      </c>
    </row>
    <row r="1069" spans="1:11" x14ac:dyDescent="0.25">
      <c r="A1069" t="s">
        <v>1173</v>
      </c>
      <c r="B1069" t="s">
        <v>63</v>
      </c>
      <c r="C1069" t="s">
        <v>1174</v>
      </c>
      <c r="D1069" t="s">
        <v>51</v>
      </c>
      <c r="E1069" s="8" t="s">
        <v>996</v>
      </c>
      <c r="F1069">
        <v>0.5</v>
      </c>
      <c r="G1069" t="s">
        <v>78</v>
      </c>
      <c r="H1069" t="str">
        <f>VLOOKUP(Tabla3[[#This Row],[DESCRIPCION MATERIAL]],'CODIGO MAT'!$C$2:$D$390,2,FALSE)</f>
        <v>AVI0000148</v>
      </c>
      <c r="J1069">
        <v>1</v>
      </c>
      <c r="K1069">
        <v>0</v>
      </c>
    </row>
    <row r="1070" spans="1:11" x14ac:dyDescent="0.25">
      <c r="A1070" t="s">
        <v>1173</v>
      </c>
      <c r="B1070" t="s">
        <v>63</v>
      </c>
      <c r="C1070" t="s">
        <v>1174</v>
      </c>
      <c r="D1070" t="s">
        <v>51</v>
      </c>
      <c r="E1070" s="8" t="s">
        <v>68</v>
      </c>
      <c r="F1070">
        <v>0</v>
      </c>
      <c r="G1070" t="s">
        <v>78</v>
      </c>
      <c r="H1070" t="str">
        <f>VLOOKUP(Tabla3[[#This Row],[DESCRIPCION MATERIAL]],'CODIGO MAT'!$C$2:$D$390,2,FALSE)</f>
        <v>AVI0000005</v>
      </c>
    </row>
    <row r="1071" spans="1:11" x14ac:dyDescent="0.25">
      <c r="A1071" t="s">
        <v>1173</v>
      </c>
      <c r="B1071" t="s">
        <v>63</v>
      </c>
      <c r="C1071" t="s">
        <v>1174</v>
      </c>
      <c r="D1071" t="s">
        <v>51</v>
      </c>
      <c r="E1071" s="8" t="s">
        <v>67</v>
      </c>
      <c r="F1071">
        <v>0</v>
      </c>
      <c r="G1071" t="s">
        <v>78</v>
      </c>
      <c r="H1071" t="str">
        <f>VLOOKUP(Tabla3[[#This Row],[DESCRIPCION MATERIAL]],'CODIGO MAT'!$C$2:$D$390,2,FALSE)</f>
        <v>AVI0000007</v>
      </c>
    </row>
    <row r="1072" spans="1:11" x14ac:dyDescent="0.25">
      <c r="A1072" t="s">
        <v>1175</v>
      </c>
      <c r="B1072" t="s">
        <v>63</v>
      </c>
      <c r="C1072" t="s">
        <v>1176</v>
      </c>
      <c r="D1072" t="s">
        <v>50</v>
      </c>
      <c r="E1072" s="8" t="s">
        <v>1177</v>
      </c>
      <c r="F1072">
        <v>1.2470000000000001</v>
      </c>
      <c r="G1072" t="s">
        <v>78</v>
      </c>
      <c r="H1072" t="str">
        <f>VLOOKUP(Tabla3[[#This Row],[DESCRIPCION MATERIAL]],'CODIGO MAT'!$C$2:$D$390,2,FALSE)</f>
        <v>TEL0000197</v>
      </c>
      <c r="J1072">
        <v>1</v>
      </c>
      <c r="K1072">
        <v>0</v>
      </c>
    </row>
    <row r="1073" spans="1:11" x14ac:dyDescent="0.25">
      <c r="A1073" t="s">
        <v>1175</v>
      </c>
      <c r="B1073" t="s">
        <v>63</v>
      </c>
      <c r="C1073" t="s">
        <v>1176</v>
      </c>
      <c r="D1073" t="s">
        <v>50</v>
      </c>
      <c r="E1073" s="8" t="s">
        <v>1178</v>
      </c>
      <c r="F1073">
        <v>0.217</v>
      </c>
      <c r="G1073" t="s">
        <v>78</v>
      </c>
      <c r="H1073" t="str">
        <f>VLOOKUP(Tabla3[[#This Row],[DESCRIPCION MATERIAL]],'CODIGO MAT'!$C$2:$D$390,2,FALSE)</f>
        <v>TEL0000198</v>
      </c>
      <c r="J1073">
        <v>1</v>
      </c>
      <c r="K1073">
        <v>0</v>
      </c>
    </row>
    <row r="1074" spans="1:11" x14ac:dyDescent="0.25">
      <c r="A1074" t="s">
        <v>1175</v>
      </c>
      <c r="B1074" t="s">
        <v>63</v>
      </c>
      <c r="C1074" t="s">
        <v>1176</v>
      </c>
      <c r="D1074" t="s">
        <v>51</v>
      </c>
      <c r="E1074" s="8" t="s">
        <v>1179</v>
      </c>
      <c r="F1074">
        <v>8</v>
      </c>
      <c r="G1074" t="s">
        <v>396</v>
      </c>
      <c r="H1074" t="str">
        <f>VLOOKUP(Tabla3[[#This Row],[DESCRIPCION MATERIAL]],'CODIGO MAT'!$C$2:$D$390,2,FALSE)</f>
        <v>AVI0000157</v>
      </c>
    </row>
    <row r="1075" spans="1:11" x14ac:dyDescent="0.25">
      <c r="A1075" t="s">
        <v>1175</v>
      </c>
      <c r="B1075" t="s">
        <v>63</v>
      </c>
      <c r="C1075" t="s">
        <v>1176</v>
      </c>
      <c r="D1075" t="s">
        <v>51</v>
      </c>
      <c r="E1075" s="8" t="s">
        <v>223</v>
      </c>
      <c r="F1075">
        <v>0.03</v>
      </c>
      <c r="G1075" t="s">
        <v>78</v>
      </c>
      <c r="H1075" t="str">
        <f>VLOOKUP(Tabla3[[#This Row],[DESCRIPCION MATERIAL]],'CODIGO MAT'!$C$2:$D$390,2,FALSE)</f>
        <v>TEL0000151</v>
      </c>
    </row>
    <row r="1076" spans="1:11" x14ac:dyDescent="0.25">
      <c r="A1076" t="s">
        <v>1180</v>
      </c>
      <c r="B1076" t="s">
        <v>63</v>
      </c>
      <c r="C1076" t="s">
        <v>1181</v>
      </c>
      <c r="D1076" t="s">
        <v>50</v>
      </c>
      <c r="E1076" s="8" t="s">
        <v>1096</v>
      </c>
      <c r="F1076">
        <v>0.38500000000000001</v>
      </c>
      <c r="G1076" t="s">
        <v>78</v>
      </c>
      <c r="H1076" t="str">
        <f>VLOOKUP(Tabla3[[#This Row],[DESCRIPCION MATERIAL]],'CODIGO MAT'!$C$2:$D$390,2,FALSE)</f>
        <v>TEL0000199</v>
      </c>
      <c r="J1076">
        <v>1</v>
      </c>
      <c r="K1076">
        <v>0</v>
      </c>
    </row>
    <row r="1077" spans="1:11" x14ac:dyDescent="0.25">
      <c r="A1077" t="s">
        <v>1180</v>
      </c>
      <c r="B1077" t="s">
        <v>63</v>
      </c>
      <c r="C1077" t="s">
        <v>1181</v>
      </c>
      <c r="D1077" t="s">
        <v>50</v>
      </c>
      <c r="E1077" s="8" t="s">
        <v>1182</v>
      </c>
      <c r="F1077">
        <v>0.88</v>
      </c>
      <c r="G1077" t="s">
        <v>78</v>
      </c>
      <c r="H1077" t="str">
        <f>VLOOKUP(Tabla3[[#This Row],[DESCRIPCION MATERIAL]],'CODIGO MAT'!$C$2:$D$390,2,FALSE)</f>
        <v>TEL0000200</v>
      </c>
      <c r="J1077">
        <v>1</v>
      </c>
      <c r="K1077">
        <v>0</v>
      </c>
    </row>
    <row r="1078" spans="1:11" x14ac:dyDescent="0.25">
      <c r="A1078" t="s">
        <v>1180</v>
      </c>
      <c r="B1078" t="s">
        <v>63</v>
      </c>
      <c r="C1078" t="s">
        <v>1181</v>
      </c>
      <c r="D1078" t="s">
        <v>50</v>
      </c>
      <c r="E1078" s="8" t="s">
        <v>139</v>
      </c>
      <c r="F1078">
        <v>8.7999999999999995E-2</v>
      </c>
      <c r="G1078" t="s">
        <v>78</v>
      </c>
      <c r="H1078" t="str">
        <f>VLOOKUP(Tabla3[[#This Row],[DESCRIPCION MATERIAL]],'CODIGO MAT'!$C$2:$D$390,2,FALSE)</f>
        <v>TEL0000066</v>
      </c>
      <c r="J1078">
        <v>1</v>
      </c>
      <c r="K1078">
        <v>0</v>
      </c>
    </row>
    <row r="1079" spans="1:11" x14ac:dyDescent="0.25">
      <c r="A1079" t="s">
        <v>1180</v>
      </c>
      <c r="B1079" t="s">
        <v>63</v>
      </c>
      <c r="C1079" t="s">
        <v>1181</v>
      </c>
      <c r="D1079" t="s">
        <v>51</v>
      </c>
      <c r="E1079" s="8" t="s">
        <v>337</v>
      </c>
      <c r="F1079">
        <v>1.55</v>
      </c>
      <c r="G1079" t="s">
        <v>78</v>
      </c>
      <c r="H1079" t="str">
        <f>VLOOKUP(Tabla3[[#This Row],[DESCRIPCION MATERIAL]],'CODIGO MAT'!$C$2:$D$390,2,FALSE)</f>
        <v>AVI0000075</v>
      </c>
      <c r="J1079">
        <v>1</v>
      </c>
      <c r="K1079">
        <v>0</v>
      </c>
    </row>
    <row r="1080" spans="1:11" x14ac:dyDescent="0.25">
      <c r="A1080" t="s">
        <v>1180</v>
      </c>
      <c r="B1080" t="s">
        <v>63</v>
      </c>
      <c r="C1080" t="s">
        <v>1181</v>
      </c>
      <c r="D1080" t="s">
        <v>51</v>
      </c>
      <c r="E1080" s="8" t="s">
        <v>398</v>
      </c>
      <c r="F1080">
        <v>4</v>
      </c>
      <c r="G1080" t="s">
        <v>396</v>
      </c>
      <c r="H1080" t="str">
        <f>VLOOKUP(Tabla3[[#This Row],[DESCRIPCION MATERIAL]],'CODIGO MAT'!$C$2:$D$390,2,FALSE)</f>
        <v>AVI0000132</v>
      </c>
    </row>
    <row r="1081" spans="1:11" x14ac:dyDescent="0.25">
      <c r="A1081" t="s">
        <v>1180</v>
      </c>
      <c r="B1081" t="s">
        <v>63</v>
      </c>
      <c r="C1081" t="s">
        <v>1181</v>
      </c>
      <c r="D1081" t="s">
        <v>51</v>
      </c>
      <c r="E1081" s="8" t="s">
        <v>261</v>
      </c>
      <c r="F1081">
        <v>1</v>
      </c>
      <c r="G1081" t="s">
        <v>78</v>
      </c>
      <c r="H1081" t="str">
        <f>VLOOKUP(Tabla3[[#This Row],[DESCRIPCION MATERIAL]],'CODIGO MAT'!$C$2:$D$390,2,FALSE)</f>
        <v>AVI0000002</v>
      </c>
      <c r="J1081">
        <v>1</v>
      </c>
      <c r="K1081">
        <v>0</v>
      </c>
    </row>
    <row r="1082" spans="1:11" x14ac:dyDescent="0.25">
      <c r="A1082" t="s">
        <v>1180</v>
      </c>
      <c r="B1082" t="s">
        <v>63</v>
      </c>
      <c r="C1082" t="s">
        <v>1181</v>
      </c>
      <c r="D1082" t="s">
        <v>51</v>
      </c>
      <c r="E1082" s="8" t="s">
        <v>373</v>
      </c>
      <c r="F1082">
        <v>1</v>
      </c>
      <c r="G1082" t="s">
        <v>78</v>
      </c>
      <c r="H1082" t="str">
        <f>VLOOKUP(Tabla3[[#This Row],[DESCRIPCION MATERIAL]],'CODIGO MAT'!$C$2:$D$390,2,FALSE)</f>
        <v>AVI0000110</v>
      </c>
      <c r="J1082">
        <v>1</v>
      </c>
      <c r="K1082">
        <v>0</v>
      </c>
    </row>
    <row r="1083" spans="1:11" x14ac:dyDescent="0.25">
      <c r="A1083" t="s">
        <v>1180</v>
      </c>
      <c r="B1083" t="s">
        <v>63</v>
      </c>
      <c r="C1083" t="s">
        <v>1181</v>
      </c>
      <c r="D1083" t="s">
        <v>51</v>
      </c>
      <c r="E1083" s="8" t="s">
        <v>308</v>
      </c>
      <c r="F1083">
        <v>1.2E-2</v>
      </c>
      <c r="G1083" t="s">
        <v>78</v>
      </c>
      <c r="H1083" t="str">
        <f>VLOOKUP(Tabla3[[#This Row],[DESCRIPCION MATERIAL]],'CODIGO MAT'!$C$2:$D$390,2,FALSE)</f>
        <v>AVI0000053</v>
      </c>
      <c r="J1083">
        <v>1</v>
      </c>
      <c r="K1083">
        <v>0</v>
      </c>
    </row>
    <row r="1084" spans="1:11" x14ac:dyDescent="0.25">
      <c r="A1084" t="s">
        <v>1180</v>
      </c>
      <c r="B1084" t="s">
        <v>63</v>
      </c>
      <c r="C1084" t="s">
        <v>1181</v>
      </c>
      <c r="D1084" t="s">
        <v>51</v>
      </c>
      <c r="E1084" s="8" t="s">
        <v>329</v>
      </c>
      <c r="F1084">
        <v>0.34</v>
      </c>
      <c r="G1084" t="s">
        <v>78</v>
      </c>
      <c r="H1084" t="str">
        <f>VLOOKUP(Tabla3[[#This Row],[DESCRIPCION MATERIAL]],'CODIGO MAT'!$C$2:$D$390,2,FALSE)</f>
        <v>AVI0000067</v>
      </c>
      <c r="J1084">
        <v>1</v>
      </c>
      <c r="K1084">
        <v>0</v>
      </c>
    </row>
    <row r="1085" spans="1:11" x14ac:dyDescent="0.25">
      <c r="A1085" t="s">
        <v>1180</v>
      </c>
      <c r="B1085" t="s">
        <v>63</v>
      </c>
      <c r="C1085" t="s">
        <v>1181</v>
      </c>
      <c r="D1085" t="s">
        <v>51</v>
      </c>
      <c r="E1085" s="8" t="s">
        <v>35</v>
      </c>
      <c r="F1085">
        <v>0.32</v>
      </c>
      <c r="G1085" t="s">
        <v>78</v>
      </c>
      <c r="H1085" t="str">
        <f>VLOOKUP(Tabla3[[#This Row],[DESCRIPCION MATERIAL]],'CODIGO MAT'!$C$2:$D$390,2,FALSE)</f>
        <v>AVI0000031</v>
      </c>
      <c r="J1085">
        <v>1</v>
      </c>
      <c r="K1085">
        <v>0</v>
      </c>
    </row>
    <row r="1086" spans="1:11" x14ac:dyDescent="0.25">
      <c r="A1086" t="s">
        <v>1180</v>
      </c>
      <c r="B1086" t="s">
        <v>63</v>
      </c>
      <c r="C1086" t="s">
        <v>1181</v>
      </c>
      <c r="D1086" t="s">
        <v>51</v>
      </c>
      <c r="E1086" s="8" t="s">
        <v>429</v>
      </c>
      <c r="F1086">
        <v>6.7000000000000002E-3</v>
      </c>
      <c r="G1086" t="s">
        <v>426</v>
      </c>
      <c r="H1086" t="str">
        <f>VLOOKUP(Tabla3[[#This Row],[DESCRIPCION MATERIAL]],'CODIGO MAT'!$C$2:$D$390,2,FALSE)</f>
        <v>INS0000017</v>
      </c>
    </row>
    <row r="1087" spans="1:11" x14ac:dyDescent="0.25">
      <c r="A1087" t="s">
        <v>1180</v>
      </c>
      <c r="B1087" t="s">
        <v>63</v>
      </c>
      <c r="C1087" t="s">
        <v>1181</v>
      </c>
      <c r="D1087" t="s">
        <v>51</v>
      </c>
      <c r="E1087" s="8" t="s">
        <v>420</v>
      </c>
      <c r="F1087">
        <v>4.1999999999999997E-3</v>
      </c>
      <c r="G1087" t="s">
        <v>426</v>
      </c>
      <c r="H1087" t="str">
        <f>VLOOKUP(Tabla3[[#This Row],[DESCRIPCION MATERIAL]],'CODIGO MAT'!$C$2:$D$390,2,FALSE)</f>
        <v>INS0000010</v>
      </c>
    </row>
    <row r="1088" spans="1:11" x14ac:dyDescent="0.25">
      <c r="A1088" t="s">
        <v>1180</v>
      </c>
      <c r="B1088" t="s">
        <v>63</v>
      </c>
      <c r="C1088" t="s">
        <v>1181</v>
      </c>
      <c r="D1088" t="s">
        <v>51</v>
      </c>
      <c r="E1088" s="8" t="s">
        <v>67</v>
      </c>
      <c r="F1088">
        <v>0</v>
      </c>
      <c r="G1088" t="s">
        <v>78</v>
      </c>
      <c r="H1088" t="str">
        <f>VLOOKUP(Tabla3[[#This Row],[DESCRIPCION MATERIAL]],'CODIGO MAT'!$C$2:$D$390,2,FALSE)</f>
        <v>AVI0000007</v>
      </c>
    </row>
    <row r="1089" spans="1:11" x14ac:dyDescent="0.25">
      <c r="A1089" t="s">
        <v>1180</v>
      </c>
      <c r="B1089" t="s">
        <v>63</v>
      </c>
      <c r="C1089" t="s">
        <v>1181</v>
      </c>
      <c r="D1089" t="s">
        <v>51</v>
      </c>
      <c r="E1089" s="8" t="s">
        <v>268</v>
      </c>
      <c r="F1089">
        <v>0</v>
      </c>
      <c r="G1089" t="s">
        <v>78</v>
      </c>
      <c r="H1089" t="str">
        <f>VLOOKUP(Tabla3[[#This Row],[DESCRIPCION MATERIAL]],'CODIGO MAT'!$C$2:$D$390,2,FALSE)</f>
        <v>AVI0000010</v>
      </c>
    </row>
    <row r="1090" spans="1:11" x14ac:dyDescent="0.25">
      <c r="A1090" t="s">
        <v>1180</v>
      </c>
      <c r="B1090" t="s">
        <v>63</v>
      </c>
      <c r="C1090" t="s">
        <v>1181</v>
      </c>
      <c r="D1090" t="s">
        <v>51</v>
      </c>
      <c r="E1090" s="8" t="s">
        <v>276</v>
      </c>
      <c r="F1090">
        <v>0</v>
      </c>
      <c r="G1090" t="s">
        <v>78</v>
      </c>
      <c r="H1090" t="str">
        <f>VLOOKUP(Tabla3[[#This Row],[DESCRIPCION MATERIAL]],'CODIGO MAT'!$C$2:$D$390,2,FALSE)</f>
        <v>AVI0000019</v>
      </c>
    </row>
    <row r="1091" spans="1:11" x14ac:dyDescent="0.25">
      <c r="A1091" t="s">
        <v>1180</v>
      </c>
      <c r="B1091" t="s">
        <v>63</v>
      </c>
      <c r="C1091" t="s">
        <v>1181</v>
      </c>
      <c r="D1091" t="s">
        <v>51</v>
      </c>
      <c r="E1091" s="8" t="s">
        <v>68</v>
      </c>
      <c r="F1091">
        <v>0</v>
      </c>
      <c r="G1091" t="s">
        <v>78</v>
      </c>
      <c r="H1091" t="str">
        <f>VLOOKUP(Tabla3[[#This Row],[DESCRIPCION MATERIAL]],'CODIGO MAT'!$C$2:$D$390,2,FALSE)</f>
        <v>AVI0000005</v>
      </c>
    </row>
    <row r="1092" spans="1:11" x14ac:dyDescent="0.25">
      <c r="A1092" t="s">
        <v>1180</v>
      </c>
      <c r="B1092" t="s">
        <v>63</v>
      </c>
      <c r="C1092" t="s">
        <v>1181</v>
      </c>
      <c r="D1092" t="s">
        <v>51</v>
      </c>
      <c r="E1092" s="8" t="s">
        <v>69</v>
      </c>
      <c r="F1092">
        <v>0</v>
      </c>
      <c r="G1092" t="s">
        <v>78</v>
      </c>
      <c r="H1092" t="str">
        <f>VLOOKUP(Tabla3[[#This Row],[DESCRIPCION MATERIAL]],'CODIGO MAT'!$C$2:$D$390,2,FALSE)</f>
        <v>AVI0000147</v>
      </c>
    </row>
    <row r="1093" spans="1:11" x14ac:dyDescent="0.25">
      <c r="A1093" t="s">
        <v>1199</v>
      </c>
      <c r="B1093" t="s">
        <v>63</v>
      </c>
      <c r="C1093" t="s">
        <v>1200</v>
      </c>
      <c r="D1093" t="s">
        <v>50</v>
      </c>
      <c r="E1093" s="8" t="s">
        <v>12</v>
      </c>
      <c r="F1093">
        <v>0.39900000000000002</v>
      </c>
      <c r="G1093" t="s">
        <v>78</v>
      </c>
      <c r="H1093" t="str">
        <f>VLOOKUP(Tabla3[[#This Row],[DESCRIPCION MATERIAL]],'CODIGO MAT'!$C$2:$D$390,2,FALSE)</f>
        <v>TEL0000040</v>
      </c>
      <c r="J1093">
        <v>1</v>
      </c>
      <c r="K1093">
        <v>0</v>
      </c>
    </row>
    <row r="1094" spans="1:11" x14ac:dyDescent="0.25">
      <c r="A1094" t="s">
        <v>1199</v>
      </c>
      <c r="B1094" t="s">
        <v>63</v>
      </c>
      <c r="C1094" t="s">
        <v>1200</v>
      </c>
      <c r="D1094" t="s">
        <v>51</v>
      </c>
      <c r="E1094" s="8" t="s">
        <v>69</v>
      </c>
      <c r="G1094" t="s">
        <v>78</v>
      </c>
      <c r="H1094" t="str">
        <f>VLOOKUP(Tabla3[[#This Row],[DESCRIPCION MATERIAL]],'CODIGO MAT'!$C$2:$D$390,2,FALSE)</f>
        <v>AVI0000147</v>
      </c>
    </row>
    <row r="1095" spans="1:11" x14ac:dyDescent="0.25">
      <c r="A1095" t="s">
        <v>1199</v>
      </c>
      <c r="B1095" t="s">
        <v>63</v>
      </c>
      <c r="C1095" t="s">
        <v>1200</v>
      </c>
      <c r="D1095" t="s">
        <v>51</v>
      </c>
      <c r="E1095" s="8" t="s">
        <v>272</v>
      </c>
      <c r="G1095" t="s">
        <v>78</v>
      </c>
      <c r="H1095" t="str">
        <f>VLOOKUP(Tabla3[[#This Row],[DESCRIPCION MATERIAL]],'CODIGO MAT'!$C$2:$D$390,2,FALSE)</f>
        <v>AVI0000014</v>
      </c>
    </row>
    <row r="1096" spans="1:11" x14ac:dyDescent="0.25">
      <c r="A1096" t="s">
        <v>1199</v>
      </c>
      <c r="B1096" t="s">
        <v>63</v>
      </c>
      <c r="C1096" t="s">
        <v>1200</v>
      </c>
      <c r="D1096" t="s">
        <v>51</v>
      </c>
      <c r="E1096" s="8" t="s">
        <v>267</v>
      </c>
      <c r="G1096" t="s">
        <v>78</v>
      </c>
      <c r="H1096" t="str">
        <f>VLOOKUP(Tabla3[[#This Row],[DESCRIPCION MATERIAL]],'CODIGO MAT'!$C$2:$D$390,2,FALSE)</f>
        <v>AVI0000009</v>
      </c>
    </row>
    <row r="1097" spans="1:11" x14ac:dyDescent="0.25">
      <c r="A1097" t="s">
        <v>1199</v>
      </c>
      <c r="B1097" t="s">
        <v>63</v>
      </c>
      <c r="C1097" t="s">
        <v>1200</v>
      </c>
      <c r="D1097" t="s">
        <v>51</v>
      </c>
      <c r="E1097" s="8" t="s">
        <v>276</v>
      </c>
      <c r="G1097" t="s">
        <v>78</v>
      </c>
      <c r="H1097" t="str">
        <f>VLOOKUP(Tabla3[[#This Row],[DESCRIPCION MATERIAL]],'CODIGO MAT'!$C$2:$D$390,2,FALSE)</f>
        <v>AVI0000019</v>
      </c>
    </row>
    <row r="1098" spans="1:11" x14ac:dyDescent="0.25">
      <c r="A1098" t="s">
        <v>1199</v>
      </c>
      <c r="B1098" t="s">
        <v>63</v>
      </c>
      <c r="C1098" t="s">
        <v>1200</v>
      </c>
      <c r="D1098" t="s">
        <v>51</v>
      </c>
      <c r="E1098" s="8" t="s">
        <v>273</v>
      </c>
      <c r="G1098" t="s">
        <v>78</v>
      </c>
      <c r="H1098" t="str">
        <f>VLOOKUP(Tabla3[[#This Row],[DESCRIPCION MATERIAL]],'CODIGO MAT'!$C$2:$D$390,2,FALSE)</f>
        <v>AVI0000015</v>
      </c>
    </row>
    <row r="1099" spans="1:11" x14ac:dyDescent="0.25">
      <c r="A1099" t="s">
        <v>1199</v>
      </c>
      <c r="B1099" t="s">
        <v>63</v>
      </c>
      <c r="C1099" t="s">
        <v>1200</v>
      </c>
      <c r="D1099" t="s">
        <v>51</v>
      </c>
      <c r="E1099" s="8" t="s">
        <v>280</v>
      </c>
      <c r="G1099" t="s">
        <v>78</v>
      </c>
      <c r="H1099" t="str">
        <f>VLOOKUP(Tabla3[[#This Row],[DESCRIPCION MATERIAL]],'CODIGO MAT'!$C$2:$D$390,2,FALSE)</f>
        <v>AVI0000023</v>
      </c>
    </row>
    <row r="1100" spans="1:11" x14ac:dyDescent="0.25">
      <c r="A1100" t="s">
        <v>1199</v>
      </c>
      <c r="B1100" t="s">
        <v>63</v>
      </c>
      <c r="C1100" t="s">
        <v>1200</v>
      </c>
      <c r="D1100" t="s">
        <v>51</v>
      </c>
      <c r="E1100" s="8" t="s">
        <v>68</v>
      </c>
      <c r="G1100" t="s">
        <v>78</v>
      </c>
      <c r="H1100" t="str">
        <f>VLOOKUP(Tabla3[[#This Row],[DESCRIPCION MATERIAL]],'CODIGO MAT'!$C$2:$D$390,2,FALSE)</f>
        <v>AVI0000005</v>
      </c>
    </row>
    <row r="1101" spans="1:11" x14ac:dyDescent="0.25">
      <c r="A1101" t="s">
        <v>1201</v>
      </c>
      <c r="B1101" t="s">
        <v>1202</v>
      </c>
      <c r="C1101" t="s">
        <v>1267</v>
      </c>
      <c r="D1101" t="s">
        <v>50</v>
      </c>
      <c r="E1101" s="8" t="s">
        <v>149</v>
      </c>
      <c r="F1101">
        <v>0.16</v>
      </c>
      <c r="G1101" t="s">
        <v>78</v>
      </c>
      <c r="H1101" t="str">
        <f>VLOOKUP(Tabla3[[#This Row],[DESCRIPCION MATERIAL]],'CODIGO MAT'!$C$2:$D$390,2,FALSE)</f>
        <v>TEL0000076</v>
      </c>
      <c r="J1101">
        <v>1</v>
      </c>
      <c r="K1101">
        <v>0</v>
      </c>
    </row>
    <row r="1102" spans="1:11" x14ac:dyDescent="0.25">
      <c r="A1102" t="s">
        <v>1201</v>
      </c>
      <c r="B1102" t="s">
        <v>1202</v>
      </c>
      <c r="C1102" t="s">
        <v>1267</v>
      </c>
      <c r="D1102" t="s">
        <v>50</v>
      </c>
      <c r="E1102" s="8" t="s">
        <v>1206</v>
      </c>
      <c r="F1102">
        <v>0.46600000000000003</v>
      </c>
      <c r="G1102" t="s">
        <v>78</v>
      </c>
      <c r="H1102" t="e">
        <f>VLOOKUP(Tabla3[[#This Row],[DESCRIPCION MATERIAL]],'CODIGO MAT'!$C$2:$D$390,2,FALSE)</f>
        <v>#N/A</v>
      </c>
      <c r="I1102" s="64" t="s">
        <v>50</v>
      </c>
      <c r="J1102">
        <v>1</v>
      </c>
      <c r="K1102">
        <v>0</v>
      </c>
    </row>
    <row r="1103" spans="1:11" x14ac:dyDescent="0.25">
      <c r="A1103" t="s">
        <v>1201</v>
      </c>
      <c r="B1103" t="s">
        <v>1202</v>
      </c>
      <c r="C1103" t="s">
        <v>1267</v>
      </c>
      <c r="D1103" t="s">
        <v>50</v>
      </c>
      <c r="E1103" s="8" t="s">
        <v>1220</v>
      </c>
      <c r="F1103">
        <v>0.46600000000000003</v>
      </c>
      <c r="G1103" t="s">
        <v>78</v>
      </c>
      <c r="H1103" t="e">
        <f>VLOOKUP(Tabla3[[#This Row],[DESCRIPCION MATERIAL]],'CODIGO MAT'!$C$2:$D$390,2,FALSE)</f>
        <v>#N/A</v>
      </c>
      <c r="I1103" s="64" t="s">
        <v>50</v>
      </c>
      <c r="J1103">
        <v>1</v>
      </c>
      <c r="K1103">
        <v>0</v>
      </c>
    </row>
    <row r="1104" spans="1:11" x14ac:dyDescent="0.25">
      <c r="A1104" t="s">
        <v>1201</v>
      </c>
      <c r="B1104" t="s">
        <v>1202</v>
      </c>
      <c r="C1104" t="s">
        <v>1267</v>
      </c>
      <c r="D1104" t="s">
        <v>50</v>
      </c>
      <c r="E1104" s="8" t="s">
        <v>1247</v>
      </c>
      <c r="F1104">
        <v>0.46600000000000003</v>
      </c>
      <c r="G1104" t="s">
        <v>78</v>
      </c>
      <c r="H1104" t="e">
        <f>VLOOKUP(Tabla3[[#This Row],[DESCRIPCION MATERIAL]],'CODIGO MAT'!$C$2:$D$390,2,FALSE)</f>
        <v>#N/A</v>
      </c>
      <c r="I1104" s="64" t="s">
        <v>50</v>
      </c>
      <c r="J1104">
        <v>1</v>
      </c>
      <c r="K1104">
        <v>0</v>
      </c>
    </row>
    <row r="1105" spans="1:11" x14ac:dyDescent="0.25">
      <c r="A1105" t="s">
        <v>1201</v>
      </c>
      <c r="B1105" t="s">
        <v>1202</v>
      </c>
      <c r="C1105" t="s">
        <v>1267</v>
      </c>
      <c r="D1105" t="s">
        <v>50</v>
      </c>
      <c r="E1105" s="8" t="s">
        <v>1256</v>
      </c>
      <c r="F1105">
        <v>0.39100000000000001</v>
      </c>
      <c r="G1105" t="s">
        <v>78</v>
      </c>
      <c r="H1105" t="e">
        <f>VLOOKUP(Tabla3[[#This Row],[DESCRIPCION MATERIAL]],'CODIGO MAT'!$C$2:$D$390,2,FALSE)</f>
        <v>#N/A</v>
      </c>
      <c r="I1105" s="64" t="s">
        <v>50</v>
      </c>
      <c r="J1105">
        <v>1</v>
      </c>
      <c r="K1105">
        <v>0</v>
      </c>
    </row>
    <row r="1106" spans="1:11" x14ac:dyDescent="0.25">
      <c r="A1106" t="s">
        <v>1201</v>
      </c>
      <c r="B1106" t="s">
        <v>1202</v>
      </c>
      <c r="C1106" t="s">
        <v>1267</v>
      </c>
      <c r="D1106" t="s">
        <v>50</v>
      </c>
      <c r="E1106" s="8" t="s">
        <v>1232</v>
      </c>
      <c r="F1106">
        <v>0.188</v>
      </c>
      <c r="G1106" t="s">
        <v>78</v>
      </c>
      <c r="H1106" t="e">
        <f>VLOOKUP(Tabla3[[#This Row],[DESCRIPCION MATERIAL]],'CODIGO MAT'!$C$2:$D$390,2,FALSE)</f>
        <v>#N/A</v>
      </c>
      <c r="I1106" s="64" t="s">
        <v>50</v>
      </c>
      <c r="J1106">
        <v>1</v>
      </c>
      <c r="K1106">
        <v>0</v>
      </c>
    </row>
    <row r="1107" spans="1:11" x14ac:dyDescent="0.25">
      <c r="A1107" t="s">
        <v>1201</v>
      </c>
      <c r="B1107" t="s">
        <v>1202</v>
      </c>
      <c r="C1107" t="s">
        <v>1267</v>
      </c>
      <c r="D1107" t="s">
        <v>50</v>
      </c>
      <c r="E1107" s="8" t="s">
        <v>175</v>
      </c>
      <c r="F1107">
        <v>0</v>
      </c>
      <c r="G1107" t="s">
        <v>78</v>
      </c>
      <c r="H1107" t="str">
        <f>VLOOKUP(Tabla3[[#This Row],[DESCRIPCION MATERIAL]],'CODIGO MAT'!$C$2:$D$390,2,FALSE)</f>
        <v>TEL0000102</v>
      </c>
      <c r="J1107">
        <v>1</v>
      </c>
      <c r="K1107">
        <v>0</v>
      </c>
    </row>
    <row r="1108" spans="1:11" x14ac:dyDescent="0.25">
      <c r="A1108" t="s">
        <v>1201</v>
      </c>
      <c r="B1108" t="s">
        <v>1202</v>
      </c>
      <c r="C1108" t="s">
        <v>1267</v>
      </c>
      <c r="D1108" t="s">
        <v>50</v>
      </c>
      <c r="E1108" s="8" t="s">
        <v>233</v>
      </c>
      <c r="F1108">
        <v>0</v>
      </c>
      <c r="G1108" t="s">
        <v>78</v>
      </c>
      <c r="H1108" t="str">
        <f>VLOOKUP(Tabla3[[#This Row],[DESCRIPCION MATERIAL]],'CODIGO MAT'!$C$2:$D$390,2,FALSE)</f>
        <v>TEL0000161</v>
      </c>
      <c r="J1108">
        <v>1</v>
      </c>
      <c r="K1108">
        <v>0</v>
      </c>
    </row>
    <row r="1109" spans="1:11" x14ac:dyDescent="0.25">
      <c r="A1109" t="s">
        <v>1201</v>
      </c>
      <c r="B1109" t="s">
        <v>1202</v>
      </c>
      <c r="C1109" t="s">
        <v>1267</v>
      </c>
      <c r="D1109" t="s">
        <v>50</v>
      </c>
      <c r="E1109" s="8" t="s">
        <v>186</v>
      </c>
      <c r="F1109">
        <v>0.16500000000000001</v>
      </c>
      <c r="G1109" t="s">
        <v>78</v>
      </c>
      <c r="H1109" t="str">
        <f>VLOOKUP(Tabla3[[#This Row],[DESCRIPCION MATERIAL]],'CODIGO MAT'!$C$2:$D$390,2,FALSE)</f>
        <v>TEL0000113</v>
      </c>
      <c r="J1109">
        <v>1</v>
      </c>
      <c r="K1109">
        <v>0</v>
      </c>
    </row>
    <row r="1110" spans="1:11" x14ac:dyDescent="0.25">
      <c r="A1110" t="s">
        <v>1201</v>
      </c>
      <c r="B1110" t="s">
        <v>1202</v>
      </c>
      <c r="C1110" t="s">
        <v>1267</v>
      </c>
      <c r="D1110" t="s">
        <v>51</v>
      </c>
      <c r="E1110" s="8" t="s">
        <v>329</v>
      </c>
      <c r="F1110">
        <v>6.24</v>
      </c>
      <c r="G1110" t="s">
        <v>78</v>
      </c>
      <c r="H1110" t="str">
        <f>VLOOKUP(Tabla3[[#This Row],[DESCRIPCION MATERIAL]],'CODIGO MAT'!$C$2:$D$390,2,FALSE)</f>
        <v>AVI0000067</v>
      </c>
      <c r="J1110">
        <v>1</v>
      </c>
      <c r="K1110">
        <v>0</v>
      </c>
    </row>
    <row r="1111" spans="1:11" x14ac:dyDescent="0.25">
      <c r="A1111" t="s">
        <v>1201</v>
      </c>
      <c r="B1111" t="s">
        <v>1202</v>
      </c>
      <c r="C1111" t="s">
        <v>1267</v>
      </c>
      <c r="D1111" t="s">
        <v>51</v>
      </c>
      <c r="E1111" s="8" t="s">
        <v>430</v>
      </c>
      <c r="F1111">
        <v>0.69</v>
      </c>
      <c r="G1111" t="s">
        <v>78</v>
      </c>
      <c r="H1111" t="str">
        <f>VLOOKUP(Tabla3[[#This Row],[DESCRIPCION MATERIAL]],'CODIGO MAT'!$C$2:$D$390,2,FALSE)</f>
        <v>AVI0000142</v>
      </c>
      <c r="J1111">
        <v>1</v>
      </c>
      <c r="K1111">
        <v>0</v>
      </c>
    </row>
    <row r="1112" spans="1:11" x14ac:dyDescent="0.25">
      <c r="A1112" t="s">
        <v>1201</v>
      </c>
      <c r="B1112" t="s">
        <v>1202</v>
      </c>
      <c r="C1112" t="s">
        <v>1267</v>
      </c>
      <c r="D1112" t="s">
        <v>51</v>
      </c>
      <c r="E1112" s="8" t="s">
        <v>379</v>
      </c>
      <c r="F1112">
        <v>1</v>
      </c>
      <c r="G1112" t="s">
        <v>78</v>
      </c>
      <c r="H1112" t="str">
        <f>VLOOKUP(Tabla3[[#This Row],[DESCRIPCION MATERIAL]],'CODIGO MAT'!$C$2:$D$390,2,FALSE)</f>
        <v>AVI0000116</v>
      </c>
      <c r="J1112">
        <v>1</v>
      </c>
      <c r="K1112">
        <v>0</v>
      </c>
    </row>
    <row r="1113" spans="1:11" x14ac:dyDescent="0.25">
      <c r="A1113" t="s">
        <v>1201</v>
      </c>
      <c r="B1113" t="s">
        <v>1202</v>
      </c>
      <c r="C1113" t="s">
        <v>1267</v>
      </c>
      <c r="D1113" t="s">
        <v>51</v>
      </c>
      <c r="E1113" s="8" t="s">
        <v>315</v>
      </c>
      <c r="F1113">
        <v>0.15</v>
      </c>
      <c r="G1113" t="s">
        <v>78</v>
      </c>
      <c r="H1113" t="str">
        <f>VLOOKUP(Tabla3[[#This Row],[DESCRIPCION MATERIAL]],'CODIGO MAT'!$C$2:$D$390,2,FALSE)</f>
        <v>AVI0000055</v>
      </c>
      <c r="J1113">
        <v>1</v>
      </c>
      <c r="K1113">
        <v>0</v>
      </c>
    </row>
    <row r="1114" spans="1:11" x14ac:dyDescent="0.25">
      <c r="A1114" t="s">
        <v>1201</v>
      </c>
      <c r="B1114" t="s">
        <v>1202</v>
      </c>
      <c r="C1114" t="s">
        <v>1267</v>
      </c>
      <c r="D1114" t="s">
        <v>51</v>
      </c>
      <c r="E1114" s="8" t="s">
        <v>363</v>
      </c>
      <c r="F1114">
        <v>0.4</v>
      </c>
      <c r="G1114" t="s">
        <v>78</v>
      </c>
      <c r="H1114" t="str">
        <f>VLOOKUP(Tabla3[[#This Row],[DESCRIPCION MATERIAL]],'CODIGO MAT'!$C$2:$D$390,2,FALSE)</f>
        <v>AVI0000101</v>
      </c>
      <c r="J1114">
        <v>1</v>
      </c>
      <c r="K1114">
        <v>0</v>
      </c>
    </row>
    <row r="1115" spans="1:11" x14ac:dyDescent="0.25">
      <c r="A1115" t="s">
        <v>1268</v>
      </c>
      <c r="B1115" t="s">
        <v>1202</v>
      </c>
      <c r="C1115" t="s">
        <v>1269</v>
      </c>
      <c r="D1115" t="s">
        <v>50</v>
      </c>
      <c r="E1115" s="8" t="s">
        <v>148</v>
      </c>
      <c r="F1115">
        <v>0.222</v>
      </c>
      <c r="G1115" t="s">
        <v>78</v>
      </c>
      <c r="H1115" t="str">
        <f>VLOOKUP(Tabla3[[#This Row],[DESCRIPCION MATERIAL]],'CODIGO MAT'!$C$2:$D$390,2,FALSE)</f>
        <v>TEL0000075</v>
      </c>
      <c r="J1115">
        <v>1</v>
      </c>
      <c r="K1115">
        <v>0</v>
      </c>
    </row>
    <row r="1116" spans="1:11" x14ac:dyDescent="0.25">
      <c r="A1116" t="s">
        <v>1268</v>
      </c>
      <c r="B1116" t="s">
        <v>1202</v>
      </c>
      <c r="C1116" t="s">
        <v>1269</v>
      </c>
      <c r="D1116" t="s">
        <v>50</v>
      </c>
      <c r="E1116" s="8" t="s">
        <v>175</v>
      </c>
      <c r="F1116">
        <v>0.04</v>
      </c>
      <c r="G1116" t="s">
        <v>78</v>
      </c>
      <c r="H1116" t="str">
        <f>VLOOKUP(Tabla3[[#This Row],[DESCRIPCION MATERIAL]],'CODIGO MAT'!$C$2:$D$390,2,FALSE)</f>
        <v>TEL0000102</v>
      </c>
      <c r="J1116">
        <v>1</v>
      </c>
      <c r="K1116">
        <v>0</v>
      </c>
    </row>
    <row r="1117" spans="1:11" x14ac:dyDescent="0.25">
      <c r="A1117" t="s">
        <v>1268</v>
      </c>
      <c r="B1117" t="s">
        <v>1202</v>
      </c>
      <c r="C1117" t="s">
        <v>1269</v>
      </c>
      <c r="D1117" t="s">
        <v>50</v>
      </c>
      <c r="E1117" s="8" t="s">
        <v>1218</v>
      </c>
      <c r="F1117">
        <v>0.46600000000000003</v>
      </c>
      <c r="G1117" t="s">
        <v>78</v>
      </c>
      <c r="H1117" t="e">
        <f>VLOOKUP(Tabla3[[#This Row],[DESCRIPCION MATERIAL]],'CODIGO MAT'!$C$2:$D$390,2,FALSE)</f>
        <v>#N/A</v>
      </c>
      <c r="I1117" s="64" t="s">
        <v>50</v>
      </c>
      <c r="J1117">
        <v>1</v>
      </c>
      <c r="K1117">
        <v>0</v>
      </c>
    </row>
    <row r="1118" spans="1:11" x14ac:dyDescent="0.25">
      <c r="A1118" t="s">
        <v>1268</v>
      </c>
      <c r="B1118" t="s">
        <v>1202</v>
      </c>
      <c r="C1118" t="s">
        <v>1269</v>
      </c>
      <c r="D1118" t="s">
        <v>50</v>
      </c>
      <c r="E1118" s="8" t="s">
        <v>1204</v>
      </c>
      <c r="F1118">
        <v>0.46600000000000003</v>
      </c>
      <c r="G1118" t="s">
        <v>78</v>
      </c>
      <c r="H1118" t="e">
        <f>VLOOKUP(Tabla3[[#This Row],[DESCRIPCION MATERIAL]],'CODIGO MAT'!$C$2:$D$390,2,FALSE)</f>
        <v>#N/A</v>
      </c>
      <c r="I1118" s="64" t="s">
        <v>50</v>
      </c>
      <c r="J1118">
        <v>1</v>
      </c>
      <c r="K1118">
        <v>0</v>
      </c>
    </row>
    <row r="1119" spans="1:11" x14ac:dyDescent="0.25">
      <c r="A1119" t="s">
        <v>1268</v>
      </c>
      <c r="B1119" t="s">
        <v>1202</v>
      </c>
      <c r="C1119" t="s">
        <v>1269</v>
      </c>
      <c r="D1119" t="s">
        <v>50</v>
      </c>
      <c r="E1119" s="8" t="s">
        <v>1232</v>
      </c>
      <c r="F1119">
        <v>0.65400000000000003</v>
      </c>
      <c r="G1119" t="s">
        <v>78</v>
      </c>
      <c r="H1119" t="e">
        <f>VLOOKUP(Tabla3[[#This Row],[DESCRIPCION MATERIAL]],'CODIGO MAT'!$C$2:$D$390,2,FALSE)</f>
        <v>#N/A</v>
      </c>
      <c r="I1119" s="64" t="s">
        <v>50</v>
      </c>
      <c r="J1119">
        <v>1</v>
      </c>
      <c r="K1119">
        <v>0</v>
      </c>
    </row>
    <row r="1120" spans="1:11" x14ac:dyDescent="0.25">
      <c r="A1120" t="s">
        <v>1268</v>
      </c>
      <c r="B1120" t="s">
        <v>1202</v>
      </c>
      <c r="C1120" t="s">
        <v>1269</v>
      </c>
      <c r="D1120" t="s">
        <v>50</v>
      </c>
      <c r="E1120" s="8" t="s">
        <v>1256</v>
      </c>
      <c r="F1120">
        <v>0.39100000000000001</v>
      </c>
      <c r="G1120" t="s">
        <v>78</v>
      </c>
      <c r="H1120" t="e">
        <f>VLOOKUP(Tabla3[[#This Row],[DESCRIPCION MATERIAL]],'CODIGO MAT'!$C$2:$D$390,2,FALSE)</f>
        <v>#N/A</v>
      </c>
      <c r="I1120" s="64" t="s">
        <v>50</v>
      </c>
      <c r="J1120">
        <v>1</v>
      </c>
      <c r="K1120">
        <v>0</v>
      </c>
    </row>
    <row r="1121" spans="1:11" x14ac:dyDescent="0.25">
      <c r="A1121" t="s">
        <v>1268</v>
      </c>
      <c r="B1121" t="s">
        <v>1202</v>
      </c>
      <c r="C1121" t="s">
        <v>1269</v>
      </c>
      <c r="D1121" t="s">
        <v>50</v>
      </c>
      <c r="E1121" s="8" t="s">
        <v>186</v>
      </c>
      <c r="F1121">
        <v>0.16500000000000001</v>
      </c>
      <c r="G1121" t="s">
        <v>78</v>
      </c>
      <c r="H1121" t="str">
        <f>VLOOKUP(Tabla3[[#This Row],[DESCRIPCION MATERIAL]],'CODIGO MAT'!$C$2:$D$390,2,FALSE)</f>
        <v>TEL0000113</v>
      </c>
      <c r="J1121">
        <v>1</v>
      </c>
      <c r="K1121">
        <v>0</v>
      </c>
    </row>
    <row r="1122" spans="1:11" x14ac:dyDescent="0.25">
      <c r="A1122" t="s">
        <v>1268</v>
      </c>
      <c r="B1122" t="s">
        <v>1202</v>
      </c>
      <c r="C1122" t="s">
        <v>1269</v>
      </c>
      <c r="D1122" t="s">
        <v>51</v>
      </c>
      <c r="E1122" s="8" t="s">
        <v>430</v>
      </c>
      <c r="F1122">
        <v>0.69</v>
      </c>
      <c r="G1122" t="s">
        <v>78</v>
      </c>
      <c r="H1122" t="str">
        <f>VLOOKUP(Tabla3[[#This Row],[DESCRIPCION MATERIAL]],'CODIGO MAT'!$C$2:$D$390,2,FALSE)</f>
        <v>AVI0000142</v>
      </c>
      <c r="J1122">
        <v>1</v>
      </c>
      <c r="K1122">
        <v>0</v>
      </c>
    </row>
    <row r="1123" spans="1:11" x14ac:dyDescent="0.25">
      <c r="A1123" t="s">
        <v>1268</v>
      </c>
      <c r="B1123" t="s">
        <v>1202</v>
      </c>
      <c r="C1123" t="s">
        <v>1269</v>
      </c>
      <c r="D1123" t="s">
        <v>51</v>
      </c>
      <c r="E1123" s="8" t="s">
        <v>329</v>
      </c>
      <c r="F1123">
        <v>6.24</v>
      </c>
      <c r="G1123" t="s">
        <v>78</v>
      </c>
      <c r="H1123" t="str">
        <f>VLOOKUP(Tabla3[[#This Row],[DESCRIPCION MATERIAL]],'CODIGO MAT'!$C$2:$D$390,2,FALSE)</f>
        <v>AVI0000067</v>
      </c>
      <c r="J1123">
        <v>1</v>
      </c>
      <c r="K1123">
        <v>0</v>
      </c>
    </row>
    <row r="1124" spans="1:11" x14ac:dyDescent="0.25">
      <c r="A1124" t="s">
        <v>1268</v>
      </c>
      <c r="B1124" t="s">
        <v>1202</v>
      </c>
      <c r="C1124" t="s">
        <v>1269</v>
      </c>
      <c r="D1124" t="s">
        <v>51</v>
      </c>
      <c r="E1124" s="8" t="s">
        <v>379</v>
      </c>
      <c r="F1124">
        <v>1</v>
      </c>
      <c r="G1124" t="s">
        <v>78</v>
      </c>
      <c r="H1124" t="str">
        <f>VLOOKUP(Tabla3[[#This Row],[DESCRIPCION MATERIAL]],'CODIGO MAT'!$C$2:$D$390,2,FALSE)</f>
        <v>AVI0000116</v>
      </c>
      <c r="J1124">
        <v>1</v>
      </c>
      <c r="K1124">
        <v>0</v>
      </c>
    </row>
    <row r="1125" spans="1:11" x14ac:dyDescent="0.25">
      <c r="A1125" t="s">
        <v>1268</v>
      </c>
      <c r="B1125" t="s">
        <v>1202</v>
      </c>
      <c r="C1125" t="s">
        <v>1269</v>
      </c>
      <c r="D1125" t="s">
        <v>51</v>
      </c>
      <c r="E1125" s="8" t="s">
        <v>315</v>
      </c>
      <c r="F1125">
        <v>0.15</v>
      </c>
      <c r="G1125" t="s">
        <v>78</v>
      </c>
      <c r="H1125" t="str">
        <f>VLOOKUP(Tabla3[[#This Row],[DESCRIPCION MATERIAL]],'CODIGO MAT'!$C$2:$D$390,2,FALSE)</f>
        <v>AVI0000055</v>
      </c>
      <c r="J1125">
        <v>1</v>
      </c>
      <c r="K1125">
        <v>0</v>
      </c>
    </row>
    <row r="1126" spans="1:11" x14ac:dyDescent="0.25">
      <c r="A1126" t="s">
        <v>1268</v>
      </c>
      <c r="B1126" t="s">
        <v>1202</v>
      </c>
      <c r="C1126" t="s">
        <v>1269</v>
      </c>
      <c r="D1126" t="s">
        <v>51</v>
      </c>
      <c r="E1126" s="8" t="s">
        <v>363</v>
      </c>
      <c r="F1126">
        <v>0.4</v>
      </c>
      <c r="G1126" t="s">
        <v>78</v>
      </c>
      <c r="H1126" t="str">
        <f>VLOOKUP(Tabla3[[#This Row],[DESCRIPCION MATERIAL]],'CODIGO MAT'!$C$2:$D$390,2,FALSE)</f>
        <v>AVI0000101</v>
      </c>
      <c r="J1126">
        <v>1</v>
      </c>
      <c r="K1126">
        <v>0</v>
      </c>
    </row>
    <row r="1127" spans="1:11" x14ac:dyDescent="0.25">
      <c r="A1127" t="s">
        <v>1268</v>
      </c>
      <c r="B1127" t="s">
        <v>1202</v>
      </c>
      <c r="C1127" t="s">
        <v>1271</v>
      </c>
      <c r="D1127" t="s">
        <v>50</v>
      </c>
      <c r="E1127" s="8" t="s">
        <v>146</v>
      </c>
      <c r="F1127">
        <v>0.222</v>
      </c>
      <c r="G1127" t="s">
        <v>78</v>
      </c>
      <c r="H1127" t="str">
        <f>VLOOKUP(Tabla3[[#This Row],[DESCRIPCION MATERIAL]],'CODIGO MAT'!$C$2:$D$390,2,FALSE)</f>
        <v>TEL0000073</v>
      </c>
      <c r="J1127">
        <v>1</v>
      </c>
      <c r="K1127">
        <v>0</v>
      </c>
    </row>
    <row r="1128" spans="1:11" x14ac:dyDescent="0.25">
      <c r="A1128" t="s">
        <v>1270</v>
      </c>
      <c r="B1128" t="s">
        <v>1202</v>
      </c>
      <c r="C1128" t="s">
        <v>1271</v>
      </c>
      <c r="D1128" t="s">
        <v>50</v>
      </c>
      <c r="E1128" s="8" t="s">
        <v>175</v>
      </c>
      <c r="F1128">
        <v>0.04</v>
      </c>
      <c r="G1128" t="s">
        <v>78</v>
      </c>
      <c r="H1128" t="str">
        <f>VLOOKUP(Tabla3[[#This Row],[DESCRIPCION MATERIAL]],'CODIGO MAT'!$C$2:$D$390,2,FALSE)</f>
        <v>TEL0000102</v>
      </c>
      <c r="J1128">
        <v>1</v>
      </c>
      <c r="K1128">
        <v>0</v>
      </c>
    </row>
    <row r="1129" spans="1:11" x14ac:dyDescent="0.25">
      <c r="A1129" t="s">
        <v>1270</v>
      </c>
      <c r="B1129" t="s">
        <v>1202</v>
      </c>
      <c r="C1129" t="s">
        <v>1271</v>
      </c>
      <c r="D1129" t="s">
        <v>50</v>
      </c>
      <c r="E1129" s="8" t="s">
        <v>1230</v>
      </c>
      <c r="F1129">
        <v>0.46600000000000003</v>
      </c>
      <c r="G1129" t="s">
        <v>78</v>
      </c>
      <c r="H1129" t="e">
        <f>VLOOKUP(Tabla3[[#This Row],[DESCRIPCION MATERIAL]],'CODIGO MAT'!$C$2:$D$390,2,FALSE)</f>
        <v>#N/A</v>
      </c>
      <c r="I1129" s="64" t="s">
        <v>50</v>
      </c>
      <c r="J1129">
        <v>1</v>
      </c>
      <c r="K1129">
        <v>0</v>
      </c>
    </row>
    <row r="1130" spans="1:11" x14ac:dyDescent="0.25">
      <c r="A1130" t="s">
        <v>1270</v>
      </c>
      <c r="B1130" t="s">
        <v>1202</v>
      </c>
      <c r="C1130" t="s">
        <v>1271</v>
      </c>
      <c r="D1130" t="s">
        <v>50</v>
      </c>
      <c r="E1130" s="8" t="s">
        <v>1216</v>
      </c>
      <c r="F1130">
        <v>0.46600000000000003</v>
      </c>
      <c r="G1130" t="s">
        <v>78</v>
      </c>
      <c r="H1130" t="e">
        <f>VLOOKUP(Tabla3[[#This Row],[DESCRIPCION MATERIAL]],'CODIGO MAT'!$C$2:$D$390,2,FALSE)</f>
        <v>#N/A</v>
      </c>
      <c r="I1130" s="64" t="s">
        <v>50</v>
      </c>
      <c r="J1130">
        <v>1</v>
      </c>
      <c r="K1130">
        <v>0</v>
      </c>
    </row>
    <row r="1131" spans="1:11" x14ac:dyDescent="0.25">
      <c r="A1131" t="s">
        <v>1270</v>
      </c>
      <c r="B1131" t="s">
        <v>1202</v>
      </c>
      <c r="C1131" t="s">
        <v>1271</v>
      </c>
      <c r="D1131" t="s">
        <v>50</v>
      </c>
      <c r="E1131" s="8" t="s">
        <v>1244</v>
      </c>
      <c r="F1131">
        <v>0.65400000000000003</v>
      </c>
      <c r="G1131" t="s">
        <v>78</v>
      </c>
      <c r="H1131" t="e">
        <f>VLOOKUP(Tabla3[[#This Row],[DESCRIPCION MATERIAL]],'CODIGO MAT'!$C$2:$D$390,2,FALSE)</f>
        <v>#N/A</v>
      </c>
      <c r="I1131" s="64" t="s">
        <v>50</v>
      </c>
      <c r="J1131">
        <v>1</v>
      </c>
      <c r="K1131">
        <v>0</v>
      </c>
    </row>
    <row r="1132" spans="1:11" x14ac:dyDescent="0.25">
      <c r="A1132" t="s">
        <v>1270</v>
      </c>
      <c r="B1132" t="s">
        <v>1202</v>
      </c>
      <c r="C1132" t="s">
        <v>1271</v>
      </c>
      <c r="D1132" t="s">
        <v>50</v>
      </c>
      <c r="E1132" s="8" t="s">
        <v>1257</v>
      </c>
      <c r="F1132">
        <v>0.39100000000000001</v>
      </c>
      <c r="G1132" t="s">
        <v>78</v>
      </c>
      <c r="H1132" t="e">
        <f>VLOOKUP(Tabla3[[#This Row],[DESCRIPCION MATERIAL]],'CODIGO MAT'!$C$2:$D$390,2,FALSE)</f>
        <v>#N/A</v>
      </c>
      <c r="I1132" s="64" t="s">
        <v>50</v>
      </c>
      <c r="J1132">
        <v>1</v>
      </c>
      <c r="K1132">
        <v>0</v>
      </c>
    </row>
    <row r="1133" spans="1:11" x14ac:dyDescent="0.25">
      <c r="A1133" t="s">
        <v>1270</v>
      </c>
      <c r="B1133" t="s">
        <v>1202</v>
      </c>
      <c r="C1133" t="s">
        <v>1271</v>
      </c>
      <c r="D1133" t="s">
        <v>50</v>
      </c>
      <c r="E1133" s="8" t="s">
        <v>192</v>
      </c>
      <c r="F1133">
        <v>0.65</v>
      </c>
      <c r="G1133" t="s">
        <v>78</v>
      </c>
      <c r="H1133" t="str">
        <f>VLOOKUP(Tabla3[[#This Row],[DESCRIPCION MATERIAL]],'CODIGO MAT'!$C$2:$D$390,2,FALSE)</f>
        <v>TEL0000119</v>
      </c>
      <c r="J1133">
        <v>1</v>
      </c>
      <c r="K1133">
        <v>0</v>
      </c>
    </row>
    <row r="1134" spans="1:11" x14ac:dyDescent="0.25">
      <c r="A1134" t="s">
        <v>1270</v>
      </c>
      <c r="B1134" t="s">
        <v>1202</v>
      </c>
      <c r="C1134" t="s">
        <v>1271</v>
      </c>
      <c r="D1134" t="s">
        <v>51</v>
      </c>
      <c r="E1134" s="8" t="s">
        <v>430</v>
      </c>
      <c r="F1134">
        <v>0.69</v>
      </c>
      <c r="G1134" t="s">
        <v>78</v>
      </c>
      <c r="H1134" t="str">
        <f>VLOOKUP(Tabla3[[#This Row],[DESCRIPCION MATERIAL]],'CODIGO MAT'!$C$2:$D$390,2,FALSE)</f>
        <v>AVI0000142</v>
      </c>
      <c r="J1134">
        <v>1</v>
      </c>
      <c r="K1134">
        <v>0</v>
      </c>
    </row>
    <row r="1135" spans="1:11" x14ac:dyDescent="0.25">
      <c r="A1135" t="s">
        <v>1270</v>
      </c>
      <c r="B1135" t="s">
        <v>1202</v>
      </c>
      <c r="C1135" t="s">
        <v>1271</v>
      </c>
      <c r="D1135" t="s">
        <v>51</v>
      </c>
      <c r="E1135" s="8" t="s">
        <v>329</v>
      </c>
      <c r="F1135">
        <v>6.24</v>
      </c>
      <c r="G1135" t="s">
        <v>78</v>
      </c>
      <c r="H1135" t="str">
        <f>VLOOKUP(Tabla3[[#This Row],[DESCRIPCION MATERIAL]],'CODIGO MAT'!$C$2:$D$390,2,FALSE)</f>
        <v>AVI0000067</v>
      </c>
      <c r="J1135">
        <v>1</v>
      </c>
      <c r="K1135">
        <v>0</v>
      </c>
    </row>
    <row r="1136" spans="1:11" x14ac:dyDescent="0.25">
      <c r="A1136" t="s">
        <v>1270</v>
      </c>
      <c r="B1136" t="s">
        <v>1202</v>
      </c>
      <c r="C1136" t="s">
        <v>1271</v>
      </c>
      <c r="D1136" t="s">
        <v>51</v>
      </c>
      <c r="E1136" s="8" t="s">
        <v>379</v>
      </c>
      <c r="F1136">
        <v>1</v>
      </c>
      <c r="G1136" t="s">
        <v>78</v>
      </c>
      <c r="H1136" t="str">
        <f>VLOOKUP(Tabla3[[#This Row],[DESCRIPCION MATERIAL]],'CODIGO MAT'!$C$2:$D$390,2,FALSE)</f>
        <v>AVI0000116</v>
      </c>
      <c r="J1136">
        <v>1</v>
      </c>
      <c r="K1136">
        <v>0</v>
      </c>
    </row>
    <row r="1137" spans="1:11" x14ac:dyDescent="0.25">
      <c r="A1137" t="s">
        <v>1270</v>
      </c>
      <c r="B1137" t="s">
        <v>1202</v>
      </c>
      <c r="C1137" t="s">
        <v>1271</v>
      </c>
      <c r="D1137" t="s">
        <v>51</v>
      </c>
      <c r="E1137" s="8" t="s">
        <v>1272</v>
      </c>
      <c r="F1137">
        <v>0.4</v>
      </c>
      <c r="G1137" t="s">
        <v>78</v>
      </c>
      <c r="H1137" t="e">
        <f>VLOOKUP(Tabla3[[#This Row],[DESCRIPCION MATERIAL]],'CODIGO MAT'!$C$2:$D$390,2,FALSE)</f>
        <v>#N/A</v>
      </c>
      <c r="I1137" s="64" t="s">
        <v>51</v>
      </c>
      <c r="J1137">
        <v>1</v>
      </c>
      <c r="K1137">
        <v>0</v>
      </c>
    </row>
    <row r="1138" spans="1:11" x14ac:dyDescent="0.25">
      <c r="A1138" t="s">
        <v>1270</v>
      </c>
      <c r="B1138" t="s">
        <v>1202</v>
      </c>
      <c r="C1138" t="s">
        <v>1271</v>
      </c>
      <c r="D1138" t="s">
        <v>51</v>
      </c>
      <c r="E1138" s="8" t="s">
        <v>315</v>
      </c>
      <c r="F1138">
        <v>0.15</v>
      </c>
      <c r="G1138" t="s">
        <v>78</v>
      </c>
      <c r="H1138" t="str">
        <f>VLOOKUP(Tabla3[[#This Row],[DESCRIPCION MATERIAL]],'CODIGO MAT'!$C$2:$D$390,2,FALSE)</f>
        <v>AVI0000055</v>
      </c>
      <c r="J1138">
        <v>1</v>
      </c>
      <c r="K1138">
        <v>0</v>
      </c>
    </row>
    <row r="1139" spans="1:11" x14ac:dyDescent="0.25">
      <c r="A1139" t="s">
        <v>1273</v>
      </c>
      <c r="B1139" t="s">
        <v>1202</v>
      </c>
      <c r="C1139" t="s">
        <v>1274</v>
      </c>
      <c r="D1139" t="s">
        <v>50</v>
      </c>
      <c r="E1139" s="8" t="s">
        <v>148</v>
      </c>
      <c r="F1139">
        <v>0.222</v>
      </c>
      <c r="G1139" t="s">
        <v>78</v>
      </c>
      <c r="H1139" t="str">
        <f>VLOOKUP(Tabla3[[#This Row],[DESCRIPCION MATERIAL]],'CODIGO MAT'!$C$2:$D$390,2,FALSE)</f>
        <v>TEL0000075</v>
      </c>
      <c r="J1139">
        <v>1</v>
      </c>
      <c r="K1139">
        <v>0</v>
      </c>
    </row>
    <row r="1140" spans="1:11" x14ac:dyDescent="0.25">
      <c r="A1140" t="s">
        <v>1273</v>
      </c>
      <c r="B1140" t="s">
        <v>1202</v>
      </c>
      <c r="C1140" t="s">
        <v>1274</v>
      </c>
      <c r="D1140" t="s">
        <v>50</v>
      </c>
      <c r="E1140" s="8" t="s">
        <v>147</v>
      </c>
      <c r="F1140">
        <v>5.3999999999999999E-2</v>
      </c>
      <c r="G1140" t="s">
        <v>78</v>
      </c>
      <c r="H1140" t="str">
        <f>VLOOKUP(Tabla3[[#This Row],[DESCRIPCION MATERIAL]],'CODIGO MAT'!$C$2:$D$390,2,FALSE)</f>
        <v>TEL0000074</v>
      </c>
      <c r="J1140">
        <v>1</v>
      </c>
      <c r="K1140">
        <v>0</v>
      </c>
    </row>
    <row r="1141" spans="1:11" x14ac:dyDescent="0.25">
      <c r="A1141" t="s">
        <v>1273</v>
      </c>
      <c r="B1141" t="s">
        <v>1202</v>
      </c>
      <c r="C1141" t="s">
        <v>1274</v>
      </c>
      <c r="D1141" t="s">
        <v>50</v>
      </c>
      <c r="E1141" s="8" t="s">
        <v>1220</v>
      </c>
      <c r="F1141">
        <v>0.46600000000000003</v>
      </c>
      <c r="G1141" t="s">
        <v>78</v>
      </c>
      <c r="H1141" t="e">
        <f>VLOOKUP(Tabla3[[#This Row],[DESCRIPCION MATERIAL]],'CODIGO MAT'!$C$2:$D$390,2,FALSE)</f>
        <v>#N/A</v>
      </c>
      <c r="I1141" s="64" t="s">
        <v>50</v>
      </c>
      <c r="J1141">
        <v>1</v>
      </c>
      <c r="K1141">
        <v>0</v>
      </c>
    </row>
    <row r="1142" spans="1:11" x14ac:dyDescent="0.25">
      <c r="A1142" t="s">
        <v>1273</v>
      </c>
      <c r="B1142" t="s">
        <v>1202</v>
      </c>
      <c r="C1142" t="s">
        <v>1274</v>
      </c>
      <c r="D1142" t="s">
        <v>50</v>
      </c>
      <c r="E1142" s="8" t="s">
        <v>1236</v>
      </c>
      <c r="F1142">
        <v>0.46600000000000003</v>
      </c>
      <c r="G1142" t="s">
        <v>78</v>
      </c>
      <c r="H1142" t="e">
        <f>VLOOKUP(Tabla3[[#This Row],[DESCRIPCION MATERIAL]],'CODIGO MAT'!$C$2:$D$390,2,FALSE)</f>
        <v>#N/A</v>
      </c>
      <c r="I1142" s="64" t="s">
        <v>50</v>
      </c>
      <c r="J1142">
        <v>1</v>
      </c>
      <c r="K1142">
        <v>0</v>
      </c>
    </row>
    <row r="1143" spans="1:11" x14ac:dyDescent="0.25">
      <c r="A1143" t="s">
        <v>1273</v>
      </c>
      <c r="B1143" t="s">
        <v>1202</v>
      </c>
      <c r="C1143" t="s">
        <v>1274</v>
      </c>
      <c r="D1143" t="s">
        <v>50</v>
      </c>
      <c r="E1143" s="8" t="s">
        <v>1206</v>
      </c>
      <c r="F1143">
        <v>0.46600000000000003</v>
      </c>
      <c r="G1143" t="s">
        <v>78</v>
      </c>
      <c r="H1143" t="e">
        <f>VLOOKUP(Tabla3[[#This Row],[DESCRIPCION MATERIAL]],'CODIGO MAT'!$C$2:$D$390,2,FALSE)</f>
        <v>#N/A</v>
      </c>
      <c r="I1143" s="64" t="s">
        <v>50</v>
      </c>
      <c r="J1143">
        <v>1</v>
      </c>
      <c r="K1143">
        <v>0</v>
      </c>
    </row>
    <row r="1144" spans="1:11" x14ac:dyDescent="0.25">
      <c r="A1144" t="s">
        <v>1273</v>
      </c>
      <c r="B1144" t="s">
        <v>1202</v>
      </c>
      <c r="C1144" t="s">
        <v>1274</v>
      </c>
      <c r="D1144" t="s">
        <v>50</v>
      </c>
      <c r="E1144" s="8" t="s">
        <v>1256</v>
      </c>
      <c r="F1144">
        <v>0.39100000000000001</v>
      </c>
      <c r="G1144" t="s">
        <v>78</v>
      </c>
      <c r="H1144" t="e">
        <f>VLOOKUP(Tabla3[[#This Row],[DESCRIPCION MATERIAL]],'CODIGO MAT'!$C$2:$D$390,2,FALSE)</f>
        <v>#N/A</v>
      </c>
      <c r="I1144" s="64" t="s">
        <v>50</v>
      </c>
      <c r="J1144">
        <v>1</v>
      </c>
      <c r="K1144">
        <v>0</v>
      </c>
    </row>
    <row r="1145" spans="1:11" x14ac:dyDescent="0.25">
      <c r="A1145" t="s">
        <v>1273</v>
      </c>
      <c r="B1145" t="s">
        <v>1202</v>
      </c>
      <c r="C1145" t="s">
        <v>1274</v>
      </c>
      <c r="D1145" t="s">
        <v>50</v>
      </c>
      <c r="E1145" s="8" t="s">
        <v>186</v>
      </c>
      <c r="F1145">
        <v>0.22</v>
      </c>
      <c r="G1145" t="s">
        <v>78</v>
      </c>
      <c r="H1145" t="str">
        <f>VLOOKUP(Tabla3[[#This Row],[DESCRIPCION MATERIAL]],'CODIGO MAT'!$C$2:$D$390,2,FALSE)</f>
        <v>TEL0000113</v>
      </c>
      <c r="J1145">
        <v>1</v>
      </c>
      <c r="K1145">
        <v>0</v>
      </c>
    </row>
    <row r="1146" spans="1:11" x14ac:dyDescent="0.25">
      <c r="A1146" t="s">
        <v>1273</v>
      </c>
      <c r="B1146" t="s">
        <v>1202</v>
      </c>
      <c r="C1146" t="s">
        <v>1274</v>
      </c>
      <c r="D1146" t="s">
        <v>50</v>
      </c>
      <c r="E1146" s="8" t="s">
        <v>246</v>
      </c>
      <c r="F1146">
        <v>1.7999999999999999E-2</v>
      </c>
      <c r="G1146" t="s">
        <v>78</v>
      </c>
      <c r="H1146" t="str">
        <f>VLOOKUP(Tabla3[[#This Row],[DESCRIPCION MATERIAL]],'CODIGO MAT'!$C$2:$D$390,2,FALSE)</f>
        <v>TEL0000174</v>
      </c>
      <c r="J1146">
        <v>1</v>
      </c>
      <c r="K1146">
        <v>0</v>
      </c>
    </row>
    <row r="1147" spans="1:11" x14ac:dyDescent="0.25">
      <c r="A1147" t="s">
        <v>1273</v>
      </c>
      <c r="B1147" t="s">
        <v>1202</v>
      </c>
      <c r="C1147" t="s">
        <v>1274</v>
      </c>
      <c r="D1147" t="s">
        <v>51</v>
      </c>
      <c r="E1147" s="8" t="s">
        <v>1275</v>
      </c>
      <c r="F1147">
        <v>0</v>
      </c>
      <c r="G1147" t="s">
        <v>78</v>
      </c>
      <c r="H1147" t="e">
        <f>VLOOKUP(Tabla3[[#This Row],[DESCRIPCION MATERIAL]],'CODIGO MAT'!$C$2:$D$390,2,FALSE)</f>
        <v>#N/A</v>
      </c>
      <c r="I1147" s="64" t="s">
        <v>51</v>
      </c>
      <c r="J1147">
        <v>1</v>
      </c>
      <c r="K1147">
        <v>0</v>
      </c>
    </row>
    <row r="1148" spans="1:11" x14ac:dyDescent="0.25">
      <c r="A1148" t="s">
        <v>1273</v>
      </c>
      <c r="B1148" t="s">
        <v>1202</v>
      </c>
      <c r="C1148" t="s">
        <v>1274</v>
      </c>
      <c r="D1148" t="s">
        <v>51</v>
      </c>
      <c r="E1148" s="8" t="s">
        <v>1128</v>
      </c>
      <c r="F1148">
        <v>0</v>
      </c>
      <c r="G1148" t="s">
        <v>78</v>
      </c>
      <c r="H1148" t="str">
        <f>VLOOKUP(Tabla3[[#This Row],[DESCRIPCION MATERIAL]],'CODIGO MAT'!$C$2:$D$390,2,FALSE)</f>
        <v>AVI0000149</v>
      </c>
      <c r="J1148">
        <v>1</v>
      </c>
      <c r="K1148">
        <v>0</v>
      </c>
    </row>
    <row r="1149" spans="1:11" x14ac:dyDescent="0.25">
      <c r="A1149" t="s">
        <v>1273</v>
      </c>
      <c r="B1149" t="s">
        <v>1202</v>
      </c>
      <c r="C1149" t="s">
        <v>1274</v>
      </c>
      <c r="D1149" t="s">
        <v>51</v>
      </c>
      <c r="E1149" s="8" t="s">
        <v>1277</v>
      </c>
      <c r="F1149">
        <v>6.24</v>
      </c>
      <c r="G1149" t="s">
        <v>78</v>
      </c>
      <c r="H1149" t="e">
        <f>VLOOKUP(Tabla3[[#This Row],[DESCRIPCION MATERIAL]],'CODIGO MAT'!$C$2:$D$390,2,FALSE)</f>
        <v>#N/A</v>
      </c>
      <c r="I1149" s="64" t="s">
        <v>51</v>
      </c>
      <c r="J1149">
        <v>1</v>
      </c>
      <c r="K1149">
        <v>0</v>
      </c>
    </row>
    <row r="1150" spans="1:11" x14ac:dyDescent="0.25">
      <c r="A1150" t="s">
        <v>1273</v>
      </c>
      <c r="B1150" t="s">
        <v>1202</v>
      </c>
      <c r="C1150" t="s">
        <v>1274</v>
      </c>
      <c r="D1150" t="s">
        <v>51</v>
      </c>
      <c r="E1150" s="8" t="s">
        <v>379</v>
      </c>
      <c r="F1150">
        <v>1</v>
      </c>
      <c r="G1150" t="s">
        <v>78</v>
      </c>
      <c r="H1150" t="str">
        <f>VLOOKUP(Tabla3[[#This Row],[DESCRIPCION MATERIAL]],'CODIGO MAT'!$C$2:$D$390,2,FALSE)</f>
        <v>AVI0000116</v>
      </c>
      <c r="J1150">
        <v>1</v>
      </c>
      <c r="K1150">
        <v>0</v>
      </c>
    </row>
    <row r="1151" spans="1:11" x14ac:dyDescent="0.25">
      <c r="A1151" t="s">
        <v>1273</v>
      </c>
      <c r="B1151" t="s">
        <v>1202</v>
      </c>
      <c r="C1151" t="s">
        <v>1274</v>
      </c>
      <c r="D1151" t="s">
        <v>51</v>
      </c>
      <c r="E1151" s="8" t="s">
        <v>315</v>
      </c>
      <c r="F1151">
        <v>0.25</v>
      </c>
      <c r="G1151" t="s">
        <v>78</v>
      </c>
      <c r="H1151" t="str">
        <f>VLOOKUP(Tabla3[[#This Row],[DESCRIPCION MATERIAL]],'CODIGO MAT'!$C$2:$D$390,2,FALSE)</f>
        <v>AVI0000055</v>
      </c>
      <c r="J1151">
        <v>1</v>
      </c>
      <c r="K1151">
        <v>0</v>
      </c>
    </row>
    <row r="1152" spans="1:11" x14ac:dyDescent="0.25">
      <c r="A1152" t="s">
        <v>1273</v>
      </c>
      <c r="B1152" t="s">
        <v>1202</v>
      </c>
      <c r="C1152" t="s">
        <v>1274</v>
      </c>
      <c r="D1152" t="s">
        <v>50</v>
      </c>
      <c r="E1152" s="8" t="s">
        <v>165</v>
      </c>
      <c r="F1152">
        <v>8.9999999999999993E-3</v>
      </c>
      <c r="G1152" t="s">
        <v>78</v>
      </c>
      <c r="H1152" t="str">
        <f>VLOOKUP(Tabla3[[#This Row],[DESCRIPCION MATERIAL]],'CODIGO MAT'!$C$2:$D$390,2,FALSE)</f>
        <v>TEL0000092</v>
      </c>
      <c r="J1152">
        <v>1</v>
      </c>
      <c r="K1152">
        <v>0</v>
      </c>
    </row>
    <row r="1153" spans="1:11" x14ac:dyDescent="0.25">
      <c r="A1153" t="s">
        <v>1273</v>
      </c>
      <c r="B1153" t="s">
        <v>1202</v>
      </c>
      <c r="C1153" t="s">
        <v>1274</v>
      </c>
      <c r="D1153" t="s">
        <v>50</v>
      </c>
      <c r="E1153" s="8" t="s">
        <v>179</v>
      </c>
      <c r="F1153">
        <v>7.0000000000000007E-2</v>
      </c>
      <c r="G1153" t="s">
        <v>78</v>
      </c>
      <c r="H1153" t="str">
        <f>VLOOKUP(Tabla3[[#This Row],[DESCRIPCION MATERIAL]],'CODIGO MAT'!$C$2:$D$390,2,FALSE)</f>
        <v>TEL0000106</v>
      </c>
      <c r="J1153">
        <v>1</v>
      </c>
      <c r="K1153">
        <v>0</v>
      </c>
    </row>
    <row r="1154" spans="1:11" x14ac:dyDescent="0.25">
      <c r="A1154" t="s">
        <v>1273</v>
      </c>
      <c r="B1154" t="s">
        <v>1202</v>
      </c>
      <c r="C1154" t="s">
        <v>1274</v>
      </c>
      <c r="D1154" t="s">
        <v>51</v>
      </c>
      <c r="E1154" s="8" t="s">
        <v>1278</v>
      </c>
      <c r="F1154">
        <v>0.59</v>
      </c>
      <c r="G1154" t="s">
        <v>78</v>
      </c>
      <c r="H1154" t="e">
        <f>VLOOKUP(Tabla3[[#This Row],[DESCRIPCION MATERIAL]],'CODIGO MAT'!$C$2:$D$390,2,FALSE)</f>
        <v>#N/A</v>
      </c>
      <c r="I1154" s="64" t="s">
        <v>51</v>
      </c>
      <c r="J1154">
        <v>1</v>
      </c>
      <c r="K1154">
        <v>0</v>
      </c>
    </row>
    <row r="1155" spans="1:11" x14ac:dyDescent="0.25">
      <c r="A1155" t="s">
        <v>1283</v>
      </c>
      <c r="B1155" t="s">
        <v>1284</v>
      </c>
      <c r="C1155" t="s">
        <v>1285</v>
      </c>
      <c r="D1155" t="s">
        <v>50</v>
      </c>
      <c r="E1155" s="8" t="s">
        <v>228</v>
      </c>
      <c r="F1155">
        <v>0.69</v>
      </c>
      <c r="G1155" t="s">
        <v>78</v>
      </c>
      <c r="H1155" t="str">
        <f>VLOOKUP(Tabla3[[#This Row],[DESCRIPCION MATERIAL]],'CODIGO MAT'!$C$2:$D$390,2,FALSE)</f>
        <v>TEL0000156</v>
      </c>
      <c r="J1155">
        <v>1</v>
      </c>
      <c r="K1155">
        <v>0</v>
      </c>
    </row>
    <row r="1156" spans="1:11" x14ac:dyDescent="0.25">
      <c r="A1156" t="s">
        <v>1283</v>
      </c>
      <c r="B1156" t="s">
        <v>1284</v>
      </c>
      <c r="C1156" t="s">
        <v>1285</v>
      </c>
      <c r="D1156" t="s">
        <v>50</v>
      </c>
      <c r="E1156" s="8" t="s">
        <v>227</v>
      </c>
      <c r="F1156">
        <v>0.41299999999999998</v>
      </c>
      <c r="G1156" t="s">
        <v>78</v>
      </c>
      <c r="H1156" t="str">
        <f>VLOOKUP(Tabla3[[#This Row],[DESCRIPCION MATERIAL]],'CODIGO MAT'!$C$2:$D$390,2,FALSE)</f>
        <v>TEL0000155</v>
      </c>
      <c r="J1156">
        <v>1</v>
      </c>
      <c r="K1156">
        <v>0</v>
      </c>
    </row>
    <row r="1157" spans="1:11" x14ac:dyDescent="0.25">
      <c r="A1157" t="s">
        <v>1283</v>
      </c>
      <c r="B1157" t="s">
        <v>1284</v>
      </c>
      <c r="C1157" t="s">
        <v>1285</v>
      </c>
      <c r="D1157" t="s">
        <v>50</v>
      </c>
      <c r="E1157" s="8" t="s">
        <v>11</v>
      </c>
      <c r="F1157">
        <v>0.16500000000000001</v>
      </c>
      <c r="G1157" t="s">
        <v>78</v>
      </c>
      <c r="H1157" t="str">
        <f>VLOOKUP(Tabla3[[#This Row],[DESCRIPCION MATERIAL]],'CODIGO MAT'!$C$2:$D$390,2,FALSE)</f>
        <v>TEL0000149</v>
      </c>
      <c r="J1157">
        <v>1</v>
      </c>
      <c r="K1157">
        <v>0</v>
      </c>
    </row>
    <row r="1158" spans="1:11" x14ac:dyDescent="0.25">
      <c r="A1158" t="s">
        <v>1283</v>
      </c>
      <c r="B1158" t="s">
        <v>1284</v>
      </c>
      <c r="C1158" t="s">
        <v>1285</v>
      </c>
      <c r="D1158" t="s">
        <v>50</v>
      </c>
      <c r="E1158" s="8" t="s">
        <v>236</v>
      </c>
      <c r="F1158">
        <v>7.0999999999999994E-2</v>
      </c>
      <c r="G1158" t="s">
        <v>78</v>
      </c>
      <c r="H1158" t="str">
        <f>VLOOKUP(Tabla3[[#This Row],[DESCRIPCION MATERIAL]],'CODIGO MAT'!$C$2:$D$390,2,FALSE)</f>
        <v>TEL0000164</v>
      </c>
      <c r="J1158">
        <v>1</v>
      </c>
      <c r="K1158">
        <v>0</v>
      </c>
    </row>
    <row r="1159" spans="1:11" x14ac:dyDescent="0.25">
      <c r="A1159" t="s">
        <v>1283</v>
      </c>
      <c r="B1159" t="s">
        <v>1284</v>
      </c>
      <c r="C1159" t="s">
        <v>1285</v>
      </c>
      <c r="D1159" t="s">
        <v>50</v>
      </c>
      <c r="E1159" s="8" t="s">
        <v>1286</v>
      </c>
      <c r="F1159">
        <v>1.6E-2</v>
      </c>
      <c r="G1159" t="s">
        <v>78</v>
      </c>
      <c r="H1159" t="e">
        <f>VLOOKUP(Tabla3[[#This Row],[DESCRIPCION MATERIAL]],'CODIGO MAT'!$C$2:$D$390,2,FALSE)</f>
        <v>#N/A</v>
      </c>
      <c r="I1159" s="64" t="s">
        <v>50</v>
      </c>
      <c r="J1159">
        <v>1</v>
      </c>
      <c r="K1159">
        <v>0</v>
      </c>
    </row>
    <row r="1160" spans="1:11" x14ac:dyDescent="0.25">
      <c r="A1160" t="s">
        <v>1283</v>
      </c>
      <c r="B1160" t="s">
        <v>1284</v>
      </c>
      <c r="C1160" t="s">
        <v>1285</v>
      </c>
      <c r="D1160" t="s">
        <v>51</v>
      </c>
      <c r="E1160" s="8" t="s">
        <v>996</v>
      </c>
      <c r="F1160">
        <v>0.5</v>
      </c>
      <c r="G1160" t="s">
        <v>78</v>
      </c>
      <c r="H1160" t="str">
        <f>VLOOKUP(Tabla3[[#This Row],[DESCRIPCION MATERIAL]],'CODIGO MAT'!$C$2:$D$390,2,FALSE)</f>
        <v>AVI0000148</v>
      </c>
      <c r="J1160">
        <v>1</v>
      </c>
      <c r="K1160">
        <v>0</v>
      </c>
    </row>
    <row r="1161" spans="1:11" x14ac:dyDescent="0.25">
      <c r="A1161" t="s">
        <v>1283</v>
      </c>
      <c r="B1161" t="s">
        <v>1284</v>
      </c>
      <c r="C1161" t="s">
        <v>1285</v>
      </c>
      <c r="D1161" t="s">
        <v>51</v>
      </c>
      <c r="E1161" s="8" t="s">
        <v>315</v>
      </c>
      <c r="F1161">
        <v>0.15</v>
      </c>
      <c r="G1161" t="s">
        <v>78</v>
      </c>
      <c r="H1161" t="str">
        <f>VLOOKUP(Tabla3[[#This Row],[DESCRIPCION MATERIAL]],'CODIGO MAT'!$C$2:$D$390,2,FALSE)</f>
        <v>AVI0000055</v>
      </c>
      <c r="J1161">
        <v>1</v>
      </c>
      <c r="K1161">
        <v>0</v>
      </c>
    </row>
    <row r="1162" spans="1:11" x14ac:dyDescent="0.25">
      <c r="A1162" t="s">
        <v>1283</v>
      </c>
      <c r="B1162" t="s">
        <v>1284</v>
      </c>
      <c r="C1162" t="s">
        <v>1285</v>
      </c>
      <c r="D1162" t="s">
        <v>51</v>
      </c>
      <c r="E1162" s="8" t="s">
        <v>425</v>
      </c>
      <c r="F1162">
        <v>0</v>
      </c>
      <c r="G1162" t="s">
        <v>410</v>
      </c>
      <c r="H1162" t="str">
        <f>VLOOKUP(Tabla3[[#This Row],[DESCRIPCION MATERIAL]],'CODIGO MAT'!$C$2:$D$390,2,FALSE)</f>
        <v>INS0000015</v>
      </c>
    </row>
    <row r="1163" spans="1:11" x14ac:dyDescent="0.25">
      <c r="A1163" t="s">
        <v>1283</v>
      </c>
      <c r="B1163" t="s">
        <v>1284</v>
      </c>
      <c r="C1163" t="s">
        <v>1285</v>
      </c>
      <c r="D1163" t="s">
        <v>51</v>
      </c>
      <c r="E1163" s="8" t="s">
        <v>419</v>
      </c>
      <c r="F1163">
        <v>0</v>
      </c>
      <c r="G1163" t="s">
        <v>410</v>
      </c>
      <c r="H1163" t="str">
        <f>VLOOKUP(Tabla3[[#This Row],[DESCRIPCION MATERIAL]],'CODIGO MAT'!$C$2:$D$390,2,FALSE)</f>
        <v>INS0000009</v>
      </c>
    </row>
    <row r="1164" spans="1:11" x14ac:dyDescent="0.25">
      <c r="A1164" t="s">
        <v>1288</v>
      </c>
      <c r="B1164" t="s">
        <v>1284</v>
      </c>
      <c r="C1164" t="s">
        <v>1289</v>
      </c>
      <c r="D1164" t="s">
        <v>50</v>
      </c>
      <c r="E1164" s="8" t="s">
        <v>228</v>
      </c>
      <c r="F1164">
        <v>0.96299999999999997</v>
      </c>
      <c r="G1164" t="s">
        <v>78</v>
      </c>
      <c r="H1164" t="str">
        <f>VLOOKUP(Tabla3[[#This Row],[DESCRIPCION MATERIAL]],'CODIGO MAT'!$C$2:$D$390,2,FALSE)</f>
        <v>TEL0000156</v>
      </c>
      <c r="J1164">
        <v>1</v>
      </c>
      <c r="K1164">
        <v>0</v>
      </c>
    </row>
    <row r="1165" spans="1:11" x14ac:dyDescent="0.25">
      <c r="A1165" t="s">
        <v>1288</v>
      </c>
      <c r="B1165" t="s">
        <v>1284</v>
      </c>
      <c r="C1165" t="s">
        <v>1289</v>
      </c>
      <c r="D1165" t="s">
        <v>50</v>
      </c>
      <c r="E1165" s="8" t="s">
        <v>186</v>
      </c>
      <c r="F1165">
        <v>0.16500000000000001</v>
      </c>
      <c r="G1165" t="s">
        <v>78</v>
      </c>
      <c r="H1165" t="str">
        <f>VLOOKUP(Tabla3[[#This Row],[DESCRIPCION MATERIAL]],'CODIGO MAT'!$C$2:$D$390,2,FALSE)</f>
        <v>TEL0000113</v>
      </c>
      <c r="J1165">
        <v>1</v>
      </c>
      <c r="K1165">
        <v>0</v>
      </c>
    </row>
    <row r="1166" spans="1:11" x14ac:dyDescent="0.25">
      <c r="A1166" t="s">
        <v>1288</v>
      </c>
      <c r="B1166" t="s">
        <v>1284</v>
      </c>
      <c r="C1166" t="s">
        <v>1289</v>
      </c>
      <c r="D1166" t="s">
        <v>50</v>
      </c>
      <c r="E1166" s="8" t="s">
        <v>11</v>
      </c>
      <c r="F1166">
        <v>0.13200000000000001</v>
      </c>
      <c r="G1166" t="s">
        <v>78</v>
      </c>
      <c r="H1166" t="str">
        <f>VLOOKUP(Tabla3[[#This Row],[DESCRIPCION MATERIAL]],'CODIGO MAT'!$C$2:$D$390,2,FALSE)</f>
        <v>TEL0000149</v>
      </c>
      <c r="J1166">
        <v>1</v>
      </c>
      <c r="K1166">
        <v>0</v>
      </c>
    </row>
    <row r="1167" spans="1:11" x14ac:dyDescent="0.25">
      <c r="A1167" t="s">
        <v>1288</v>
      </c>
      <c r="B1167" t="s">
        <v>1284</v>
      </c>
      <c r="C1167" t="s">
        <v>1289</v>
      </c>
      <c r="D1167" t="s">
        <v>50</v>
      </c>
      <c r="E1167" s="8" t="s">
        <v>237</v>
      </c>
      <c r="F1167">
        <v>0.05</v>
      </c>
      <c r="G1167" t="s">
        <v>78</v>
      </c>
      <c r="H1167" t="str">
        <f>VLOOKUP(Tabla3[[#This Row],[DESCRIPCION MATERIAL]],'CODIGO MAT'!$C$2:$D$390,2,FALSE)</f>
        <v>TEL0000165</v>
      </c>
      <c r="J1167">
        <v>1</v>
      </c>
      <c r="K1167">
        <v>0</v>
      </c>
    </row>
    <row r="1168" spans="1:11" x14ac:dyDescent="0.25">
      <c r="A1168" t="s">
        <v>1288</v>
      </c>
      <c r="B1168" t="s">
        <v>1284</v>
      </c>
      <c r="C1168" t="s">
        <v>1289</v>
      </c>
      <c r="D1168" t="s">
        <v>50</v>
      </c>
      <c r="E1168" s="8" t="s">
        <v>245</v>
      </c>
      <c r="F1168">
        <v>1.7999999999999999E-2</v>
      </c>
      <c r="G1168" t="s">
        <v>78</v>
      </c>
      <c r="H1168" t="str">
        <f>VLOOKUP(Tabla3[[#This Row],[DESCRIPCION MATERIAL]],'CODIGO MAT'!$C$2:$D$390,2,FALSE)</f>
        <v>TEL0000173</v>
      </c>
      <c r="J1168">
        <v>1</v>
      </c>
      <c r="K1168">
        <v>0</v>
      </c>
    </row>
    <row r="1169" spans="1:11" x14ac:dyDescent="0.25">
      <c r="A1169" t="s">
        <v>1288</v>
      </c>
      <c r="B1169" t="s">
        <v>1284</v>
      </c>
      <c r="C1169" t="s">
        <v>1289</v>
      </c>
      <c r="D1169" t="s">
        <v>51</v>
      </c>
      <c r="E1169" s="8" t="s">
        <v>411</v>
      </c>
      <c r="F1169">
        <v>0</v>
      </c>
      <c r="G1169" t="s">
        <v>410</v>
      </c>
      <c r="H1169" t="str">
        <f>VLOOKUP(Tabla3[[#This Row],[DESCRIPCION MATERIAL]],'CODIGO MAT'!$C$2:$D$390,2,FALSE)</f>
        <v>INS0000003</v>
      </c>
    </row>
    <row r="1170" spans="1:11" x14ac:dyDescent="0.25">
      <c r="A1170" t="s">
        <v>1288</v>
      </c>
      <c r="B1170" t="s">
        <v>1284</v>
      </c>
      <c r="C1170" t="s">
        <v>1289</v>
      </c>
      <c r="D1170" t="s">
        <v>50</v>
      </c>
      <c r="E1170" s="8" t="s">
        <v>1232</v>
      </c>
      <c r="F1170">
        <v>0.432</v>
      </c>
      <c r="G1170" t="s">
        <v>78</v>
      </c>
      <c r="H1170" t="e">
        <f>VLOOKUP(Tabla3[[#This Row],[DESCRIPCION MATERIAL]],'CODIGO MAT'!$C$2:$D$390,2,FALSE)</f>
        <v>#N/A</v>
      </c>
      <c r="I1170" s="64" t="s">
        <v>50</v>
      </c>
      <c r="J1170">
        <v>1</v>
      </c>
      <c r="K1170">
        <v>0</v>
      </c>
    </row>
    <row r="1171" spans="1:11" x14ac:dyDescent="0.25">
      <c r="A1171" t="s">
        <v>1288</v>
      </c>
      <c r="B1171" t="s">
        <v>1284</v>
      </c>
      <c r="C1171" t="s">
        <v>1289</v>
      </c>
      <c r="D1171" t="s">
        <v>51</v>
      </c>
      <c r="E1171" s="8" t="s">
        <v>996</v>
      </c>
      <c r="F1171">
        <v>0.5</v>
      </c>
      <c r="G1171" t="s">
        <v>78</v>
      </c>
      <c r="H1171" t="str">
        <f>VLOOKUP(Tabla3[[#This Row],[DESCRIPCION MATERIAL]],'CODIGO MAT'!$C$2:$D$390,2,FALSE)</f>
        <v>AVI0000148</v>
      </c>
      <c r="J1171">
        <v>1</v>
      </c>
      <c r="K1171">
        <v>0</v>
      </c>
    </row>
    <row r="1172" spans="1:11" x14ac:dyDescent="0.25">
      <c r="A1172" t="s">
        <v>1288</v>
      </c>
      <c r="B1172" t="s">
        <v>1284</v>
      </c>
      <c r="C1172" t="s">
        <v>1289</v>
      </c>
      <c r="D1172" t="s">
        <v>51</v>
      </c>
      <c r="E1172" s="8" t="s">
        <v>315</v>
      </c>
      <c r="F1172">
        <v>0.15</v>
      </c>
      <c r="G1172" t="s">
        <v>78</v>
      </c>
      <c r="H1172" t="str">
        <f>VLOOKUP(Tabla3[[#This Row],[DESCRIPCION MATERIAL]],'CODIGO MAT'!$C$2:$D$390,2,FALSE)</f>
        <v>AVI0000055</v>
      </c>
      <c r="J1172">
        <v>1</v>
      </c>
      <c r="K1172">
        <v>0</v>
      </c>
    </row>
    <row r="1173" spans="1:11" x14ac:dyDescent="0.25">
      <c r="A1173" t="s">
        <v>1290</v>
      </c>
      <c r="B1173" t="s">
        <v>1284</v>
      </c>
      <c r="C1173" t="s">
        <v>1292</v>
      </c>
      <c r="D1173" t="s">
        <v>50</v>
      </c>
      <c r="E1173" s="8" t="s">
        <v>232</v>
      </c>
      <c r="F1173">
        <v>1.04</v>
      </c>
      <c r="G1173" t="s">
        <v>78</v>
      </c>
      <c r="H1173" t="str">
        <f>VLOOKUP(Tabla3[[#This Row],[DESCRIPCION MATERIAL]],'CODIGO MAT'!$C$2:$D$390,2,FALSE)</f>
        <v>TEL0000160</v>
      </c>
      <c r="J1173">
        <v>1</v>
      </c>
      <c r="K1173">
        <v>0</v>
      </c>
    </row>
    <row r="1174" spans="1:11" x14ac:dyDescent="0.25">
      <c r="A1174" t="s">
        <v>1290</v>
      </c>
      <c r="B1174" t="s">
        <v>1284</v>
      </c>
      <c r="C1174" t="s">
        <v>1292</v>
      </c>
      <c r="D1174" t="s">
        <v>50</v>
      </c>
      <c r="E1174" s="8" t="s">
        <v>192</v>
      </c>
      <c r="F1174">
        <v>0.16500000000000001</v>
      </c>
      <c r="G1174" t="s">
        <v>78</v>
      </c>
      <c r="H1174" t="str">
        <f>VLOOKUP(Tabla3[[#This Row],[DESCRIPCION MATERIAL]],'CODIGO MAT'!$C$2:$D$390,2,FALSE)</f>
        <v>TEL0000119</v>
      </c>
      <c r="J1174">
        <v>1</v>
      </c>
      <c r="K1174">
        <v>0</v>
      </c>
    </row>
    <row r="1175" spans="1:11" x14ac:dyDescent="0.25">
      <c r="A1175" t="s">
        <v>1290</v>
      </c>
      <c r="B1175" t="s">
        <v>1284</v>
      </c>
      <c r="C1175" t="s">
        <v>1292</v>
      </c>
      <c r="D1175" t="s">
        <v>50</v>
      </c>
      <c r="E1175" s="8" t="s">
        <v>11</v>
      </c>
      <c r="F1175">
        <v>0.28000000000000003</v>
      </c>
      <c r="G1175" t="s">
        <v>78</v>
      </c>
      <c r="H1175" t="str">
        <f>VLOOKUP(Tabla3[[#This Row],[DESCRIPCION MATERIAL]],'CODIGO MAT'!$C$2:$D$390,2,FALSE)</f>
        <v>TEL0000149</v>
      </c>
      <c r="J1175">
        <v>1</v>
      </c>
      <c r="K1175">
        <v>0</v>
      </c>
    </row>
    <row r="1176" spans="1:11" x14ac:dyDescent="0.25">
      <c r="A1176" t="s">
        <v>1290</v>
      </c>
      <c r="B1176" t="s">
        <v>1284</v>
      </c>
      <c r="C1176" t="s">
        <v>1292</v>
      </c>
      <c r="D1176" t="s">
        <v>50</v>
      </c>
      <c r="E1176" s="8" t="s">
        <v>239</v>
      </c>
      <c r="F1176">
        <v>0.05</v>
      </c>
      <c r="G1176" t="s">
        <v>78</v>
      </c>
      <c r="H1176" t="str">
        <f>VLOOKUP(Tabla3[[#This Row],[DESCRIPCION MATERIAL]],'CODIGO MAT'!$C$2:$D$390,2,FALSE)</f>
        <v>TEL0000167</v>
      </c>
      <c r="J1176">
        <v>1</v>
      </c>
      <c r="K1176">
        <v>0</v>
      </c>
    </row>
    <row r="1177" spans="1:11" x14ac:dyDescent="0.25">
      <c r="A1177" t="s">
        <v>1290</v>
      </c>
      <c r="B1177" t="s">
        <v>1284</v>
      </c>
      <c r="C1177" t="s">
        <v>1292</v>
      </c>
      <c r="D1177" t="s">
        <v>50</v>
      </c>
      <c r="E1177" s="8" t="s">
        <v>1244</v>
      </c>
      <c r="F1177">
        <v>0.432</v>
      </c>
      <c r="G1177" t="s">
        <v>78</v>
      </c>
      <c r="H1177" t="e">
        <f>VLOOKUP(Tabla3[[#This Row],[DESCRIPCION MATERIAL]],'CODIGO MAT'!$C$2:$D$390,2,FALSE)</f>
        <v>#N/A</v>
      </c>
      <c r="I1177" s="64" t="s">
        <v>50</v>
      </c>
      <c r="J1177">
        <v>1</v>
      </c>
      <c r="K1177">
        <v>0</v>
      </c>
    </row>
    <row r="1178" spans="1:11" x14ac:dyDescent="0.25">
      <c r="A1178" t="s">
        <v>1290</v>
      </c>
      <c r="B1178" t="s">
        <v>1284</v>
      </c>
      <c r="C1178" t="s">
        <v>1292</v>
      </c>
      <c r="D1178" t="s">
        <v>50</v>
      </c>
      <c r="E1178" s="8" t="s">
        <v>164</v>
      </c>
      <c r="F1178">
        <v>1.9E-2</v>
      </c>
      <c r="G1178" t="s">
        <v>78</v>
      </c>
      <c r="H1178" t="str">
        <f>VLOOKUP(Tabla3[[#This Row],[DESCRIPCION MATERIAL]],'CODIGO MAT'!$C$2:$D$390,2,FALSE)</f>
        <v>TEL0000091</v>
      </c>
      <c r="J1178">
        <v>1</v>
      </c>
      <c r="K1178">
        <v>0</v>
      </c>
    </row>
    <row r="1179" spans="1:11" x14ac:dyDescent="0.25">
      <c r="A1179" t="s">
        <v>1290</v>
      </c>
      <c r="B1179" t="s">
        <v>1284</v>
      </c>
      <c r="C1179" t="s">
        <v>1292</v>
      </c>
      <c r="D1179" t="s">
        <v>51</v>
      </c>
      <c r="E1179" s="8" t="s">
        <v>996</v>
      </c>
      <c r="F1179">
        <v>0.5</v>
      </c>
      <c r="G1179" t="s">
        <v>78</v>
      </c>
      <c r="H1179" t="str">
        <f>VLOOKUP(Tabla3[[#This Row],[DESCRIPCION MATERIAL]],'CODIGO MAT'!$C$2:$D$390,2,FALSE)</f>
        <v>AVI0000148</v>
      </c>
      <c r="J1179">
        <v>1</v>
      </c>
      <c r="K1179">
        <v>0</v>
      </c>
    </row>
    <row r="1180" spans="1:11" x14ac:dyDescent="0.25">
      <c r="A1180" t="s">
        <v>1290</v>
      </c>
      <c r="B1180" t="s">
        <v>1284</v>
      </c>
      <c r="C1180" t="s">
        <v>1292</v>
      </c>
      <c r="D1180" t="s">
        <v>51</v>
      </c>
      <c r="E1180" s="8" t="s">
        <v>315</v>
      </c>
      <c r="F1180">
        <v>0.15</v>
      </c>
      <c r="G1180" t="s">
        <v>78</v>
      </c>
      <c r="H1180" t="str">
        <f>VLOOKUP(Tabla3[[#This Row],[DESCRIPCION MATERIAL]],'CODIGO MAT'!$C$2:$D$390,2,FALSE)</f>
        <v>AVI0000055</v>
      </c>
      <c r="J1180">
        <v>1</v>
      </c>
      <c r="K1180">
        <v>0</v>
      </c>
    </row>
    <row r="1181" spans="1:11" x14ac:dyDescent="0.25">
      <c r="A1181" t="s">
        <v>1290</v>
      </c>
      <c r="B1181" t="s">
        <v>1284</v>
      </c>
      <c r="C1181" t="s">
        <v>1292</v>
      </c>
      <c r="D1181" t="s">
        <v>51</v>
      </c>
      <c r="E1181" s="8" t="s">
        <v>1272</v>
      </c>
      <c r="F1181">
        <v>0.4</v>
      </c>
      <c r="G1181" t="s">
        <v>78</v>
      </c>
      <c r="H1181" t="e">
        <f>VLOOKUP(Tabla3[[#This Row],[DESCRIPCION MATERIAL]],'CODIGO MAT'!$C$2:$D$390,2,FALSE)</f>
        <v>#N/A</v>
      </c>
      <c r="I1181" s="64" t="s">
        <v>51</v>
      </c>
      <c r="J1181">
        <v>1</v>
      </c>
      <c r="K1181">
        <v>0</v>
      </c>
    </row>
    <row r="1182" spans="1:11" x14ac:dyDescent="0.25">
      <c r="A1182" t="s">
        <v>1291</v>
      </c>
      <c r="B1182" t="s">
        <v>1284</v>
      </c>
      <c r="C1182" t="s">
        <v>1293</v>
      </c>
      <c r="D1182" t="s">
        <v>50</v>
      </c>
      <c r="E1182" s="8" t="s">
        <v>227</v>
      </c>
      <c r="F1182">
        <v>0.96299999999999997</v>
      </c>
      <c r="G1182" t="s">
        <v>78</v>
      </c>
      <c r="H1182" t="str">
        <f>VLOOKUP(Tabla3[[#This Row],[DESCRIPCION MATERIAL]],'CODIGO MAT'!$C$2:$D$390,2,FALSE)</f>
        <v>TEL0000155</v>
      </c>
      <c r="J1182">
        <v>1</v>
      </c>
      <c r="K1182">
        <v>0</v>
      </c>
    </row>
    <row r="1183" spans="1:11" x14ac:dyDescent="0.25">
      <c r="A1183" t="s">
        <v>1291</v>
      </c>
      <c r="B1183" t="s">
        <v>1284</v>
      </c>
      <c r="C1183" t="s">
        <v>1293</v>
      </c>
      <c r="D1183" t="s">
        <v>50</v>
      </c>
      <c r="E1183" s="8" t="s">
        <v>186</v>
      </c>
      <c r="F1183">
        <v>0.16500000000000001</v>
      </c>
      <c r="G1183" t="s">
        <v>78</v>
      </c>
      <c r="H1183" t="str">
        <f>VLOOKUP(Tabla3[[#This Row],[DESCRIPCION MATERIAL]],'CODIGO MAT'!$C$2:$D$390,2,FALSE)</f>
        <v>TEL0000113</v>
      </c>
      <c r="J1183">
        <v>1</v>
      </c>
      <c r="K1183">
        <v>0</v>
      </c>
    </row>
    <row r="1184" spans="1:11" x14ac:dyDescent="0.25">
      <c r="A1184" t="s">
        <v>1291</v>
      </c>
      <c r="B1184" t="s">
        <v>1284</v>
      </c>
      <c r="C1184" t="s">
        <v>1293</v>
      </c>
      <c r="D1184" t="s">
        <v>50</v>
      </c>
      <c r="E1184" s="8" t="s">
        <v>11</v>
      </c>
      <c r="F1184">
        <v>0.13200000000000001</v>
      </c>
      <c r="G1184" t="s">
        <v>78</v>
      </c>
      <c r="H1184" t="str">
        <f>VLOOKUP(Tabla3[[#This Row],[DESCRIPCION MATERIAL]],'CODIGO MAT'!$C$2:$D$390,2,FALSE)</f>
        <v>TEL0000149</v>
      </c>
      <c r="J1184">
        <v>1</v>
      </c>
      <c r="K1184">
        <v>0</v>
      </c>
    </row>
    <row r="1185" spans="1:11" x14ac:dyDescent="0.25">
      <c r="A1185" t="s">
        <v>1291</v>
      </c>
      <c r="B1185" t="s">
        <v>1284</v>
      </c>
      <c r="C1185" t="s">
        <v>1293</v>
      </c>
      <c r="D1185" t="s">
        <v>50</v>
      </c>
      <c r="E1185" s="8" t="s">
        <v>236</v>
      </c>
      <c r="F1185">
        <v>0.05</v>
      </c>
      <c r="G1185" t="s">
        <v>78</v>
      </c>
      <c r="H1185" t="str">
        <f>VLOOKUP(Tabla3[[#This Row],[DESCRIPCION MATERIAL]],'CODIGO MAT'!$C$2:$D$390,2,FALSE)</f>
        <v>TEL0000164</v>
      </c>
      <c r="J1185">
        <v>1</v>
      </c>
      <c r="K1185">
        <v>0</v>
      </c>
    </row>
    <row r="1186" spans="1:11" x14ac:dyDescent="0.25">
      <c r="A1186" t="s">
        <v>1291</v>
      </c>
      <c r="B1186" t="s">
        <v>1284</v>
      </c>
      <c r="C1186" t="s">
        <v>1293</v>
      </c>
      <c r="D1186" t="s">
        <v>50</v>
      </c>
      <c r="E1186" s="8" t="s">
        <v>164</v>
      </c>
      <c r="F1186">
        <v>0</v>
      </c>
      <c r="G1186" t="s">
        <v>78</v>
      </c>
      <c r="H1186" t="str">
        <f>VLOOKUP(Tabla3[[#This Row],[DESCRIPCION MATERIAL]],'CODIGO MAT'!$C$2:$D$390,2,FALSE)</f>
        <v>TEL0000091</v>
      </c>
      <c r="J1186">
        <v>1</v>
      </c>
      <c r="K1186">
        <v>0</v>
      </c>
    </row>
    <row r="1187" spans="1:11" x14ac:dyDescent="0.25">
      <c r="A1187" t="s">
        <v>1291</v>
      </c>
      <c r="B1187" t="s">
        <v>1284</v>
      </c>
      <c r="C1187" t="s">
        <v>1293</v>
      </c>
      <c r="D1187" t="s">
        <v>50</v>
      </c>
      <c r="E1187" s="8" t="s">
        <v>243</v>
      </c>
      <c r="F1187">
        <v>0</v>
      </c>
      <c r="G1187" t="s">
        <v>78</v>
      </c>
      <c r="H1187" t="str">
        <f>VLOOKUP(Tabla3[[#This Row],[DESCRIPCION MATERIAL]],'CODIGO MAT'!$C$2:$D$390,2,FALSE)</f>
        <v>TEL0000171</v>
      </c>
      <c r="J1187">
        <v>1</v>
      </c>
      <c r="K1187">
        <v>0</v>
      </c>
    </row>
    <row r="1188" spans="1:11" x14ac:dyDescent="0.25">
      <c r="A1188" t="s">
        <v>1291</v>
      </c>
      <c r="B1188" t="s">
        <v>1284</v>
      </c>
      <c r="C1188" t="s">
        <v>1293</v>
      </c>
      <c r="D1188" t="s">
        <v>51</v>
      </c>
      <c r="E1188" s="8" t="s">
        <v>996</v>
      </c>
      <c r="F1188">
        <v>0.52</v>
      </c>
      <c r="G1188" t="s">
        <v>78</v>
      </c>
      <c r="H1188" t="str">
        <f>VLOOKUP(Tabla3[[#This Row],[DESCRIPCION MATERIAL]],'CODIGO MAT'!$C$2:$D$390,2,FALSE)</f>
        <v>AVI0000148</v>
      </c>
      <c r="J1188">
        <v>1</v>
      </c>
      <c r="K1188">
        <v>0</v>
      </c>
    </row>
    <row r="1189" spans="1:11" x14ac:dyDescent="0.25">
      <c r="A1189" t="s">
        <v>1291</v>
      </c>
      <c r="B1189" t="s">
        <v>1284</v>
      </c>
      <c r="C1189" t="s">
        <v>1293</v>
      </c>
      <c r="D1189" t="s">
        <v>51</v>
      </c>
      <c r="E1189" s="8" t="s">
        <v>315</v>
      </c>
      <c r="F1189">
        <v>0.15</v>
      </c>
      <c r="G1189" t="s">
        <v>78</v>
      </c>
      <c r="H1189" t="str">
        <f>VLOOKUP(Tabla3[[#This Row],[DESCRIPCION MATERIAL]],'CODIGO MAT'!$C$2:$D$390,2,FALSE)</f>
        <v>AVI0000055</v>
      </c>
      <c r="J1189">
        <v>1</v>
      </c>
      <c r="K1189">
        <v>0</v>
      </c>
    </row>
    <row r="1190" spans="1:11" x14ac:dyDescent="0.25">
      <c r="A1190" t="s">
        <v>1294</v>
      </c>
      <c r="B1190" t="s">
        <v>1295</v>
      </c>
      <c r="C1190" t="s">
        <v>1296</v>
      </c>
      <c r="D1190" t="s">
        <v>50</v>
      </c>
      <c r="E1190" s="8" t="s">
        <v>87</v>
      </c>
      <c r="F1190">
        <v>0.27</v>
      </c>
      <c r="G1190" t="s">
        <v>78</v>
      </c>
      <c r="H1190" t="str">
        <f>VLOOKUP(Tabla3[[#This Row],[DESCRIPCION MATERIAL]],'CODIGO MAT'!$C$2:$D$390,2,FALSE)</f>
        <v>TEL0000010</v>
      </c>
      <c r="J1190">
        <v>1</v>
      </c>
      <c r="K1190">
        <v>0</v>
      </c>
    </row>
    <row r="1191" spans="1:11" x14ac:dyDescent="0.25">
      <c r="A1191" t="s">
        <v>1294</v>
      </c>
      <c r="B1191" t="s">
        <v>1295</v>
      </c>
      <c r="C1191" t="s">
        <v>1296</v>
      </c>
      <c r="D1191" t="s">
        <v>50</v>
      </c>
      <c r="E1191" s="8" t="s">
        <v>90</v>
      </c>
      <c r="F1191">
        <v>0.71</v>
      </c>
      <c r="G1191" t="s">
        <v>78</v>
      </c>
      <c r="H1191" t="str">
        <f>VLOOKUP(Tabla3[[#This Row],[DESCRIPCION MATERIAL]],'CODIGO MAT'!$C$2:$D$390,2,FALSE)</f>
        <v>TEL0000013</v>
      </c>
      <c r="J1191">
        <v>1</v>
      </c>
      <c r="K1191">
        <v>0</v>
      </c>
    </row>
    <row r="1192" spans="1:11" x14ac:dyDescent="0.25">
      <c r="A1192" t="s">
        <v>1294</v>
      </c>
      <c r="B1192" t="s">
        <v>1295</v>
      </c>
      <c r="C1192" t="s">
        <v>1296</v>
      </c>
      <c r="D1192" t="s">
        <v>50</v>
      </c>
      <c r="E1192" s="8" t="s">
        <v>106</v>
      </c>
      <c r="F1192">
        <v>0.14699999999999999</v>
      </c>
      <c r="G1192" t="s">
        <v>78</v>
      </c>
      <c r="H1192" t="str">
        <f>VLOOKUP(Tabla3[[#This Row],[DESCRIPCION MATERIAL]],'CODIGO MAT'!$C$2:$D$390,2,FALSE)</f>
        <v>TEL0000029</v>
      </c>
      <c r="J1192">
        <v>1</v>
      </c>
      <c r="K1192">
        <v>0</v>
      </c>
    </row>
    <row r="1193" spans="1:11" x14ac:dyDescent="0.25">
      <c r="A1193" t="s">
        <v>1294</v>
      </c>
      <c r="B1193" t="s">
        <v>1295</v>
      </c>
      <c r="C1193" t="s">
        <v>1296</v>
      </c>
      <c r="D1193" t="s">
        <v>50</v>
      </c>
      <c r="E1193" s="8" t="s">
        <v>253</v>
      </c>
      <c r="F1193">
        <v>0.218</v>
      </c>
      <c r="G1193" t="s">
        <v>78</v>
      </c>
      <c r="H1193" t="str">
        <f>VLOOKUP(Tabla3[[#This Row],[DESCRIPCION MATERIAL]],'CODIGO MAT'!$C$2:$D$390,2,FALSE)</f>
        <v>TEL0000181</v>
      </c>
      <c r="J1193">
        <v>1</v>
      </c>
      <c r="K1193">
        <v>0</v>
      </c>
    </row>
    <row r="1194" spans="1:11" x14ac:dyDescent="0.25">
      <c r="A1194" t="s">
        <v>1294</v>
      </c>
      <c r="B1194" t="s">
        <v>1295</v>
      </c>
      <c r="C1194" t="s">
        <v>1296</v>
      </c>
      <c r="D1194" t="s">
        <v>50</v>
      </c>
      <c r="E1194" s="8" t="s">
        <v>227</v>
      </c>
      <c r="F1194">
        <v>0.128</v>
      </c>
      <c r="G1194" t="s">
        <v>78</v>
      </c>
      <c r="H1194" t="str">
        <f>VLOOKUP(Tabla3[[#This Row],[DESCRIPCION MATERIAL]],'CODIGO MAT'!$C$2:$D$390,2,FALSE)</f>
        <v>TEL0000155</v>
      </c>
      <c r="J1194">
        <v>1</v>
      </c>
      <c r="K1194">
        <v>0</v>
      </c>
    </row>
    <row r="1195" spans="1:11" x14ac:dyDescent="0.25">
      <c r="A1195" t="s">
        <v>1294</v>
      </c>
      <c r="B1195" t="s">
        <v>1295</v>
      </c>
      <c r="C1195" t="s">
        <v>1296</v>
      </c>
      <c r="D1195" t="s">
        <v>50</v>
      </c>
      <c r="E1195" s="8" t="s">
        <v>1286</v>
      </c>
      <c r="F1195">
        <v>1.6E-2</v>
      </c>
      <c r="G1195" t="s">
        <v>78</v>
      </c>
      <c r="H1195" t="e">
        <f>VLOOKUP(Tabla3[[#This Row],[DESCRIPCION MATERIAL]],'CODIGO MAT'!$C$2:$D$390,2,FALSE)</f>
        <v>#N/A</v>
      </c>
      <c r="I1195" s="64" t="s">
        <v>50</v>
      </c>
      <c r="J1195">
        <v>1</v>
      </c>
      <c r="K1195">
        <v>0</v>
      </c>
    </row>
    <row r="1196" spans="1:11" x14ac:dyDescent="0.25">
      <c r="A1196" t="s">
        <v>1294</v>
      </c>
      <c r="B1196" t="s">
        <v>1295</v>
      </c>
      <c r="C1196" t="s">
        <v>1296</v>
      </c>
      <c r="D1196" t="s">
        <v>50</v>
      </c>
      <c r="E1196" s="8" t="s">
        <v>103</v>
      </c>
      <c r="F1196">
        <v>0.16300000000000001</v>
      </c>
      <c r="G1196" t="s">
        <v>78</v>
      </c>
      <c r="H1196" t="str">
        <f>VLOOKUP(Tabla3[[#This Row],[DESCRIPCION MATERIAL]],'CODIGO MAT'!$C$2:$D$390,2,FALSE)</f>
        <v>TEL0000026</v>
      </c>
      <c r="J1196">
        <v>1</v>
      </c>
      <c r="K1196">
        <v>0</v>
      </c>
    </row>
    <row r="1197" spans="1:11" x14ac:dyDescent="0.25">
      <c r="A1197" t="s">
        <v>1294</v>
      </c>
      <c r="B1197" t="s">
        <v>1295</v>
      </c>
      <c r="C1197" t="s">
        <v>1296</v>
      </c>
      <c r="D1197" t="s">
        <v>51</v>
      </c>
      <c r="E1197" s="8" t="s">
        <v>369</v>
      </c>
      <c r="F1197">
        <v>1</v>
      </c>
      <c r="G1197" t="s">
        <v>396</v>
      </c>
      <c r="H1197" t="str">
        <f>VLOOKUP(Tabla3[[#This Row],[DESCRIPCION MATERIAL]],'CODIGO MAT'!$C$2:$D$390,2,FALSE)</f>
        <v>AVI0000106</v>
      </c>
      <c r="J1197">
        <v>1</v>
      </c>
      <c r="K1197">
        <v>0</v>
      </c>
    </row>
    <row r="1198" spans="1:11" x14ac:dyDescent="0.25">
      <c r="A1198" t="s">
        <v>1294</v>
      </c>
      <c r="B1198" t="s">
        <v>1295</v>
      </c>
      <c r="C1198" t="s">
        <v>1296</v>
      </c>
      <c r="D1198" t="s">
        <v>50</v>
      </c>
      <c r="E1198" s="8" t="s">
        <v>236</v>
      </c>
      <c r="F1198">
        <v>7.0000000000000007E-2</v>
      </c>
      <c r="G1198" t="s">
        <v>78</v>
      </c>
      <c r="H1198" t="str">
        <f>VLOOKUP(Tabla3[[#This Row],[DESCRIPCION MATERIAL]],'CODIGO MAT'!$C$2:$D$390,2,FALSE)</f>
        <v>TEL0000164</v>
      </c>
      <c r="J1198">
        <v>1</v>
      </c>
      <c r="K1198">
        <v>0</v>
      </c>
    </row>
    <row r="1199" spans="1:11" x14ac:dyDescent="0.25">
      <c r="A1199" t="s">
        <v>1294</v>
      </c>
      <c r="B1199" t="s">
        <v>1295</v>
      </c>
      <c r="C1199" t="s">
        <v>1296</v>
      </c>
      <c r="D1199" t="s">
        <v>51</v>
      </c>
      <c r="E1199" s="8" t="s">
        <v>425</v>
      </c>
      <c r="F1199">
        <v>0</v>
      </c>
      <c r="G1199" t="s">
        <v>410</v>
      </c>
      <c r="H1199" t="str">
        <f>VLOOKUP(Tabla3[[#This Row],[DESCRIPCION MATERIAL]],'CODIGO MAT'!$C$2:$D$390,2,FALSE)</f>
        <v>INS0000015</v>
      </c>
    </row>
    <row r="1200" spans="1:11" x14ac:dyDescent="0.25">
      <c r="A1200" t="s">
        <v>1294</v>
      </c>
      <c r="B1200" t="s">
        <v>1295</v>
      </c>
      <c r="C1200" t="s">
        <v>1296</v>
      </c>
      <c r="D1200" t="s">
        <v>51</v>
      </c>
      <c r="E1200" s="8" t="s">
        <v>419</v>
      </c>
      <c r="F1200">
        <v>0</v>
      </c>
      <c r="G1200" t="s">
        <v>410</v>
      </c>
      <c r="H1200" t="str">
        <f>VLOOKUP(Tabla3[[#This Row],[DESCRIPCION MATERIAL]],'CODIGO MAT'!$C$2:$D$390,2,FALSE)</f>
        <v>INS0000009</v>
      </c>
    </row>
    <row r="1201" spans="1:11" x14ac:dyDescent="0.25">
      <c r="A1201" t="s">
        <v>1297</v>
      </c>
      <c r="B1201" t="s">
        <v>1295</v>
      </c>
      <c r="C1201" t="s">
        <v>1299</v>
      </c>
      <c r="D1201" t="s">
        <v>50</v>
      </c>
      <c r="E1201" s="8" t="s">
        <v>90</v>
      </c>
      <c r="F1201">
        <v>1.65</v>
      </c>
      <c r="G1201" t="s">
        <v>78</v>
      </c>
      <c r="H1201" t="str">
        <f>VLOOKUP(Tabla3[[#This Row],[DESCRIPCION MATERIAL]],'CODIGO MAT'!$C$2:$D$390,2,FALSE)</f>
        <v>TEL0000013</v>
      </c>
      <c r="J1201">
        <v>1</v>
      </c>
      <c r="K1201">
        <v>0</v>
      </c>
    </row>
    <row r="1202" spans="1:11" x14ac:dyDescent="0.25">
      <c r="A1202" t="s">
        <v>1297</v>
      </c>
      <c r="B1202" t="s">
        <v>1295</v>
      </c>
      <c r="C1202" t="s">
        <v>1299</v>
      </c>
      <c r="D1202" t="s">
        <v>51</v>
      </c>
      <c r="E1202" s="8" t="s">
        <v>369</v>
      </c>
      <c r="F1202">
        <v>1</v>
      </c>
      <c r="G1202" t="s">
        <v>396</v>
      </c>
      <c r="H1202" t="str">
        <f>VLOOKUP(Tabla3[[#This Row],[DESCRIPCION MATERIAL]],'CODIGO MAT'!$C$2:$D$390,2,FALSE)</f>
        <v>AVI0000106</v>
      </c>
      <c r="J1202">
        <v>1</v>
      </c>
      <c r="K1202">
        <v>0</v>
      </c>
    </row>
    <row r="1203" spans="1:11" x14ac:dyDescent="0.25">
      <c r="A1203" t="s">
        <v>1297</v>
      </c>
      <c r="B1203" t="s">
        <v>1295</v>
      </c>
      <c r="C1203" t="s">
        <v>1299</v>
      </c>
      <c r="D1203" t="s">
        <v>50</v>
      </c>
      <c r="E1203" s="8" t="s">
        <v>88</v>
      </c>
      <c r="F1203">
        <v>8.5000000000000006E-2</v>
      </c>
      <c r="G1203" t="s">
        <v>78</v>
      </c>
      <c r="H1203" t="str">
        <f>VLOOKUP(Tabla3[[#This Row],[DESCRIPCION MATERIAL]],'CODIGO MAT'!$C$2:$D$390,2,FALSE)</f>
        <v>TEL0000011</v>
      </c>
      <c r="J1203">
        <v>1</v>
      </c>
      <c r="K1203">
        <v>0</v>
      </c>
    </row>
    <row r="1204" spans="1:11" x14ac:dyDescent="0.25">
      <c r="A1204" t="s">
        <v>1297</v>
      </c>
      <c r="B1204" t="s">
        <v>1295</v>
      </c>
      <c r="C1204" t="s">
        <v>1299</v>
      </c>
      <c r="D1204" t="s">
        <v>50</v>
      </c>
      <c r="E1204" s="8" t="s">
        <v>106</v>
      </c>
      <c r="F1204">
        <v>0.14699999999999999</v>
      </c>
      <c r="G1204" t="s">
        <v>78</v>
      </c>
      <c r="H1204" t="str">
        <f>VLOOKUP(Tabla3[[#This Row],[DESCRIPCION MATERIAL]],'CODIGO MAT'!$C$2:$D$390,2,FALSE)</f>
        <v>TEL0000029</v>
      </c>
      <c r="J1204">
        <v>1</v>
      </c>
      <c r="K1204">
        <v>0</v>
      </c>
    </row>
    <row r="1205" spans="1:11" x14ac:dyDescent="0.25">
      <c r="A1205" t="s">
        <v>1297</v>
      </c>
      <c r="B1205" t="s">
        <v>1295</v>
      </c>
      <c r="C1205" t="s">
        <v>1299</v>
      </c>
      <c r="D1205" t="s">
        <v>50</v>
      </c>
      <c r="E1205" s="8" t="s">
        <v>103</v>
      </c>
      <c r="F1205">
        <v>0.189</v>
      </c>
      <c r="G1205" t="s">
        <v>78</v>
      </c>
      <c r="H1205" t="str">
        <f>VLOOKUP(Tabla3[[#This Row],[DESCRIPCION MATERIAL]],'CODIGO MAT'!$C$2:$D$390,2,FALSE)</f>
        <v>TEL0000026</v>
      </c>
      <c r="J1205">
        <v>1</v>
      </c>
      <c r="K1205">
        <v>0</v>
      </c>
    </row>
    <row r="1206" spans="1:11" x14ac:dyDescent="0.25">
      <c r="A1206" t="s">
        <v>1297</v>
      </c>
      <c r="B1206" t="s">
        <v>1295</v>
      </c>
      <c r="C1206" t="s">
        <v>1299</v>
      </c>
      <c r="D1206" t="s">
        <v>50</v>
      </c>
      <c r="E1206" s="8" t="s">
        <v>253</v>
      </c>
      <c r="F1206">
        <v>0.218</v>
      </c>
      <c r="G1206" t="s">
        <v>78</v>
      </c>
      <c r="H1206" t="str">
        <f>VLOOKUP(Tabla3[[#This Row],[DESCRIPCION MATERIAL]],'CODIGO MAT'!$C$2:$D$390,2,FALSE)</f>
        <v>TEL0000181</v>
      </c>
      <c r="J1206">
        <v>1</v>
      </c>
      <c r="K1206">
        <v>0</v>
      </c>
    </row>
    <row r="1207" spans="1:11" x14ac:dyDescent="0.25">
      <c r="A1207" t="s">
        <v>1297</v>
      </c>
      <c r="B1207" t="s">
        <v>1295</v>
      </c>
      <c r="C1207" t="s">
        <v>1299</v>
      </c>
      <c r="D1207" t="s">
        <v>50</v>
      </c>
      <c r="E1207" s="8" t="s">
        <v>189</v>
      </c>
      <c r="F1207">
        <v>0.108</v>
      </c>
      <c r="G1207" t="s">
        <v>78</v>
      </c>
      <c r="H1207" t="str">
        <f>VLOOKUP(Tabla3[[#This Row],[DESCRIPCION MATERIAL]],'CODIGO MAT'!$C$2:$D$390,2,FALSE)</f>
        <v>TEL0000116</v>
      </c>
      <c r="J1207">
        <v>1</v>
      </c>
      <c r="K1207">
        <v>0</v>
      </c>
    </row>
    <row r="1208" spans="1:11" x14ac:dyDescent="0.25">
      <c r="A1208" t="s">
        <v>1297</v>
      </c>
      <c r="B1208" t="s">
        <v>1295</v>
      </c>
      <c r="C1208" t="s">
        <v>1299</v>
      </c>
      <c r="D1208" t="s">
        <v>50</v>
      </c>
      <c r="E1208" s="8" t="s">
        <v>237</v>
      </c>
      <c r="F1208">
        <v>2.5000000000000001E-2</v>
      </c>
      <c r="G1208" t="s">
        <v>78</v>
      </c>
      <c r="H1208" t="str">
        <f>VLOOKUP(Tabla3[[#This Row],[DESCRIPCION MATERIAL]],'CODIGO MAT'!$C$2:$D$390,2,FALSE)</f>
        <v>TEL0000165</v>
      </c>
      <c r="J1208">
        <v>1</v>
      </c>
      <c r="K1208">
        <v>0</v>
      </c>
    </row>
    <row r="1209" spans="1:11" x14ac:dyDescent="0.25">
      <c r="A1209" t="s">
        <v>1297</v>
      </c>
      <c r="B1209" t="s">
        <v>1295</v>
      </c>
      <c r="C1209" t="s">
        <v>1299</v>
      </c>
      <c r="D1209" t="s">
        <v>50</v>
      </c>
      <c r="E1209" s="8" t="s">
        <v>186</v>
      </c>
      <c r="F1209">
        <v>0.06</v>
      </c>
      <c r="G1209" t="s">
        <v>78</v>
      </c>
      <c r="H1209" t="str">
        <f>VLOOKUP(Tabla3[[#This Row],[DESCRIPCION MATERIAL]],'CODIGO MAT'!$C$2:$D$390,2,FALSE)</f>
        <v>TEL0000113</v>
      </c>
      <c r="J1209">
        <v>1</v>
      </c>
      <c r="K1209">
        <v>0</v>
      </c>
    </row>
    <row r="1210" spans="1:11" x14ac:dyDescent="0.25">
      <c r="A1210" t="s">
        <v>1297</v>
      </c>
      <c r="B1210" t="s">
        <v>1295</v>
      </c>
      <c r="C1210" t="s">
        <v>1299</v>
      </c>
      <c r="D1210" t="s">
        <v>50</v>
      </c>
      <c r="E1210" s="8" t="s">
        <v>246</v>
      </c>
      <c r="F1210">
        <v>4.3999999999999997E-2</v>
      </c>
      <c r="G1210" t="s">
        <v>78</v>
      </c>
      <c r="H1210" t="str">
        <f>VLOOKUP(Tabla3[[#This Row],[DESCRIPCION MATERIAL]],'CODIGO MAT'!$C$2:$D$390,2,FALSE)</f>
        <v>TEL0000174</v>
      </c>
      <c r="J1210">
        <v>1</v>
      </c>
      <c r="K1210">
        <v>0</v>
      </c>
    </row>
    <row r="1211" spans="1:11" x14ac:dyDescent="0.25">
      <c r="A1211" t="s">
        <v>1297</v>
      </c>
      <c r="B1211" t="s">
        <v>1295</v>
      </c>
      <c r="C1211" t="s">
        <v>1299</v>
      </c>
      <c r="D1211" t="s">
        <v>50</v>
      </c>
      <c r="E1211" s="8" t="s">
        <v>243</v>
      </c>
      <c r="F1211">
        <v>0</v>
      </c>
      <c r="G1211" t="s">
        <v>78</v>
      </c>
      <c r="H1211" t="str">
        <f>VLOOKUP(Tabla3[[#This Row],[DESCRIPCION MATERIAL]],'CODIGO MAT'!$C$2:$D$390,2,FALSE)</f>
        <v>TEL0000171</v>
      </c>
      <c r="J1211">
        <v>1</v>
      </c>
      <c r="K1211">
        <v>0</v>
      </c>
    </row>
    <row r="1212" spans="1:11" x14ac:dyDescent="0.25">
      <c r="A1212" t="s">
        <v>1297</v>
      </c>
      <c r="B1212" t="s">
        <v>1295</v>
      </c>
      <c r="C1212" t="s">
        <v>1299</v>
      </c>
      <c r="D1212" t="s">
        <v>50</v>
      </c>
      <c r="E1212" s="8" t="s">
        <v>165</v>
      </c>
      <c r="F1212">
        <v>0</v>
      </c>
      <c r="G1212" t="s">
        <v>78</v>
      </c>
      <c r="H1212" t="str">
        <f>VLOOKUP(Tabla3[[#This Row],[DESCRIPCION MATERIAL]],'CODIGO MAT'!$C$2:$D$390,2,FALSE)</f>
        <v>TEL0000092</v>
      </c>
      <c r="J1212">
        <v>1</v>
      </c>
      <c r="K1212">
        <v>0</v>
      </c>
    </row>
    <row r="1213" spans="1:11" x14ac:dyDescent="0.25">
      <c r="A1213" t="s">
        <v>1297</v>
      </c>
      <c r="B1213" t="s">
        <v>1295</v>
      </c>
      <c r="C1213" t="s">
        <v>1299</v>
      </c>
      <c r="D1213" t="s">
        <v>50</v>
      </c>
      <c r="E1213" s="8" t="s">
        <v>242</v>
      </c>
      <c r="F1213">
        <v>0.04</v>
      </c>
      <c r="G1213" t="s">
        <v>78</v>
      </c>
      <c r="H1213" t="str">
        <f>VLOOKUP(Tabla3[[#This Row],[DESCRIPCION MATERIAL]],'CODIGO MAT'!$C$2:$D$390,2,FALSE)</f>
        <v>TEL0000170</v>
      </c>
      <c r="J1213">
        <v>1</v>
      </c>
      <c r="K1213">
        <v>0</v>
      </c>
    </row>
    <row r="1214" spans="1:11" x14ac:dyDescent="0.25">
      <c r="A1214" t="s">
        <v>1297</v>
      </c>
      <c r="B1214" t="s">
        <v>1295</v>
      </c>
      <c r="C1214" t="s">
        <v>1299</v>
      </c>
      <c r="D1214" t="s">
        <v>51</v>
      </c>
      <c r="E1214" s="8" t="s">
        <v>407</v>
      </c>
      <c r="F1214">
        <v>0</v>
      </c>
      <c r="G1214" t="s">
        <v>410</v>
      </c>
      <c r="H1214" t="str">
        <f>VLOOKUP(Tabla3[[#This Row],[DESCRIPCION MATERIAL]],'CODIGO MAT'!$C$2:$D$390,2,FALSE)</f>
        <v>INS0000001</v>
      </c>
    </row>
    <row r="1215" spans="1:11" x14ac:dyDescent="0.25">
      <c r="A1215" t="s">
        <v>1297</v>
      </c>
      <c r="B1215" t="s">
        <v>1295</v>
      </c>
      <c r="C1215" t="s">
        <v>1299</v>
      </c>
      <c r="D1215" t="s">
        <v>51</v>
      </c>
      <c r="E1215" s="8" t="s">
        <v>1275</v>
      </c>
      <c r="F1215">
        <v>0</v>
      </c>
      <c r="G1215" t="s">
        <v>78</v>
      </c>
      <c r="H1215" t="e">
        <f>VLOOKUP(Tabla3[[#This Row],[DESCRIPCION MATERIAL]],'CODIGO MAT'!$C$2:$D$390,2,FALSE)</f>
        <v>#N/A</v>
      </c>
      <c r="I1215" s="64" t="s">
        <v>51</v>
      </c>
      <c r="J1215">
        <v>1</v>
      </c>
      <c r="K1215">
        <v>0</v>
      </c>
    </row>
    <row r="1216" spans="1:11" x14ac:dyDescent="0.25">
      <c r="A1216" t="s">
        <v>1297</v>
      </c>
      <c r="B1216" t="s">
        <v>1295</v>
      </c>
      <c r="C1216" t="s">
        <v>1299</v>
      </c>
      <c r="D1216" t="s">
        <v>51</v>
      </c>
      <c r="E1216" s="8" t="s">
        <v>1300</v>
      </c>
      <c r="F1216">
        <v>1</v>
      </c>
      <c r="G1216" t="s">
        <v>396</v>
      </c>
      <c r="H1216" t="e">
        <f>VLOOKUP(Tabla3[[#This Row],[DESCRIPCION MATERIAL]],'CODIGO MAT'!$C$2:$D$390,2,FALSE)</f>
        <v>#N/A</v>
      </c>
      <c r="I1216" s="64" t="s">
        <v>51</v>
      </c>
      <c r="J1216">
        <v>1</v>
      </c>
      <c r="K1216">
        <v>0</v>
      </c>
    </row>
    <row r="1217" spans="1:11" x14ac:dyDescent="0.25">
      <c r="A1217" t="s">
        <v>1298</v>
      </c>
      <c r="B1217" t="s">
        <v>1295</v>
      </c>
      <c r="C1217" t="s">
        <v>1302</v>
      </c>
      <c r="D1217" t="s">
        <v>50</v>
      </c>
      <c r="E1217" s="8" t="s">
        <v>87</v>
      </c>
      <c r="F1217">
        <v>0.28000000000000003</v>
      </c>
      <c r="G1217" t="s">
        <v>78</v>
      </c>
      <c r="H1217" t="str">
        <f>VLOOKUP(Tabla3[[#This Row],[DESCRIPCION MATERIAL]],'CODIGO MAT'!$C$2:$D$390,2,FALSE)</f>
        <v>TEL0000010</v>
      </c>
      <c r="J1217">
        <v>1</v>
      </c>
      <c r="K1217">
        <v>0</v>
      </c>
    </row>
    <row r="1218" spans="1:11" x14ac:dyDescent="0.25">
      <c r="A1218" t="s">
        <v>1298</v>
      </c>
      <c r="B1218" t="s">
        <v>1295</v>
      </c>
      <c r="C1218" t="s">
        <v>1302</v>
      </c>
      <c r="D1218" t="s">
        <v>50</v>
      </c>
      <c r="E1218" s="8" t="s">
        <v>89</v>
      </c>
      <c r="F1218">
        <v>0.78</v>
      </c>
      <c r="G1218" t="s">
        <v>78</v>
      </c>
      <c r="H1218" t="str">
        <f>VLOOKUP(Tabla3[[#This Row],[DESCRIPCION MATERIAL]],'CODIGO MAT'!$C$2:$D$390,2,FALSE)</f>
        <v>TEL0000012</v>
      </c>
      <c r="J1218">
        <v>1</v>
      </c>
      <c r="K1218">
        <v>0</v>
      </c>
    </row>
    <row r="1219" spans="1:11" x14ac:dyDescent="0.25">
      <c r="A1219" t="s">
        <v>1298</v>
      </c>
      <c r="B1219" t="s">
        <v>1295</v>
      </c>
      <c r="C1219" t="s">
        <v>1302</v>
      </c>
      <c r="D1219" t="s">
        <v>50</v>
      </c>
      <c r="E1219" s="8" t="s">
        <v>106</v>
      </c>
      <c r="F1219">
        <v>0.14699999999999999</v>
      </c>
      <c r="G1219" t="s">
        <v>78</v>
      </c>
      <c r="H1219" t="str">
        <f>VLOOKUP(Tabla3[[#This Row],[DESCRIPCION MATERIAL]],'CODIGO MAT'!$C$2:$D$390,2,FALSE)</f>
        <v>TEL0000029</v>
      </c>
      <c r="J1219">
        <v>1</v>
      </c>
      <c r="K1219">
        <v>0</v>
      </c>
    </row>
    <row r="1220" spans="1:11" x14ac:dyDescent="0.25">
      <c r="A1220" t="s">
        <v>1298</v>
      </c>
      <c r="B1220" t="s">
        <v>1295</v>
      </c>
      <c r="C1220" t="s">
        <v>1302</v>
      </c>
      <c r="D1220" t="s">
        <v>50</v>
      </c>
      <c r="E1220" s="8" t="s">
        <v>253</v>
      </c>
      <c r="F1220">
        <v>0.218</v>
      </c>
      <c r="G1220" t="s">
        <v>78</v>
      </c>
      <c r="H1220" t="str">
        <f>VLOOKUP(Tabla3[[#This Row],[DESCRIPCION MATERIAL]],'CODIGO MAT'!$C$2:$D$390,2,FALSE)</f>
        <v>TEL0000181</v>
      </c>
      <c r="J1220">
        <v>1</v>
      </c>
      <c r="K1220">
        <v>0</v>
      </c>
    </row>
    <row r="1221" spans="1:11" x14ac:dyDescent="0.25">
      <c r="A1221" t="s">
        <v>1298</v>
      </c>
      <c r="B1221" t="s">
        <v>1295</v>
      </c>
      <c r="C1221" t="s">
        <v>1302</v>
      </c>
      <c r="D1221" t="s">
        <v>50</v>
      </c>
      <c r="E1221" s="8" t="s">
        <v>227</v>
      </c>
      <c r="F1221">
        <v>0.128</v>
      </c>
      <c r="G1221" t="s">
        <v>78</v>
      </c>
      <c r="H1221" t="str">
        <f>VLOOKUP(Tabla3[[#This Row],[DESCRIPCION MATERIAL]],'CODIGO MAT'!$C$2:$D$390,2,FALSE)</f>
        <v>TEL0000155</v>
      </c>
      <c r="J1221">
        <v>1</v>
      </c>
      <c r="K1221">
        <v>0</v>
      </c>
    </row>
    <row r="1222" spans="1:11" x14ac:dyDescent="0.25">
      <c r="A1222" t="s">
        <v>1298</v>
      </c>
      <c r="B1222" t="s">
        <v>1295</v>
      </c>
      <c r="C1222" t="s">
        <v>1302</v>
      </c>
      <c r="D1222" t="s">
        <v>50</v>
      </c>
      <c r="E1222" s="8" t="s">
        <v>1286</v>
      </c>
      <c r="F1222">
        <v>1.6E-2</v>
      </c>
      <c r="G1222" t="s">
        <v>78</v>
      </c>
      <c r="H1222" t="e">
        <f>VLOOKUP(Tabla3[[#This Row],[DESCRIPCION MATERIAL]],'CODIGO MAT'!$C$2:$D$390,2,FALSE)</f>
        <v>#N/A</v>
      </c>
      <c r="I1222" s="64" t="s">
        <v>50</v>
      </c>
      <c r="J1222">
        <v>1</v>
      </c>
      <c r="K1222">
        <v>0</v>
      </c>
    </row>
    <row r="1223" spans="1:11" x14ac:dyDescent="0.25">
      <c r="A1223" t="s">
        <v>1298</v>
      </c>
      <c r="B1223" t="s">
        <v>1295</v>
      </c>
      <c r="C1223" t="s">
        <v>1302</v>
      </c>
      <c r="D1223" t="s">
        <v>50</v>
      </c>
      <c r="E1223" s="8" t="s">
        <v>103</v>
      </c>
      <c r="F1223">
        <v>0.16300000000000001</v>
      </c>
      <c r="G1223" t="s">
        <v>78</v>
      </c>
      <c r="H1223" t="str">
        <f>VLOOKUP(Tabla3[[#This Row],[DESCRIPCION MATERIAL]],'CODIGO MAT'!$C$2:$D$390,2,FALSE)</f>
        <v>TEL0000026</v>
      </c>
      <c r="J1223">
        <v>1</v>
      </c>
      <c r="K1223">
        <v>0</v>
      </c>
    </row>
    <row r="1224" spans="1:11" x14ac:dyDescent="0.25">
      <c r="A1224" t="s">
        <v>1298</v>
      </c>
      <c r="B1224" t="s">
        <v>1295</v>
      </c>
      <c r="C1224" t="s">
        <v>1302</v>
      </c>
      <c r="D1224" t="s">
        <v>51</v>
      </c>
      <c r="E1224" s="8" t="s">
        <v>370</v>
      </c>
      <c r="F1224">
        <v>1</v>
      </c>
      <c r="G1224" t="s">
        <v>396</v>
      </c>
      <c r="H1224" t="str">
        <f>VLOOKUP(Tabla3[[#This Row],[DESCRIPCION MATERIAL]],'CODIGO MAT'!$C$2:$D$390,2,FALSE)</f>
        <v>AVI0000107</v>
      </c>
      <c r="J1224">
        <v>1</v>
      </c>
      <c r="K1224">
        <v>0</v>
      </c>
    </row>
    <row r="1225" spans="1:11" x14ac:dyDescent="0.25">
      <c r="A1225" t="s">
        <v>1298</v>
      </c>
      <c r="B1225" t="s">
        <v>1295</v>
      </c>
      <c r="C1225" t="s">
        <v>1302</v>
      </c>
      <c r="D1225" t="s">
        <v>50</v>
      </c>
      <c r="E1225" s="8" t="s">
        <v>236</v>
      </c>
      <c r="F1225">
        <v>4.4999999999999998E-2</v>
      </c>
      <c r="G1225" t="s">
        <v>78</v>
      </c>
      <c r="H1225" t="str">
        <f>VLOOKUP(Tabla3[[#This Row],[DESCRIPCION MATERIAL]],'CODIGO MAT'!$C$2:$D$390,2,FALSE)</f>
        <v>TEL0000164</v>
      </c>
      <c r="J1225">
        <v>1</v>
      </c>
      <c r="K1225">
        <v>0</v>
      </c>
    </row>
    <row r="1226" spans="1:11" x14ac:dyDescent="0.25">
      <c r="A1226" t="s">
        <v>1298</v>
      </c>
      <c r="B1226" t="s">
        <v>1295</v>
      </c>
      <c r="C1226" t="s">
        <v>1302</v>
      </c>
      <c r="D1226" t="s">
        <v>51</v>
      </c>
      <c r="E1226" s="8" t="s">
        <v>425</v>
      </c>
      <c r="F1226">
        <v>0</v>
      </c>
      <c r="G1226" t="s">
        <v>410</v>
      </c>
      <c r="H1226" t="str">
        <f>VLOOKUP(Tabla3[[#This Row],[DESCRIPCION MATERIAL]],'CODIGO MAT'!$C$2:$D$390,2,FALSE)</f>
        <v>INS0000015</v>
      </c>
    </row>
    <row r="1227" spans="1:11" x14ac:dyDescent="0.25">
      <c r="A1227" t="s">
        <v>1298</v>
      </c>
      <c r="B1227" t="s">
        <v>1295</v>
      </c>
      <c r="C1227" t="s">
        <v>1302</v>
      </c>
      <c r="D1227" t="s">
        <v>51</v>
      </c>
      <c r="E1227" s="8" t="s">
        <v>419</v>
      </c>
      <c r="F1227">
        <v>0</v>
      </c>
      <c r="G1227" t="s">
        <v>410</v>
      </c>
      <c r="H1227" t="str">
        <f>VLOOKUP(Tabla3[[#This Row],[DESCRIPCION MATERIAL]],'CODIGO MAT'!$C$2:$D$390,2,FALSE)</f>
        <v>INS0000009</v>
      </c>
    </row>
    <row r="1228" spans="1:11" x14ac:dyDescent="0.25">
      <c r="A1228" t="s">
        <v>1298</v>
      </c>
      <c r="B1228" t="s">
        <v>1295</v>
      </c>
      <c r="C1228" t="s">
        <v>1302</v>
      </c>
      <c r="D1228" t="s">
        <v>50</v>
      </c>
      <c r="E1228" s="8" t="s">
        <v>164</v>
      </c>
      <c r="F1228">
        <v>1.2999999999999999E-2</v>
      </c>
      <c r="G1228" t="s">
        <v>78</v>
      </c>
      <c r="H1228" t="str">
        <f>VLOOKUP(Tabla3[[#This Row],[DESCRIPCION MATERIAL]],'CODIGO MAT'!$C$2:$D$390,2,FALSE)</f>
        <v>TEL0000091</v>
      </c>
      <c r="J1228">
        <v>1</v>
      </c>
      <c r="K1228">
        <v>0</v>
      </c>
    </row>
    <row r="1229" spans="1:11" x14ac:dyDescent="0.25">
      <c r="A1229" t="s">
        <v>1298</v>
      </c>
      <c r="B1229" t="s">
        <v>1295</v>
      </c>
      <c r="C1229" t="s">
        <v>1302</v>
      </c>
      <c r="D1229" t="s">
        <v>51</v>
      </c>
      <c r="E1229" s="8" t="s">
        <v>1272</v>
      </c>
      <c r="F1229">
        <v>0.71</v>
      </c>
      <c r="G1229" t="s">
        <v>78</v>
      </c>
      <c r="H1229" t="e">
        <f>VLOOKUP(Tabla3[[#This Row],[DESCRIPCION MATERIAL]],'CODIGO MAT'!$C$2:$D$390,2,FALSE)</f>
        <v>#N/A</v>
      </c>
      <c r="I1229" s="64" t="s">
        <v>51</v>
      </c>
      <c r="J1229">
        <v>1</v>
      </c>
      <c r="K1229">
        <v>0</v>
      </c>
    </row>
    <row r="1230" spans="1:11" x14ac:dyDescent="0.25">
      <c r="A1230" t="s">
        <v>1301</v>
      </c>
      <c r="B1230" t="s">
        <v>1295</v>
      </c>
      <c r="C1230" t="s">
        <v>1303</v>
      </c>
      <c r="D1230" t="s">
        <v>50</v>
      </c>
      <c r="E1230" s="8" t="s">
        <v>90</v>
      </c>
      <c r="F1230">
        <v>0.97</v>
      </c>
      <c r="G1230" t="s">
        <v>78</v>
      </c>
      <c r="H1230" t="str">
        <f>VLOOKUP(Tabla3[[#This Row],[DESCRIPCION MATERIAL]],'CODIGO MAT'!$C$2:$D$390,2,FALSE)</f>
        <v>TEL0000013</v>
      </c>
      <c r="J1230">
        <v>1</v>
      </c>
      <c r="K1230">
        <v>0</v>
      </c>
    </row>
    <row r="1231" spans="1:11" x14ac:dyDescent="0.25">
      <c r="A1231" t="s">
        <v>1301</v>
      </c>
      <c r="B1231" t="s">
        <v>1295</v>
      </c>
      <c r="C1231" t="s">
        <v>1303</v>
      </c>
      <c r="D1231" t="s">
        <v>50</v>
      </c>
      <c r="E1231" s="8" t="s">
        <v>103</v>
      </c>
      <c r="F1231">
        <v>0.189</v>
      </c>
      <c r="G1231" t="s">
        <v>78</v>
      </c>
      <c r="H1231" t="str">
        <f>VLOOKUP(Tabla3[[#This Row],[DESCRIPCION MATERIAL]],'CODIGO MAT'!$C$2:$D$390,2,FALSE)</f>
        <v>TEL0000026</v>
      </c>
      <c r="J1231">
        <v>1</v>
      </c>
      <c r="K1231">
        <v>0</v>
      </c>
    </row>
    <row r="1232" spans="1:11" x14ac:dyDescent="0.25">
      <c r="A1232" t="s">
        <v>1301</v>
      </c>
      <c r="B1232" t="s">
        <v>1295</v>
      </c>
      <c r="C1232" t="s">
        <v>1303</v>
      </c>
      <c r="D1232" t="s">
        <v>50</v>
      </c>
      <c r="E1232" s="8" t="s">
        <v>1232</v>
      </c>
      <c r="F1232">
        <v>0.432</v>
      </c>
      <c r="G1232" t="s">
        <v>78</v>
      </c>
      <c r="H1232" t="e">
        <f>VLOOKUP(Tabla3[[#This Row],[DESCRIPCION MATERIAL]],'CODIGO MAT'!$C$2:$D$390,2,FALSE)</f>
        <v>#N/A</v>
      </c>
      <c r="I1232" s="64" t="s">
        <v>50</v>
      </c>
      <c r="J1232">
        <v>1</v>
      </c>
      <c r="K1232">
        <v>0</v>
      </c>
    </row>
    <row r="1233" spans="1:11" x14ac:dyDescent="0.25">
      <c r="A1233" t="s">
        <v>1301</v>
      </c>
      <c r="B1233" t="s">
        <v>1295</v>
      </c>
      <c r="C1233" t="s">
        <v>1303</v>
      </c>
      <c r="D1233" t="s">
        <v>50</v>
      </c>
      <c r="E1233" s="8" t="s">
        <v>253</v>
      </c>
      <c r="F1233">
        <v>0.218</v>
      </c>
      <c r="G1233" t="s">
        <v>78</v>
      </c>
      <c r="H1233" t="str">
        <f>VLOOKUP(Tabla3[[#This Row],[DESCRIPCION MATERIAL]],'CODIGO MAT'!$C$2:$D$390,2,FALSE)</f>
        <v>TEL0000181</v>
      </c>
      <c r="J1233">
        <v>1</v>
      </c>
      <c r="K1233">
        <v>0</v>
      </c>
    </row>
    <row r="1234" spans="1:11" x14ac:dyDescent="0.25">
      <c r="A1234" t="s">
        <v>1301</v>
      </c>
      <c r="B1234" t="s">
        <v>1295</v>
      </c>
      <c r="C1234" t="s">
        <v>1303</v>
      </c>
      <c r="D1234" t="s">
        <v>50</v>
      </c>
      <c r="E1234" s="8" t="s">
        <v>162</v>
      </c>
      <c r="F1234">
        <v>0</v>
      </c>
      <c r="G1234" t="s">
        <v>78</v>
      </c>
      <c r="H1234" t="str">
        <f>VLOOKUP(Tabla3[[#This Row],[DESCRIPCION MATERIAL]],'CODIGO MAT'!$C$2:$D$390,2,FALSE)</f>
        <v>TEL0000089</v>
      </c>
      <c r="J1234">
        <v>1</v>
      </c>
      <c r="K1234">
        <v>0</v>
      </c>
    </row>
    <row r="1235" spans="1:11" x14ac:dyDescent="0.25">
      <c r="A1235" t="s">
        <v>1301</v>
      </c>
      <c r="B1235" t="s">
        <v>1295</v>
      </c>
      <c r="C1235" t="s">
        <v>1303</v>
      </c>
      <c r="D1235" t="s">
        <v>50</v>
      </c>
      <c r="E1235" s="8" t="s">
        <v>106</v>
      </c>
      <c r="F1235">
        <v>0.14699999999999999</v>
      </c>
      <c r="G1235" t="s">
        <v>78</v>
      </c>
      <c r="H1235" t="str">
        <f>VLOOKUP(Tabla3[[#This Row],[DESCRIPCION MATERIAL]],'CODIGO MAT'!$C$2:$D$390,2,FALSE)</f>
        <v>TEL0000029</v>
      </c>
      <c r="J1235">
        <v>1</v>
      </c>
      <c r="K1235">
        <v>0</v>
      </c>
    </row>
    <row r="1236" spans="1:11" x14ac:dyDescent="0.25">
      <c r="A1236" t="s">
        <v>1301</v>
      </c>
      <c r="B1236" t="s">
        <v>1295</v>
      </c>
      <c r="C1236" t="s">
        <v>1303</v>
      </c>
      <c r="D1236" t="s">
        <v>50</v>
      </c>
      <c r="E1236" s="8" t="s">
        <v>165</v>
      </c>
      <c r="F1236">
        <v>0</v>
      </c>
      <c r="G1236" t="s">
        <v>78</v>
      </c>
      <c r="H1236" t="str">
        <f>VLOOKUP(Tabla3[[#This Row],[DESCRIPCION MATERIAL]],'CODIGO MAT'!$C$2:$D$390,2,FALSE)</f>
        <v>TEL0000092</v>
      </c>
      <c r="J1236">
        <v>1</v>
      </c>
      <c r="K1236">
        <v>0</v>
      </c>
    </row>
    <row r="1237" spans="1:11" x14ac:dyDescent="0.25">
      <c r="A1237" t="s">
        <v>1301</v>
      </c>
      <c r="B1237" t="s">
        <v>1295</v>
      </c>
      <c r="C1237" t="s">
        <v>1303</v>
      </c>
      <c r="D1237" t="s">
        <v>50</v>
      </c>
      <c r="E1237" s="8" t="s">
        <v>243</v>
      </c>
      <c r="F1237">
        <v>2.5999999999999999E-2</v>
      </c>
      <c r="G1237" t="s">
        <v>78</v>
      </c>
      <c r="H1237" t="str">
        <f>VLOOKUP(Tabla3[[#This Row],[DESCRIPCION MATERIAL]],'CODIGO MAT'!$C$2:$D$390,2,FALSE)</f>
        <v>TEL0000171</v>
      </c>
      <c r="J1237">
        <v>1</v>
      </c>
      <c r="K1237">
        <v>0</v>
      </c>
    </row>
    <row r="1238" spans="1:11" x14ac:dyDescent="0.25">
      <c r="A1238" t="s">
        <v>1301</v>
      </c>
      <c r="B1238" t="s">
        <v>1295</v>
      </c>
      <c r="C1238" t="s">
        <v>1303</v>
      </c>
      <c r="D1238" t="s">
        <v>51</v>
      </c>
      <c r="E1238" s="8" t="s">
        <v>369</v>
      </c>
      <c r="F1238">
        <v>1</v>
      </c>
      <c r="G1238" t="s">
        <v>396</v>
      </c>
      <c r="H1238" t="str">
        <f>VLOOKUP(Tabla3[[#This Row],[DESCRIPCION MATERIAL]],'CODIGO MAT'!$C$2:$D$390,2,FALSE)</f>
        <v>AVI0000106</v>
      </c>
      <c r="J1238">
        <v>1</v>
      </c>
      <c r="K1238">
        <v>0</v>
      </c>
    </row>
    <row r="1239" spans="1:11" x14ac:dyDescent="0.25">
      <c r="A1239" t="s">
        <v>1301</v>
      </c>
      <c r="B1239" t="s">
        <v>1295</v>
      </c>
      <c r="C1239" t="s">
        <v>1303</v>
      </c>
      <c r="D1239" t="s">
        <v>51</v>
      </c>
      <c r="E1239" s="8" t="s">
        <v>363</v>
      </c>
      <c r="F1239">
        <v>0.4</v>
      </c>
      <c r="G1239" t="s">
        <v>78</v>
      </c>
      <c r="H1239" t="str">
        <f>VLOOKUP(Tabla3[[#This Row],[DESCRIPCION MATERIAL]],'CODIGO MAT'!$C$2:$D$390,2,FALSE)</f>
        <v>AVI0000101</v>
      </c>
      <c r="J1239">
        <v>1</v>
      </c>
      <c r="K1239">
        <v>0</v>
      </c>
    </row>
    <row r="1240" spans="1:11" x14ac:dyDescent="0.25">
      <c r="A1240" t="s">
        <v>1301</v>
      </c>
      <c r="B1240" t="s">
        <v>1295</v>
      </c>
      <c r="C1240" t="s">
        <v>1303</v>
      </c>
      <c r="D1240" t="s">
        <v>51</v>
      </c>
      <c r="E1240" s="8" t="s">
        <v>431</v>
      </c>
      <c r="F1240">
        <v>0</v>
      </c>
      <c r="G1240" t="s">
        <v>78</v>
      </c>
      <c r="H1240" t="str">
        <f>VLOOKUP(Tabla3[[#This Row],[DESCRIPCION MATERIAL]],'CODIGO MAT'!$C$2:$D$390,2,FALSE)</f>
        <v>AVI0000143</v>
      </c>
      <c r="J1240">
        <v>1</v>
      </c>
      <c r="K1240">
        <v>0</v>
      </c>
    </row>
    <row r="1241" spans="1:11" x14ac:dyDescent="0.25">
      <c r="A1241" t="s">
        <v>1304</v>
      </c>
      <c r="B1241" t="s">
        <v>1295</v>
      </c>
      <c r="C1241" t="s">
        <v>1305</v>
      </c>
      <c r="D1241" t="s">
        <v>50</v>
      </c>
      <c r="E1241" s="8" t="s">
        <v>92</v>
      </c>
      <c r="F1241">
        <v>0.158</v>
      </c>
      <c r="G1241" t="s">
        <v>78</v>
      </c>
      <c r="H1241" t="str">
        <f>VLOOKUP(Tabla3[[#This Row],[DESCRIPCION MATERIAL]],'CODIGO MAT'!$C$2:$D$390,2,FALSE)</f>
        <v>TEL0000015</v>
      </c>
      <c r="J1241">
        <v>1</v>
      </c>
      <c r="K1241">
        <v>0</v>
      </c>
    </row>
    <row r="1242" spans="1:11" x14ac:dyDescent="0.25">
      <c r="A1242" t="s">
        <v>1304</v>
      </c>
      <c r="B1242" t="s">
        <v>1295</v>
      </c>
      <c r="C1242" t="s">
        <v>1305</v>
      </c>
      <c r="D1242" t="s">
        <v>50</v>
      </c>
      <c r="E1242" s="8" t="s">
        <v>91</v>
      </c>
      <c r="F1242">
        <v>0.97</v>
      </c>
      <c r="G1242" t="s">
        <v>78</v>
      </c>
      <c r="H1242" t="str">
        <f>VLOOKUP(Tabla3[[#This Row],[DESCRIPCION MATERIAL]],'CODIGO MAT'!$C$2:$D$390,2,FALSE)</f>
        <v>TEL0000014</v>
      </c>
      <c r="J1242">
        <v>1</v>
      </c>
      <c r="K1242">
        <v>0</v>
      </c>
    </row>
    <row r="1243" spans="1:11" x14ac:dyDescent="0.25">
      <c r="A1243" t="s">
        <v>1304</v>
      </c>
      <c r="B1243" t="s">
        <v>1295</v>
      </c>
      <c r="C1243" t="s">
        <v>1305</v>
      </c>
      <c r="D1243" t="s">
        <v>50</v>
      </c>
      <c r="E1243" s="8" t="s">
        <v>104</v>
      </c>
      <c r="F1243">
        <v>0.189</v>
      </c>
      <c r="G1243" t="s">
        <v>78</v>
      </c>
      <c r="H1243" t="str">
        <f>VLOOKUP(Tabla3[[#This Row],[DESCRIPCION MATERIAL]],'CODIGO MAT'!$C$2:$D$390,2,FALSE)</f>
        <v>TEL0000027</v>
      </c>
      <c r="J1243">
        <v>1</v>
      </c>
      <c r="K1243">
        <v>0</v>
      </c>
    </row>
    <row r="1244" spans="1:11" x14ac:dyDescent="0.25">
      <c r="A1244" t="s">
        <v>1304</v>
      </c>
      <c r="B1244" t="s">
        <v>1295</v>
      </c>
      <c r="C1244" t="s">
        <v>1305</v>
      </c>
      <c r="D1244" t="s">
        <v>50</v>
      </c>
      <c r="E1244" s="8" t="s">
        <v>1244</v>
      </c>
      <c r="F1244">
        <v>0.432</v>
      </c>
      <c r="G1244" t="s">
        <v>78</v>
      </c>
      <c r="H1244" t="e">
        <f>VLOOKUP(Tabla3[[#This Row],[DESCRIPCION MATERIAL]],'CODIGO MAT'!$C$2:$D$390,2,FALSE)</f>
        <v>#N/A</v>
      </c>
      <c r="I1244" s="64" t="s">
        <v>50</v>
      </c>
      <c r="J1244">
        <v>1</v>
      </c>
      <c r="K1244">
        <v>0</v>
      </c>
    </row>
    <row r="1245" spans="1:11" x14ac:dyDescent="0.25">
      <c r="A1245" t="s">
        <v>1304</v>
      </c>
      <c r="B1245" t="s">
        <v>1295</v>
      </c>
      <c r="C1245" t="s">
        <v>1305</v>
      </c>
      <c r="D1245" t="s">
        <v>50</v>
      </c>
      <c r="E1245" s="8" t="s">
        <v>192</v>
      </c>
      <c r="F1245">
        <v>0.128</v>
      </c>
      <c r="G1245" t="s">
        <v>78</v>
      </c>
      <c r="H1245" t="str">
        <f>VLOOKUP(Tabla3[[#This Row],[DESCRIPCION MATERIAL]],'CODIGO MAT'!$C$2:$D$390,2,FALSE)</f>
        <v>TEL0000119</v>
      </c>
      <c r="J1245">
        <v>1</v>
      </c>
      <c r="K1245">
        <v>0</v>
      </c>
    </row>
    <row r="1246" spans="1:11" x14ac:dyDescent="0.25">
      <c r="A1246" t="s">
        <v>1304</v>
      </c>
      <c r="B1246" t="s">
        <v>1295</v>
      </c>
      <c r="C1246" t="s">
        <v>1305</v>
      </c>
      <c r="D1246" t="s">
        <v>50</v>
      </c>
      <c r="E1246" s="8" t="s">
        <v>106</v>
      </c>
      <c r="F1246">
        <v>0.14699999999999999</v>
      </c>
      <c r="G1246" t="s">
        <v>78</v>
      </c>
      <c r="H1246" t="str">
        <f>VLOOKUP(Tabla3[[#This Row],[DESCRIPCION MATERIAL]],'CODIGO MAT'!$C$2:$D$390,2,FALSE)</f>
        <v>TEL0000029</v>
      </c>
      <c r="J1246">
        <v>1</v>
      </c>
      <c r="K1246">
        <v>0</v>
      </c>
    </row>
    <row r="1247" spans="1:11" x14ac:dyDescent="0.25">
      <c r="A1247" t="s">
        <v>1304</v>
      </c>
      <c r="B1247" t="s">
        <v>1295</v>
      </c>
      <c r="C1247" t="s">
        <v>1305</v>
      </c>
      <c r="D1247" t="s">
        <v>50</v>
      </c>
      <c r="E1247" s="8" t="s">
        <v>1306</v>
      </c>
      <c r="F1247">
        <v>2.5000000000000001E-2</v>
      </c>
      <c r="G1247" t="s">
        <v>78</v>
      </c>
      <c r="H1247" t="e">
        <f>VLOOKUP(Tabla3[[#This Row],[DESCRIPCION MATERIAL]],'CODIGO MAT'!$C$2:$D$390,2,FALSE)</f>
        <v>#N/A</v>
      </c>
      <c r="I1247" s="64" t="s">
        <v>50</v>
      </c>
      <c r="J1247">
        <v>1</v>
      </c>
      <c r="K1247">
        <v>0</v>
      </c>
    </row>
    <row r="1248" spans="1:11" x14ac:dyDescent="0.25">
      <c r="A1248" t="s">
        <v>1304</v>
      </c>
      <c r="B1248" t="s">
        <v>1295</v>
      </c>
      <c r="C1248" t="s">
        <v>1305</v>
      </c>
      <c r="D1248" t="s">
        <v>50</v>
      </c>
      <c r="E1248" s="8" t="s">
        <v>253</v>
      </c>
      <c r="F1248">
        <v>0.218</v>
      </c>
      <c r="G1248" t="s">
        <v>78</v>
      </c>
      <c r="H1248" t="str">
        <f>VLOOKUP(Tabla3[[#This Row],[DESCRIPCION MATERIAL]],'CODIGO MAT'!$C$2:$D$390,2,FALSE)</f>
        <v>TEL0000181</v>
      </c>
      <c r="J1248">
        <v>1</v>
      </c>
      <c r="K1248">
        <v>0</v>
      </c>
    </row>
    <row r="1249" spans="1:11" x14ac:dyDescent="0.25">
      <c r="A1249" t="s">
        <v>1304</v>
      </c>
      <c r="B1249" t="s">
        <v>1295</v>
      </c>
      <c r="C1249" t="s">
        <v>1305</v>
      </c>
      <c r="D1249" t="s">
        <v>50</v>
      </c>
      <c r="E1249" s="8" t="s">
        <v>244</v>
      </c>
      <c r="F1249">
        <v>3.7999999999999999E-2</v>
      </c>
      <c r="G1249" t="s">
        <v>78</v>
      </c>
      <c r="H1249" t="str">
        <f>VLOOKUP(Tabla3[[#This Row],[DESCRIPCION MATERIAL]],'CODIGO MAT'!$C$2:$D$390,2,FALSE)</f>
        <v>TEL0000172</v>
      </c>
      <c r="J1249">
        <v>1</v>
      </c>
      <c r="K1249">
        <v>0</v>
      </c>
    </row>
    <row r="1250" spans="1:11" x14ac:dyDescent="0.25">
      <c r="A1250" t="s">
        <v>1304</v>
      </c>
      <c r="B1250" t="s">
        <v>1295</v>
      </c>
      <c r="C1250" t="s">
        <v>1305</v>
      </c>
      <c r="D1250" t="s">
        <v>51</v>
      </c>
      <c r="E1250" s="8" t="s">
        <v>371</v>
      </c>
      <c r="F1250">
        <v>1</v>
      </c>
      <c r="G1250" t="s">
        <v>396</v>
      </c>
      <c r="H1250" t="str">
        <f>VLOOKUP(Tabla3[[#This Row],[DESCRIPCION MATERIAL]],'CODIGO MAT'!$C$2:$D$390,2,FALSE)</f>
        <v>AVI0000108</v>
      </c>
      <c r="J1250">
        <v>1</v>
      </c>
      <c r="K1250">
        <v>0</v>
      </c>
    </row>
    <row r="1251" spans="1:11" x14ac:dyDescent="0.25">
      <c r="A1251" t="s">
        <v>1304</v>
      </c>
      <c r="B1251" t="s">
        <v>1295</v>
      </c>
      <c r="C1251" t="s">
        <v>1305</v>
      </c>
      <c r="D1251" t="s">
        <v>51</v>
      </c>
      <c r="E1251" s="8" t="s">
        <v>315</v>
      </c>
      <c r="F1251">
        <v>0.15</v>
      </c>
      <c r="G1251" t="s">
        <v>78</v>
      </c>
      <c r="H1251" t="str">
        <f>VLOOKUP(Tabla3[[#This Row],[DESCRIPCION MATERIAL]],'CODIGO MAT'!$C$2:$D$390,2,FALSE)</f>
        <v>AVI0000055</v>
      </c>
      <c r="J1251">
        <v>1</v>
      </c>
      <c r="K1251">
        <v>0</v>
      </c>
    </row>
    <row r="1252" spans="1:11" x14ac:dyDescent="0.25">
      <c r="A1252" t="s">
        <v>1304</v>
      </c>
      <c r="B1252" t="s">
        <v>1295</v>
      </c>
      <c r="C1252" t="s">
        <v>1305</v>
      </c>
      <c r="D1252" t="s">
        <v>50</v>
      </c>
      <c r="E1252" s="8" t="s">
        <v>100</v>
      </c>
      <c r="F1252">
        <v>2.8000000000000001E-2</v>
      </c>
      <c r="G1252" t="s">
        <v>78</v>
      </c>
      <c r="H1252" t="str">
        <f>VLOOKUP(Tabla3[[#This Row],[DESCRIPCION MATERIAL]],'CODIGO MAT'!$C$2:$D$390,2,FALSE)</f>
        <v>TEL0000023</v>
      </c>
      <c r="J1252">
        <v>1</v>
      </c>
      <c r="K1252">
        <v>0</v>
      </c>
    </row>
    <row r="1253" spans="1:11" x14ac:dyDescent="0.25">
      <c r="A1253" t="s">
        <v>1304</v>
      </c>
      <c r="B1253" t="s">
        <v>1295</v>
      </c>
      <c r="C1253" t="s">
        <v>1305</v>
      </c>
      <c r="D1253" t="s">
        <v>50</v>
      </c>
      <c r="E1253" s="8" t="s">
        <v>162</v>
      </c>
      <c r="F1253">
        <v>0</v>
      </c>
      <c r="G1253" t="s">
        <v>78</v>
      </c>
      <c r="H1253" t="str">
        <f>VLOOKUP(Tabla3[[#This Row],[DESCRIPCION MATERIAL]],'CODIGO MAT'!$C$2:$D$390,2,FALSE)</f>
        <v>TEL0000089</v>
      </c>
      <c r="J1253">
        <v>1</v>
      </c>
      <c r="K1253">
        <v>0</v>
      </c>
    </row>
    <row r="1254" spans="1:11" x14ac:dyDescent="0.25">
      <c r="A1254" t="s">
        <v>1307</v>
      </c>
      <c r="B1254" t="s">
        <v>1295</v>
      </c>
      <c r="C1254" t="s">
        <v>1308</v>
      </c>
      <c r="D1254" t="s">
        <v>50</v>
      </c>
      <c r="E1254" s="8" t="s">
        <v>87</v>
      </c>
      <c r="F1254">
        <v>1.05</v>
      </c>
      <c r="G1254" t="s">
        <v>78</v>
      </c>
      <c r="H1254" t="str">
        <f>VLOOKUP(Tabla3[[#This Row],[DESCRIPCION MATERIAL]],'CODIGO MAT'!$C$2:$D$390,2,FALSE)</f>
        <v>TEL0000010</v>
      </c>
      <c r="J1254">
        <v>1</v>
      </c>
      <c r="K1254">
        <v>0</v>
      </c>
    </row>
    <row r="1255" spans="1:11" x14ac:dyDescent="0.25">
      <c r="A1255" t="s">
        <v>1307</v>
      </c>
      <c r="B1255" t="s">
        <v>1295</v>
      </c>
      <c r="C1255" t="s">
        <v>1308</v>
      </c>
      <c r="D1255" t="s">
        <v>50</v>
      </c>
      <c r="E1255" s="8" t="s">
        <v>103</v>
      </c>
      <c r="F1255">
        <v>0.17</v>
      </c>
      <c r="G1255" t="s">
        <v>78</v>
      </c>
      <c r="H1255" t="str">
        <f>VLOOKUP(Tabla3[[#This Row],[DESCRIPCION MATERIAL]],'CODIGO MAT'!$C$2:$D$390,2,FALSE)</f>
        <v>TEL0000026</v>
      </c>
      <c r="J1255">
        <v>1</v>
      </c>
      <c r="K1255">
        <v>0</v>
      </c>
    </row>
    <row r="1256" spans="1:11" x14ac:dyDescent="0.25">
      <c r="A1256" t="s">
        <v>1307</v>
      </c>
      <c r="B1256" t="s">
        <v>1295</v>
      </c>
      <c r="C1256" t="s">
        <v>1308</v>
      </c>
      <c r="D1256" t="s">
        <v>50</v>
      </c>
      <c r="E1256" s="8" t="s">
        <v>186</v>
      </c>
      <c r="F1256">
        <v>0.13100000000000001</v>
      </c>
      <c r="G1256" t="s">
        <v>78</v>
      </c>
      <c r="H1256" t="str">
        <f>VLOOKUP(Tabla3[[#This Row],[DESCRIPCION MATERIAL]],'CODIGO MAT'!$C$2:$D$390,2,FALSE)</f>
        <v>TEL0000113</v>
      </c>
      <c r="J1256">
        <v>1</v>
      </c>
      <c r="K1256">
        <v>0</v>
      </c>
    </row>
    <row r="1257" spans="1:11" x14ac:dyDescent="0.25">
      <c r="A1257" t="s">
        <v>1307</v>
      </c>
      <c r="B1257" t="s">
        <v>1295</v>
      </c>
      <c r="C1257" t="s">
        <v>1308</v>
      </c>
      <c r="D1257" t="s">
        <v>50</v>
      </c>
      <c r="E1257" s="8" t="s">
        <v>236</v>
      </c>
      <c r="F1257">
        <v>2.5000000000000001E-2</v>
      </c>
      <c r="G1257" t="s">
        <v>78</v>
      </c>
      <c r="H1257" t="str">
        <f>VLOOKUP(Tabla3[[#This Row],[DESCRIPCION MATERIAL]],'CODIGO MAT'!$C$2:$D$390,2,FALSE)</f>
        <v>TEL0000164</v>
      </c>
      <c r="J1257">
        <v>1</v>
      </c>
      <c r="K1257">
        <v>0</v>
      </c>
    </row>
    <row r="1258" spans="1:11" x14ac:dyDescent="0.25">
      <c r="A1258" t="s">
        <v>1307</v>
      </c>
      <c r="B1258" t="s">
        <v>1295</v>
      </c>
      <c r="C1258" t="s">
        <v>1308</v>
      </c>
      <c r="D1258" t="s">
        <v>50</v>
      </c>
      <c r="E1258" s="8" t="s">
        <v>253</v>
      </c>
      <c r="F1258">
        <v>0.248</v>
      </c>
      <c r="G1258" t="s">
        <v>78</v>
      </c>
      <c r="H1258" t="str">
        <f>VLOOKUP(Tabla3[[#This Row],[DESCRIPCION MATERIAL]],'CODIGO MAT'!$C$2:$D$390,2,FALSE)</f>
        <v>TEL0000181</v>
      </c>
      <c r="J1258">
        <v>1</v>
      </c>
      <c r="K1258">
        <v>0</v>
      </c>
    </row>
    <row r="1259" spans="1:11" x14ac:dyDescent="0.25">
      <c r="A1259" t="s">
        <v>1307</v>
      </c>
      <c r="B1259" t="s">
        <v>1295</v>
      </c>
      <c r="C1259" t="s">
        <v>1308</v>
      </c>
      <c r="D1259" t="s">
        <v>50</v>
      </c>
      <c r="E1259" s="8" t="s">
        <v>106</v>
      </c>
      <c r="F1259">
        <v>0.16600000000000001</v>
      </c>
      <c r="G1259" t="s">
        <v>78</v>
      </c>
      <c r="H1259" t="str">
        <f>VLOOKUP(Tabla3[[#This Row],[DESCRIPCION MATERIAL]],'CODIGO MAT'!$C$2:$D$390,2,FALSE)</f>
        <v>TEL0000029</v>
      </c>
      <c r="J1259">
        <v>1</v>
      </c>
      <c r="K1259">
        <v>0</v>
      </c>
    </row>
    <row r="1260" spans="1:11" x14ac:dyDescent="0.25">
      <c r="A1260" t="s">
        <v>1307</v>
      </c>
      <c r="B1260" t="s">
        <v>1295</v>
      </c>
      <c r="C1260" t="s">
        <v>1308</v>
      </c>
      <c r="D1260" t="s">
        <v>50</v>
      </c>
      <c r="E1260" s="8" t="s">
        <v>243</v>
      </c>
      <c r="F1260">
        <v>4.4999999999999998E-2</v>
      </c>
      <c r="G1260" t="s">
        <v>78</v>
      </c>
      <c r="H1260" t="str">
        <f>VLOOKUP(Tabla3[[#This Row],[DESCRIPCION MATERIAL]],'CODIGO MAT'!$C$2:$D$390,2,FALSE)</f>
        <v>TEL0000171</v>
      </c>
      <c r="J1260">
        <v>1</v>
      </c>
      <c r="K1260">
        <v>0</v>
      </c>
    </row>
    <row r="1261" spans="1:11" x14ac:dyDescent="0.25">
      <c r="A1261" t="s">
        <v>1307</v>
      </c>
      <c r="B1261" t="s">
        <v>1295</v>
      </c>
      <c r="C1261" t="s">
        <v>1308</v>
      </c>
      <c r="D1261" t="s">
        <v>51</v>
      </c>
      <c r="E1261" s="8" t="s">
        <v>367</v>
      </c>
      <c r="F1261">
        <v>1</v>
      </c>
      <c r="G1261" t="s">
        <v>396</v>
      </c>
      <c r="H1261" t="str">
        <f>VLOOKUP(Tabla3[[#This Row],[DESCRIPCION MATERIAL]],'CODIGO MAT'!$C$2:$D$390,2,FALSE)</f>
        <v>AVI0000105</v>
      </c>
      <c r="J1261">
        <v>1</v>
      </c>
      <c r="K1261">
        <v>0</v>
      </c>
    </row>
    <row r="1262" spans="1:11" x14ac:dyDescent="0.25">
      <c r="A1262" t="s">
        <v>1307</v>
      </c>
      <c r="B1262" t="s">
        <v>1295</v>
      </c>
      <c r="C1262" t="s">
        <v>1308</v>
      </c>
      <c r="D1262" t="s">
        <v>50</v>
      </c>
      <c r="E1262" s="8" t="s">
        <v>162</v>
      </c>
      <c r="F1262">
        <v>0</v>
      </c>
      <c r="G1262" t="s">
        <v>78</v>
      </c>
      <c r="H1262" t="str">
        <f>VLOOKUP(Tabla3[[#This Row],[DESCRIPCION MATERIAL]],'CODIGO MAT'!$C$2:$D$390,2,FALSE)</f>
        <v>TEL0000089</v>
      </c>
      <c r="J1262">
        <v>1</v>
      </c>
      <c r="K1262">
        <v>0</v>
      </c>
    </row>
    <row r="1263" spans="1:11" x14ac:dyDescent="0.25">
      <c r="A1263" t="s">
        <v>1307</v>
      </c>
      <c r="B1263" t="s">
        <v>1295</v>
      </c>
      <c r="C1263" t="s">
        <v>1308</v>
      </c>
      <c r="D1263" t="s">
        <v>50</v>
      </c>
      <c r="E1263" s="8" t="s">
        <v>407</v>
      </c>
      <c r="F1263">
        <v>0</v>
      </c>
      <c r="G1263" t="s">
        <v>410</v>
      </c>
      <c r="H1263" t="str">
        <f>VLOOKUP(Tabla3[[#This Row],[DESCRIPCION MATERIAL]],'CODIGO MAT'!$C$2:$D$390,2,FALSE)</f>
        <v>INS0000001</v>
      </c>
    </row>
    <row r="1264" spans="1:11" x14ac:dyDescent="0.25">
      <c r="A1264" t="s">
        <v>1307</v>
      </c>
      <c r="B1264" t="s">
        <v>1295</v>
      </c>
      <c r="C1264" t="s">
        <v>1308</v>
      </c>
      <c r="D1264" t="s">
        <v>51</v>
      </c>
      <c r="E1264" s="8" t="s">
        <v>417</v>
      </c>
      <c r="F1264">
        <v>0</v>
      </c>
      <c r="G1264" t="s">
        <v>410</v>
      </c>
      <c r="H1264" t="str">
        <f>VLOOKUP(Tabla3[[#This Row],[DESCRIPCION MATERIAL]],'CODIGO MAT'!$C$2:$D$390,2,FALSE)</f>
        <v>INS0000007</v>
      </c>
    </row>
    <row r="1265" spans="1:11" x14ac:dyDescent="0.25">
      <c r="A1265" t="s">
        <v>1307</v>
      </c>
      <c r="B1265" t="s">
        <v>1295</v>
      </c>
      <c r="C1265" t="s">
        <v>1308</v>
      </c>
      <c r="D1265" t="s">
        <v>51</v>
      </c>
      <c r="E1265" s="8" t="s">
        <v>428</v>
      </c>
      <c r="F1265">
        <v>0</v>
      </c>
      <c r="G1265" t="s">
        <v>410</v>
      </c>
      <c r="H1265" t="str">
        <f>VLOOKUP(Tabla3[[#This Row],[DESCRIPCION MATERIAL]],'CODIGO MAT'!$C$2:$D$390,2,FALSE)</f>
        <v>INS0000016</v>
      </c>
    </row>
    <row r="1266" spans="1:11" x14ac:dyDescent="0.25">
      <c r="A1266" t="s">
        <v>1307</v>
      </c>
      <c r="B1266" t="s">
        <v>1295</v>
      </c>
      <c r="C1266" t="s">
        <v>1308</v>
      </c>
      <c r="D1266" t="s">
        <v>51</v>
      </c>
      <c r="E1266" s="8" t="s">
        <v>418</v>
      </c>
      <c r="F1266">
        <v>0</v>
      </c>
      <c r="G1266" t="s">
        <v>410</v>
      </c>
      <c r="H1266" t="str">
        <f>VLOOKUP(Tabla3[[#This Row],[DESCRIPCION MATERIAL]],'CODIGO MAT'!$C$2:$D$390,2,FALSE)</f>
        <v>INS0000008</v>
      </c>
    </row>
    <row r="1267" spans="1:11" x14ac:dyDescent="0.25">
      <c r="A1267" t="s">
        <v>1309</v>
      </c>
      <c r="B1267" t="s">
        <v>1310</v>
      </c>
      <c r="C1267" t="s">
        <v>1311</v>
      </c>
      <c r="D1267" t="s">
        <v>50</v>
      </c>
      <c r="E1267" s="8" t="s">
        <v>164</v>
      </c>
      <c r="F1267">
        <v>0</v>
      </c>
      <c r="G1267" t="s">
        <v>78</v>
      </c>
      <c r="H1267" t="str">
        <f>VLOOKUP(Tabla3[[#This Row],[DESCRIPCION MATERIAL]],'CODIGO MAT'!$C$2:$D$390,2,FALSE)</f>
        <v>TEL0000091</v>
      </c>
      <c r="J1267">
        <v>1</v>
      </c>
      <c r="K1267">
        <v>0</v>
      </c>
    </row>
    <row r="1268" spans="1:11" x14ac:dyDescent="0.25">
      <c r="A1268" t="s">
        <v>1309</v>
      </c>
      <c r="B1268" t="s">
        <v>1310</v>
      </c>
      <c r="C1268" t="s">
        <v>1311</v>
      </c>
      <c r="D1268" t="s">
        <v>50</v>
      </c>
      <c r="E1268" s="8" t="s">
        <v>1312</v>
      </c>
      <c r="F1268">
        <v>0.84</v>
      </c>
      <c r="G1268" t="s">
        <v>78</v>
      </c>
      <c r="H1268" t="e">
        <f>VLOOKUP(Tabla3[[#This Row],[DESCRIPCION MATERIAL]],'CODIGO MAT'!$C$2:$D$390,2,FALSE)</f>
        <v>#N/A</v>
      </c>
      <c r="I1268" s="64" t="s">
        <v>50</v>
      </c>
      <c r="J1268">
        <v>1</v>
      </c>
      <c r="K1268">
        <v>0</v>
      </c>
    </row>
    <row r="1269" spans="1:11" x14ac:dyDescent="0.25">
      <c r="A1269" t="s">
        <v>1309</v>
      </c>
      <c r="B1269" t="s">
        <v>1310</v>
      </c>
      <c r="C1269" t="s">
        <v>1311</v>
      </c>
      <c r="D1269" t="s">
        <v>50</v>
      </c>
      <c r="E1269" s="8" t="s">
        <v>253</v>
      </c>
      <c r="F1269">
        <v>0.16900000000000001</v>
      </c>
      <c r="G1269" t="s">
        <v>78</v>
      </c>
      <c r="H1269" t="str">
        <f>VLOOKUP(Tabla3[[#This Row],[DESCRIPCION MATERIAL]],'CODIGO MAT'!$C$2:$D$390,2,FALSE)</f>
        <v>TEL0000181</v>
      </c>
      <c r="J1269">
        <v>1</v>
      </c>
      <c r="K1269">
        <v>0</v>
      </c>
    </row>
    <row r="1270" spans="1:11" x14ac:dyDescent="0.25">
      <c r="A1270" t="s">
        <v>1309</v>
      </c>
      <c r="B1270" t="s">
        <v>1310</v>
      </c>
      <c r="C1270" t="s">
        <v>1311</v>
      </c>
      <c r="D1270" t="s">
        <v>50</v>
      </c>
      <c r="E1270" s="8" t="s">
        <v>102</v>
      </c>
      <c r="F1270">
        <v>0.17299999999999999</v>
      </c>
      <c r="G1270" t="s">
        <v>78</v>
      </c>
      <c r="H1270" t="str">
        <f>VLOOKUP(Tabla3[[#This Row],[DESCRIPCION MATERIAL]],'CODIGO MAT'!$C$2:$D$390,2,FALSE)</f>
        <v>TEL0000025</v>
      </c>
      <c r="J1270">
        <v>1</v>
      </c>
      <c r="K1270">
        <v>0</v>
      </c>
    </row>
    <row r="1271" spans="1:11" x14ac:dyDescent="0.25">
      <c r="A1271" t="s">
        <v>1309</v>
      </c>
      <c r="B1271" t="s">
        <v>1310</v>
      </c>
      <c r="C1271" t="s">
        <v>1311</v>
      </c>
      <c r="D1271" t="s">
        <v>50</v>
      </c>
      <c r="E1271" s="8" t="s">
        <v>106</v>
      </c>
      <c r="F1271">
        <v>0.13500000000000001</v>
      </c>
      <c r="G1271" t="s">
        <v>78</v>
      </c>
      <c r="H1271" t="str">
        <f>VLOOKUP(Tabla3[[#This Row],[DESCRIPCION MATERIAL]],'CODIGO MAT'!$C$2:$D$390,2,FALSE)</f>
        <v>TEL0000029</v>
      </c>
      <c r="J1271">
        <v>1</v>
      </c>
      <c r="K1271">
        <v>0</v>
      </c>
    </row>
    <row r="1272" spans="1:11" x14ac:dyDescent="0.25">
      <c r="A1272" t="s">
        <v>1309</v>
      </c>
      <c r="B1272" t="s">
        <v>1310</v>
      </c>
      <c r="C1272" t="s">
        <v>1311</v>
      </c>
      <c r="D1272" t="s">
        <v>50</v>
      </c>
      <c r="E1272" s="8" t="s">
        <v>315</v>
      </c>
      <c r="F1272">
        <v>0.15</v>
      </c>
      <c r="G1272" t="s">
        <v>78</v>
      </c>
      <c r="H1272" t="str">
        <f>VLOOKUP(Tabla3[[#This Row],[DESCRIPCION MATERIAL]],'CODIGO MAT'!$C$2:$D$390,2,FALSE)</f>
        <v>AVI0000055</v>
      </c>
      <c r="J1272">
        <v>1</v>
      </c>
      <c r="K1272">
        <v>0</v>
      </c>
    </row>
    <row r="1273" spans="1:11" x14ac:dyDescent="0.25">
      <c r="A1273" t="s">
        <v>1309</v>
      </c>
      <c r="B1273" t="s">
        <v>1310</v>
      </c>
      <c r="C1273" t="s">
        <v>1311</v>
      </c>
      <c r="D1273" t="s">
        <v>50</v>
      </c>
      <c r="E1273" s="8" t="s">
        <v>226</v>
      </c>
      <c r="F1273">
        <v>0.128</v>
      </c>
      <c r="G1273" t="s">
        <v>78</v>
      </c>
      <c r="H1273" t="str">
        <f>VLOOKUP(Tabla3[[#This Row],[DESCRIPCION MATERIAL]],'CODIGO MAT'!$C$2:$D$390,2,FALSE)</f>
        <v>TEL0000154</v>
      </c>
      <c r="J1273">
        <v>1</v>
      </c>
      <c r="K1273">
        <v>0</v>
      </c>
    </row>
    <row r="1274" spans="1:11" x14ac:dyDescent="0.25">
      <c r="A1274" t="s">
        <v>1309</v>
      </c>
      <c r="B1274" t="s">
        <v>1310</v>
      </c>
      <c r="C1274" t="s">
        <v>1311</v>
      </c>
      <c r="D1274" t="s">
        <v>50</v>
      </c>
      <c r="E1274" s="8" t="s">
        <v>1286</v>
      </c>
      <c r="F1274">
        <v>1.6E-2</v>
      </c>
      <c r="G1274" t="s">
        <v>78</v>
      </c>
      <c r="H1274" t="e">
        <f>VLOOKUP(Tabla3[[#This Row],[DESCRIPCION MATERIAL]],'CODIGO MAT'!$C$2:$D$390,2,FALSE)</f>
        <v>#N/A</v>
      </c>
      <c r="I1274" s="64" t="s">
        <v>50</v>
      </c>
      <c r="J1274">
        <v>1</v>
      </c>
      <c r="K1274">
        <v>0</v>
      </c>
    </row>
    <row r="1275" spans="1:11" x14ac:dyDescent="0.25">
      <c r="A1275" t="s">
        <v>1309</v>
      </c>
      <c r="B1275" t="s">
        <v>1310</v>
      </c>
      <c r="C1275" t="s">
        <v>1311</v>
      </c>
      <c r="D1275" t="s">
        <v>51</v>
      </c>
      <c r="E1275" s="8" t="s">
        <v>370</v>
      </c>
      <c r="F1275">
        <v>1</v>
      </c>
      <c r="G1275" t="s">
        <v>396</v>
      </c>
      <c r="H1275" t="str">
        <f>VLOOKUP(Tabla3[[#This Row],[DESCRIPCION MATERIAL]],'CODIGO MAT'!$C$2:$D$390,2,FALSE)</f>
        <v>AVI0000107</v>
      </c>
      <c r="J1275">
        <v>1</v>
      </c>
      <c r="K1275">
        <v>0</v>
      </c>
    </row>
    <row r="1276" spans="1:11" x14ac:dyDescent="0.25">
      <c r="A1276" t="s">
        <v>1313</v>
      </c>
      <c r="B1276" t="s">
        <v>558</v>
      </c>
      <c r="C1276" t="s">
        <v>1323</v>
      </c>
      <c r="D1276" t="s">
        <v>50</v>
      </c>
      <c r="E1276" s="8" t="s">
        <v>96</v>
      </c>
      <c r="F1276">
        <v>0.17199999999999999</v>
      </c>
      <c r="G1276" t="s">
        <v>78</v>
      </c>
      <c r="H1276" t="str">
        <f>VLOOKUP(Tabla3[[#This Row],[DESCRIPCION MATERIAL]],'CODIGO MAT'!$C$2:$D$390,2,FALSE)</f>
        <v>TEL0000019</v>
      </c>
      <c r="J1276">
        <v>1</v>
      </c>
      <c r="K1276">
        <v>0</v>
      </c>
    </row>
    <row r="1277" spans="1:11" x14ac:dyDescent="0.25">
      <c r="A1277" t="s">
        <v>1313</v>
      </c>
      <c r="B1277" t="s">
        <v>558</v>
      </c>
      <c r="C1277" t="s">
        <v>1323</v>
      </c>
      <c r="D1277" t="s">
        <v>50</v>
      </c>
      <c r="E1277" s="8" t="s">
        <v>1314</v>
      </c>
      <c r="F1277">
        <v>7.4999999999999997E-2</v>
      </c>
      <c r="G1277" t="s">
        <v>78</v>
      </c>
      <c r="H1277" t="e">
        <f>VLOOKUP(Tabla3[[#This Row],[DESCRIPCION MATERIAL]],'CODIGO MAT'!$C$2:$D$390,2,FALSE)</f>
        <v>#N/A</v>
      </c>
      <c r="I1277" s="64" t="s">
        <v>50</v>
      </c>
      <c r="J1277">
        <v>1</v>
      </c>
      <c r="K1277">
        <v>0</v>
      </c>
    </row>
    <row r="1278" spans="1:11" x14ac:dyDescent="0.25">
      <c r="A1278" t="s">
        <v>1313</v>
      </c>
      <c r="B1278" t="s">
        <v>558</v>
      </c>
      <c r="C1278" t="s">
        <v>1323</v>
      </c>
      <c r="D1278" t="s">
        <v>50</v>
      </c>
      <c r="E1278" s="8" t="s">
        <v>1315</v>
      </c>
      <c r="F1278">
        <v>0.23</v>
      </c>
      <c r="G1278" t="s">
        <v>78</v>
      </c>
      <c r="H1278" t="e">
        <f>VLOOKUP(Tabla3[[#This Row],[DESCRIPCION MATERIAL]],'CODIGO MAT'!$C$2:$D$390,2,FALSE)</f>
        <v>#N/A</v>
      </c>
      <c r="I1278" s="64" t="s">
        <v>50</v>
      </c>
      <c r="J1278">
        <v>1</v>
      </c>
      <c r="K1278">
        <v>0</v>
      </c>
    </row>
    <row r="1279" spans="1:11" x14ac:dyDescent="0.25">
      <c r="A1279" t="s">
        <v>1313</v>
      </c>
      <c r="B1279" t="s">
        <v>558</v>
      </c>
      <c r="C1279" t="s">
        <v>1323</v>
      </c>
      <c r="D1279" t="s">
        <v>50</v>
      </c>
      <c r="E1279" s="8" t="s">
        <v>1231</v>
      </c>
      <c r="F1279">
        <v>0.49399999999999999</v>
      </c>
      <c r="G1279" t="s">
        <v>78</v>
      </c>
      <c r="H1279" t="e">
        <f>VLOOKUP(Tabla3[[#This Row],[DESCRIPCION MATERIAL]],'CODIGO MAT'!$C$2:$D$390,2,FALSE)</f>
        <v>#N/A</v>
      </c>
      <c r="I1279" s="64" t="s">
        <v>50</v>
      </c>
      <c r="J1279">
        <v>1</v>
      </c>
      <c r="K1279">
        <v>0</v>
      </c>
    </row>
    <row r="1280" spans="1:11" x14ac:dyDescent="0.25">
      <c r="A1280" t="s">
        <v>1313</v>
      </c>
      <c r="B1280" t="s">
        <v>558</v>
      </c>
      <c r="C1280" t="s">
        <v>1323</v>
      </c>
      <c r="D1280" t="s">
        <v>50</v>
      </c>
      <c r="E1280" s="8" t="s">
        <v>143</v>
      </c>
      <c r="F1280">
        <v>0.16200000000000001</v>
      </c>
      <c r="G1280" t="s">
        <v>78</v>
      </c>
      <c r="H1280" t="str">
        <f>VLOOKUP(Tabla3[[#This Row],[DESCRIPCION MATERIAL]],'CODIGO MAT'!$C$2:$D$390,2,FALSE)</f>
        <v>TEL0000070</v>
      </c>
      <c r="J1280">
        <v>1</v>
      </c>
      <c r="K1280">
        <v>0</v>
      </c>
    </row>
    <row r="1281" spans="1:11" x14ac:dyDescent="0.25">
      <c r="A1281" t="s">
        <v>1313</v>
      </c>
      <c r="B1281" t="s">
        <v>558</v>
      </c>
      <c r="C1281" t="s">
        <v>1323</v>
      </c>
      <c r="D1281" t="s">
        <v>50</v>
      </c>
      <c r="E1281" s="8" t="s">
        <v>1239</v>
      </c>
      <c r="F1281">
        <v>0.98499999999999999</v>
      </c>
      <c r="G1281" t="s">
        <v>78</v>
      </c>
      <c r="H1281" t="e">
        <f>VLOOKUP(Tabla3[[#This Row],[DESCRIPCION MATERIAL]],'CODIGO MAT'!$C$2:$D$390,2,FALSE)</f>
        <v>#N/A</v>
      </c>
      <c r="I1281" s="64" t="s">
        <v>50</v>
      </c>
      <c r="J1281">
        <v>1</v>
      </c>
      <c r="K1281">
        <v>0</v>
      </c>
    </row>
    <row r="1282" spans="1:11" x14ac:dyDescent="0.25">
      <c r="A1282" t="s">
        <v>1313</v>
      </c>
      <c r="B1282" t="s">
        <v>558</v>
      </c>
      <c r="C1282" t="s">
        <v>1323</v>
      </c>
      <c r="D1282" t="s">
        <v>50</v>
      </c>
      <c r="E1282" s="8" t="s">
        <v>1209</v>
      </c>
      <c r="F1282">
        <v>0.98499999999999999</v>
      </c>
      <c r="G1282" t="s">
        <v>78</v>
      </c>
      <c r="H1282" t="e">
        <f>VLOOKUP(Tabla3[[#This Row],[DESCRIPCION MATERIAL]],'CODIGO MAT'!$C$2:$D$390,2,FALSE)</f>
        <v>#N/A</v>
      </c>
      <c r="I1282" s="64" t="s">
        <v>50</v>
      </c>
      <c r="J1282">
        <v>1</v>
      </c>
      <c r="K1282">
        <v>0</v>
      </c>
    </row>
    <row r="1283" spans="1:11" x14ac:dyDescent="0.25">
      <c r="A1283" t="s">
        <v>1313</v>
      </c>
      <c r="B1283" t="s">
        <v>558</v>
      </c>
      <c r="C1283" t="s">
        <v>1323</v>
      </c>
      <c r="D1283" t="s">
        <v>50</v>
      </c>
      <c r="E1283" s="8" t="s">
        <v>1224</v>
      </c>
      <c r="F1283">
        <v>0.98499999999999999</v>
      </c>
      <c r="G1283" t="s">
        <v>78</v>
      </c>
      <c r="H1283" t="e">
        <f>VLOOKUP(Tabla3[[#This Row],[DESCRIPCION MATERIAL]],'CODIGO MAT'!$C$2:$D$390,2,FALSE)</f>
        <v>#N/A</v>
      </c>
      <c r="I1283" s="64" t="s">
        <v>50</v>
      </c>
      <c r="J1283">
        <v>1</v>
      </c>
      <c r="K1283">
        <v>0</v>
      </c>
    </row>
    <row r="1284" spans="1:11" x14ac:dyDescent="0.25">
      <c r="A1284" t="s">
        <v>1313</v>
      </c>
      <c r="B1284" t="s">
        <v>558</v>
      </c>
      <c r="C1284" t="s">
        <v>1323</v>
      </c>
      <c r="D1284" t="s">
        <v>50</v>
      </c>
      <c r="E1284" s="8" t="s">
        <v>211</v>
      </c>
      <c r="F1284">
        <v>0.68799999999999994</v>
      </c>
      <c r="G1284" t="s">
        <v>78</v>
      </c>
      <c r="H1284" t="str">
        <f>VLOOKUP(Tabla3[[#This Row],[DESCRIPCION MATERIAL]],'CODIGO MAT'!$C$2:$D$390,2,FALSE)</f>
        <v>TEL0000138</v>
      </c>
      <c r="J1284">
        <v>1</v>
      </c>
      <c r="K1284">
        <v>0</v>
      </c>
    </row>
    <row r="1285" spans="1:11" x14ac:dyDescent="0.25">
      <c r="A1285" t="s">
        <v>1313</v>
      </c>
      <c r="B1285" t="s">
        <v>558</v>
      </c>
      <c r="C1285" t="s">
        <v>1323</v>
      </c>
      <c r="D1285" t="s">
        <v>50</v>
      </c>
      <c r="E1285" s="8" t="s">
        <v>1256</v>
      </c>
      <c r="F1285">
        <v>0.153</v>
      </c>
      <c r="G1285" t="s">
        <v>78</v>
      </c>
      <c r="H1285" t="e">
        <f>VLOOKUP(Tabla3[[#This Row],[DESCRIPCION MATERIAL]],'CODIGO MAT'!$C$2:$D$390,2,FALSE)</f>
        <v>#N/A</v>
      </c>
      <c r="I1285" s="64" t="s">
        <v>50</v>
      </c>
      <c r="J1285">
        <v>1</v>
      </c>
      <c r="K1285">
        <v>0</v>
      </c>
    </row>
    <row r="1286" spans="1:11" x14ac:dyDescent="0.25">
      <c r="A1286" t="s">
        <v>1313</v>
      </c>
      <c r="B1286" t="s">
        <v>558</v>
      </c>
      <c r="C1286" t="s">
        <v>1323</v>
      </c>
      <c r="D1286" t="s">
        <v>51</v>
      </c>
      <c r="E1286" s="8" t="s">
        <v>378</v>
      </c>
      <c r="F1286">
        <v>1</v>
      </c>
      <c r="G1286" t="s">
        <v>396</v>
      </c>
      <c r="H1286" t="str">
        <f>VLOOKUP(Tabla3[[#This Row],[DESCRIPCION MATERIAL]],'CODIGO MAT'!$C$2:$D$390,2,FALSE)</f>
        <v>AVI0000115</v>
      </c>
      <c r="J1286">
        <v>1</v>
      </c>
      <c r="K1286">
        <v>0</v>
      </c>
    </row>
    <row r="1287" spans="1:11" x14ac:dyDescent="0.25">
      <c r="A1287" t="s">
        <v>1313</v>
      </c>
      <c r="B1287" t="s">
        <v>558</v>
      </c>
      <c r="C1287" t="s">
        <v>1323</v>
      </c>
      <c r="D1287" t="s">
        <v>51</v>
      </c>
      <c r="E1287" s="8" t="s">
        <v>1318</v>
      </c>
      <c r="F1287">
        <v>0</v>
      </c>
      <c r="G1287" t="s">
        <v>78</v>
      </c>
      <c r="H1287" t="e">
        <f>VLOOKUP(Tabla3[[#This Row],[DESCRIPCION MATERIAL]],'CODIGO MAT'!$C$2:$D$390,2,FALSE)</f>
        <v>#N/A</v>
      </c>
      <c r="I1287" s="64" t="s">
        <v>51</v>
      </c>
      <c r="J1287">
        <v>1</v>
      </c>
      <c r="K1287">
        <v>0</v>
      </c>
    </row>
    <row r="1288" spans="1:11" x14ac:dyDescent="0.25">
      <c r="A1288" t="s">
        <v>1313</v>
      </c>
      <c r="B1288" t="s">
        <v>558</v>
      </c>
      <c r="C1288" t="s">
        <v>1323</v>
      </c>
      <c r="D1288" t="s">
        <v>51</v>
      </c>
      <c r="E1288" s="8" t="s">
        <v>285</v>
      </c>
      <c r="F1288">
        <v>7.5</v>
      </c>
      <c r="G1288" t="s">
        <v>78</v>
      </c>
      <c r="H1288" t="str">
        <f>VLOOKUP(Tabla3[[#This Row],[DESCRIPCION MATERIAL]],'CODIGO MAT'!$C$2:$D$390,2,FALSE)</f>
        <v>AVI0000028</v>
      </c>
      <c r="J1288">
        <v>1</v>
      </c>
      <c r="K1288">
        <v>0</v>
      </c>
    </row>
    <row r="1289" spans="1:11" x14ac:dyDescent="0.25">
      <c r="A1289" t="s">
        <v>1321</v>
      </c>
      <c r="B1289" t="s">
        <v>558</v>
      </c>
      <c r="C1289" t="s">
        <v>1322</v>
      </c>
      <c r="D1289" t="s">
        <v>50</v>
      </c>
      <c r="E1289" s="8" t="s">
        <v>228</v>
      </c>
      <c r="F1289">
        <v>0.17899999999999999</v>
      </c>
      <c r="G1289" t="s">
        <v>78</v>
      </c>
      <c r="H1289" t="str">
        <f>VLOOKUP(Tabla3[[#This Row],[DESCRIPCION MATERIAL]],'CODIGO MAT'!$C$2:$D$390,2,FALSE)</f>
        <v>TEL0000156</v>
      </c>
      <c r="J1289">
        <v>1</v>
      </c>
      <c r="K1289">
        <v>0</v>
      </c>
    </row>
    <row r="1290" spans="1:11" x14ac:dyDescent="0.25">
      <c r="A1290" t="s">
        <v>1321</v>
      </c>
      <c r="B1290" t="s">
        <v>558</v>
      </c>
      <c r="C1290" t="s">
        <v>1322</v>
      </c>
      <c r="D1290" t="s">
        <v>50</v>
      </c>
      <c r="E1290" s="8" t="s">
        <v>201</v>
      </c>
      <c r="F1290">
        <v>3.5999999999999997E-2</v>
      </c>
      <c r="G1290" t="s">
        <v>78</v>
      </c>
      <c r="H1290" t="str">
        <f>VLOOKUP(Tabla3[[#This Row],[DESCRIPCION MATERIAL]],'CODIGO MAT'!$C$2:$D$390,2,FALSE)</f>
        <v>TEL0000128</v>
      </c>
      <c r="J1290">
        <v>1</v>
      </c>
      <c r="K1290">
        <v>0</v>
      </c>
    </row>
    <row r="1291" spans="1:11" x14ac:dyDescent="0.25">
      <c r="A1291" t="s">
        <v>1321</v>
      </c>
      <c r="B1291" t="s">
        <v>558</v>
      </c>
      <c r="C1291" t="s">
        <v>1322</v>
      </c>
      <c r="D1291" t="s">
        <v>50</v>
      </c>
      <c r="E1291" s="8" t="s">
        <v>1232</v>
      </c>
      <c r="F1291">
        <v>0.53</v>
      </c>
      <c r="G1291" t="s">
        <v>78</v>
      </c>
      <c r="H1291" t="e">
        <f>VLOOKUP(Tabla3[[#This Row],[DESCRIPCION MATERIAL]],'CODIGO MAT'!$C$2:$D$390,2,FALSE)</f>
        <v>#N/A</v>
      </c>
      <c r="I1291" s="64" t="s">
        <v>50</v>
      </c>
      <c r="J1291">
        <v>1</v>
      </c>
      <c r="K1291">
        <v>0</v>
      </c>
    </row>
    <row r="1292" spans="1:11" x14ac:dyDescent="0.25">
      <c r="A1292" t="s">
        <v>1321</v>
      </c>
      <c r="B1292" t="s">
        <v>558</v>
      </c>
      <c r="C1292" t="s">
        <v>1322</v>
      </c>
      <c r="D1292" t="s">
        <v>50</v>
      </c>
      <c r="E1292" s="8" t="s">
        <v>1231</v>
      </c>
      <c r="F1292">
        <v>9.6000000000000002E-2</v>
      </c>
      <c r="G1292" t="s">
        <v>78</v>
      </c>
      <c r="H1292" t="e">
        <f>VLOOKUP(Tabla3[[#This Row],[DESCRIPCION MATERIAL]],'CODIGO MAT'!$C$2:$D$390,2,FALSE)</f>
        <v>#N/A</v>
      </c>
      <c r="I1292" s="64" t="s">
        <v>50</v>
      </c>
      <c r="J1292">
        <v>1</v>
      </c>
      <c r="K1292">
        <v>0</v>
      </c>
    </row>
    <row r="1293" spans="1:11" x14ac:dyDescent="0.25">
      <c r="A1293" t="s">
        <v>1321</v>
      </c>
      <c r="B1293" t="s">
        <v>558</v>
      </c>
      <c r="C1293" t="s">
        <v>1322</v>
      </c>
      <c r="D1293" t="s">
        <v>50</v>
      </c>
      <c r="E1293" s="8" t="s">
        <v>175</v>
      </c>
      <c r="F1293">
        <v>2.1000000000000001E-2</v>
      </c>
      <c r="G1293" t="s">
        <v>78</v>
      </c>
      <c r="H1293" t="str">
        <f>VLOOKUP(Tabla3[[#This Row],[DESCRIPCION MATERIAL]],'CODIGO MAT'!$C$2:$D$390,2,FALSE)</f>
        <v>TEL0000102</v>
      </c>
      <c r="J1293">
        <v>1</v>
      </c>
      <c r="K1293">
        <v>0</v>
      </c>
    </row>
    <row r="1294" spans="1:11" x14ac:dyDescent="0.25">
      <c r="A1294" t="s">
        <v>1321</v>
      </c>
      <c r="B1294" t="s">
        <v>558</v>
      </c>
      <c r="C1294" t="s">
        <v>1322</v>
      </c>
      <c r="D1294" t="s">
        <v>50</v>
      </c>
      <c r="E1294" s="8" t="s">
        <v>148</v>
      </c>
      <c r="F1294">
        <v>0.27500000000000002</v>
      </c>
      <c r="G1294" t="s">
        <v>78</v>
      </c>
      <c r="H1294" t="str">
        <f>VLOOKUP(Tabla3[[#This Row],[DESCRIPCION MATERIAL]],'CODIGO MAT'!$C$2:$D$390,2,FALSE)</f>
        <v>TEL0000075</v>
      </c>
      <c r="J1294">
        <v>1</v>
      </c>
      <c r="K1294">
        <v>0</v>
      </c>
    </row>
    <row r="1295" spans="1:11" x14ac:dyDescent="0.25">
      <c r="A1295" t="s">
        <v>1321</v>
      </c>
      <c r="B1295" t="s">
        <v>558</v>
      </c>
      <c r="C1295" t="s">
        <v>1322</v>
      </c>
      <c r="D1295" t="s">
        <v>50</v>
      </c>
      <c r="E1295" s="8" t="s">
        <v>379</v>
      </c>
      <c r="F1295">
        <v>1</v>
      </c>
      <c r="G1295" t="s">
        <v>396</v>
      </c>
      <c r="H1295" t="str">
        <f>VLOOKUP(Tabla3[[#This Row],[DESCRIPCION MATERIAL]],'CODIGO MAT'!$C$2:$D$390,2,FALSE)</f>
        <v>AVI0000116</v>
      </c>
      <c r="J1295">
        <v>1</v>
      </c>
      <c r="K1295">
        <v>0</v>
      </c>
    </row>
    <row r="1296" spans="1:11" x14ac:dyDescent="0.25">
      <c r="A1296" t="s">
        <v>1321</v>
      </c>
      <c r="B1296" t="s">
        <v>558</v>
      </c>
      <c r="C1296" t="s">
        <v>1322</v>
      </c>
      <c r="D1296" t="s">
        <v>50</v>
      </c>
      <c r="E1296" s="8" t="s">
        <v>1221</v>
      </c>
      <c r="F1296">
        <v>0.98499999999999999</v>
      </c>
      <c r="G1296" t="s">
        <v>78</v>
      </c>
      <c r="H1296" t="e">
        <f>VLOOKUP(Tabla3[[#This Row],[DESCRIPCION MATERIAL]],'CODIGO MAT'!$C$2:$D$390,2,FALSE)</f>
        <v>#N/A</v>
      </c>
      <c r="I1296" s="64" t="s">
        <v>50</v>
      </c>
      <c r="J1296">
        <v>1</v>
      </c>
      <c r="K1296">
        <v>0</v>
      </c>
    </row>
    <row r="1297" spans="1:11" x14ac:dyDescent="0.25">
      <c r="A1297" t="s">
        <v>1321</v>
      </c>
      <c r="B1297" t="s">
        <v>558</v>
      </c>
      <c r="C1297" t="s">
        <v>1322</v>
      </c>
      <c r="D1297" t="s">
        <v>50</v>
      </c>
      <c r="E1297" s="8" t="s">
        <v>1207</v>
      </c>
      <c r="F1297">
        <v>0.98499999999999999</v>
      </c>
      <c r="G1297" t="s">
        <v>78</v>
      </c>
      <c r="H1297" t="e">
        <f>VLOOKUP(Tabla3[[#This Row],[DESCRIPCION MATERIAL]],'CODIGO MAT'!$C$2:$D$390,2,FALSE)</f>
        <v>#N/A</v>
      </c>
      <c r="I1297" s="64" t="s">
        <v>50</v>
      </c>
      <c r="J1297">
        <v>1</v>
      </c>
      <c r="K1297">
        <v>0</v>
      </c>
    </row>
    <row r="1298" spans="1:11" x14ac:dyDescent="0.25">
      <c r="A1298" t="s">
        <v>1321</v>
      </c>
      <c r="B1298" t="s">
        <v>558</v>
      </c>
      <c r="C1298" t="s">
        <v>1322</v>
      </c>
      <c r="D1298" t="s">
        <v>50</v>
      </c>
      <c r="E1298" s="8" t="s">
        <v>1237</v>
      </c>
      <c r="F1298">
        <v>0.98499999999999999</v>
      </c>
      <c r="G1298" t="s">
        <v>78</v>
      </c>
      <c r="H1298" t="e">
        <f>VLOOKUP(Tabla3[[#This Row],[DESCRIPCION MATERIAL]],'CODIGO MAT'!$C$2:$D$390,2,FALSE)</f>
        <v>#N/A</v>
      </c>
      <c r="I1298" s="64" t="s">
        <v>50</v>
      </c>
      <c r="J1298">
        <v>1</v>
      </c>
      <c r="K1298">
        <v>0</v>
      </c>
    </row>
    <row r="1299" spans="1:11" x14ac:dyDescent="0.25">
      <c r="A1299" t="s">
        <v>1321</v>
      </c>
      <c r="B1299" t="s">
        <v>558</v>
      </c>
      <c r="C1299" t="s">
        <v>1322</v>
      </c>
      <c r="D1299" t="s">
        <v>50</v>
      </c>
      <c r="E1299" s="8" t="s">
        <v>1256</v>
      </c>
      <c r="F1299">
        <v>0.153</v>
      </c>
      <c r="G1299" t="s">
        <v>78</v>
      </c>
      <c r="H1299" t="e">
        <f>VLOOKUP(Tabla3[[#This Row],[DESCRIPCION MATERIAL]],'CODIGO MAT'!$C$2:$D$390,2,FALSE)</f>
        <v>#N/A</v>
      </c>
      <c r="I1299" s="64" t="s">
        <v>50</v>
      </c>
      <c r="J1299">
        <v>1</v>
      </c>
      <c r="K1299">
        <v>0</v>
      </c>
    </row>
    <row r="1300" spans="1:11" x14ac:dyDescent="0.25">
      <c r="A1300" t="s">
        <v>1321</v>
      </c>
      <c r="B1300" t="s">
        <v>558</v>
      </c>
      <c r="C1300" t="s">
        <v>1322</v>
      </c>
      <c r="D1300" t="s">
        <v>50</v>
      </c>
      <c r="E1300" s="8" t="s">
        <v>211</v>
      </c>
      <c r="F1300">
        <v>0.68799999999999994</v>
      </c>
      <c r="G1300" t="s">
        <v>78</v>
      </c>
      <c r="H1300" t="str">
        <f>VLOOKUP(Tabla3[[#This Row],[DESCRIPCION MATERIAL]],'CODIGO MAT'!$C$2:$D$390,2,FALSE)</f>
        <v>TEL0000138</v>
      </c>
      <c r="J1300">
        <v>1</v>
      </c>
      <c r="K1300">
        <v>0</v>
      </c>
    </row>
    <row r="1301" spans="1:11" x14ac:dyDescent="0.25">
      <c r="A1301" t="s">
        <v>1321</v>
      </c>
      <c r="B1301" t="s">
        <v>558</v>
      </c>
      <c r="C1301" t="s">
        <v>1322</v>
      </c>
      <c r="D1301" t="s">
        <v>51</v>
      </c>
      <c r="E1301" s="8" t="s">
        <v>363</v>
      </c>
      <c r="F1301">
        <v>0.4</v>
      </c>
      <c r="G1301" t="s">
        <v>78</v>
      </c>
      <c r="H1301" t="str">
        <f>VLOOKUP(Tabla3[[#This Row],[DESCRIPCION MATERIAL]],'CODIGO MAT'!$C$2:$D$390,2,FALSE)</f>
        <v>AVI0000101</v>
      </c>
      <c r="J1301">
        <v>1</v>
      </c>
      <c r="K1301">
        <v>0</v>
      </c>
    </row>
    <row r="1302" spans="1:11" x14ac:dyDescent="0.25">
      <c r="A1302" t="s">
        <v>1321</v>
      </c>
      <c r="B1302" t="s">
        <v>558</v>
      </c>
      <c r="C1302" t="s">
        <v>1322</v>
      </c>
      <c r="D1302" t="s">
        <v>51</v>
      </c>
      <c r="E1302" s="8" t="s">
        <v>285</v>
      </c>
      <c r="F1302">
        <v>7.5</v>
      </c>
      <c r="G1302" t="s">
        <v>78</v>
      </c>
      <c r="H1302" t="str">
        <f>VLOOKUP(Tabla3[[#This Row],[DESCRIPCION MATERIAL]],'CODIGO MAT'!$C$2:$D$390,2,FALSE)</f>
        <v>AVI0000028</v>
      </c>
      <c r="J1302">
        <v>1</v>
      </c>
      <c r="K1302">
        <v>0</v>
      </c>
    </row>
    <row r="1303" spans="1:11" x14ac:dyDescent="0.25">
      <c r="A1303" t="s">
        <v>1321</v>
      </c>
      <c r="B1303" t="s">
        <v>558</v>
      </c>
      <c r="C1303" t="s">
        <v>1322</v>
      </c>
      <c r="D1303" t="s">
        <v>51</v>
      </c>
      <c r="E1303" s="8" t="s">
        <v>35</v>
      </c>
      <c r="F1303">
        <v>0</v>
      </c>
      <c r="G1303" t="s">
        <v>78</v>
      </c>
      <c r="H1303" t="str">
        <f>VLOOKUP(Tabla3[[#This Row],[DESCRIPCION MATERIAL]],'CODIGO MAT'!$C$2:$D$390,2,FALSE)</f>
        <v>AVI0000031</v>
      </c>
      <c r="J1303">
        <v>1</v>
      </c>
      <c r="K1303">
        <v>0</v>
      </c>
    </row>
    <row r="1304" spans="1:11" x14ac:dyDescent="0.25">
      <c r="A1304" t="s">
        <v>1321</v>
      </c>
      <c r="B1304" t="s">
        <v>558</v>
      </c>
      <c r="C1304" t="s">
        <v>1322</v>
      </c>
      <c r="D1304" t="s">
        <v>51</v>
      </c>
      <c r="E1304" s="8" t="s">
        <v>1324</v>
      </c>
      <c r="F1304">
        <v>0</v>
      </c>
      <c r="G1304" t="s">
        <v>78</v>
      </c>
      <c r="H1304" t="e">
        <f>VLOOKUP(Tabla3[[#This Row],[DESCRIPCION MATERIAL]],'CODIGO MAT'!$C$2:$D$390,2,FALSE)</f>
        <v>#N/A</v>
      </c>
      <c r="I1304" s="64" t="s">
        <v>51</v>
      </c>
      <c r="J1304">
        <v>1</v>
      </c>
      <c r="K1304">
        <v>0</v>
      </c>
    </row>
    <row r="1305" spans="1:11" x14ac:dyDescent="0.25">
      <c r="A1305" t="s">
        <v>1321</v>
      </c>
      <c r="B1305" t="s">
        <v>558</v>
      </c>
      <c r="C1305" t="s">
        <v>1322</v>
      </c>
      <c r="D1305" t="s">
        <v>51</v>
      </c>
      <c r="E1305" s="8" t="s">
        <v>1319</v>
      </c>
      <c r="F1305">
        <v>0</v>
      </c>
      <c r="G1305" t="s">
        <v>78</v>
      </c>
      <c r="H1305" t="e">
        <f>VLOOKUP(Tabla3[[#This Row],[DESCRIPCION MATERIAL]],'CODIGO MAT'!$C$2:$D$390,2,FALSE)</f>
        <v>#N/A</v>
      </c>
      <c r="I1305" s="64" t="s">
        <v>51</v>
      </c>
      <c r="J1305">
        <v>1</v>
      </c>
      <c r="K1305">
        <v>0</v>
      </c>
    </row>
    <row r="1306" spans="1:11" x14ac:dyDescent="0.25">
      <c r="A1306" t="s">
        <v>1321</v>
      </c>
      <c r="B1306" t="s">
        <v>558</v>
      </c>
      <c r="C1306" t="s">
        <v>1322</v>
      </c>
      <c r="D1306" t="s">
        <v>51</v>
      </c>
      <c r="E1306" s="8" t="s">
        <v>342</v>
      </c>
      <c r="F1306">
        <v>0</v>
      </c>
      <c r="G1306" t="s">
        <v>78</v>
      </c>
      <c r="H1306" t="str">
        <f>VLOOKUP(Tabla3[[#This Row],[DESCRIPCION MATERIAL]],'CODIGO MAT'!$C$2:$D$390,2,FALSE)</f>
        <v>AVI0000080</v>
      </c>
      <c r="J1306">
        <v>1</v>
      </c>
      <c r="K1306">
        <v>0</v>
      </c>
    </row>
    <row r="1307" spans="1:11" x14ac:dyDescent="0.25">
      <c r="A1307" t="s">
        <v>1321</v>
      </c>
      <c r="B1307" t="s">
        <v>558</v>
      </c>
      <c r="C1307" t="s">
        <v>1322</v>
      </c>
      <c r="D1307" t="s">
        <v>51</v>
      </c>
      <c r="E1307" s="8" t="s">
        <v>1325</v>
      </c>
      <c r="F1307">
        <v>0.36</v>
      </c>
      <c r="G1307" t="s">
        <v>78</v>
      </c>
      <c r="H1307" t="e">
        <f>VLOOKUP(Tabla3[[#This Row],[DESCRIPCION MATERIAL]],'CODIGO MAT'!$C$2:$D$390,2,FALSE)</f>
        <v>#N/A</v>
      </c>
      <c r="I1307" s="64" t="s">
        <v>51</v>
      </c>
    </row>
    <row r="1308" spans="1:11" x14ac:dyDescent="0.25">
      <c r="A1308" t="s">
        <v>1334</v>
      </c>
      <c r="B1308" t="s">
        <v>558</v>
      </c>
      <c r="C1308" t="s">
        <v>1335</v>
      </c>
      <c r="D1308" t="s">
        <v>50</v>
      </c>
      <c r="E1308" s="8" t="s">
        <v>1349</v>
      </c>
      <c r="F1308">
        <v>0.14499999999999999</v>
      </c>
      <c r="G1308" t="s">
        <v>78</v>
      </c>
      <c r="H1308" t="e">
        <f>VLOOKUP(Tabla3[[#This Row],[DESCRIPCION MATERIAL]],'CODIGO MAT'!$C$2:$D$390,2,FALSE)</f>
        <v>#N/A</v>
      </c>
      <c r="I1308" s="64" t="s">
        <v>50</v>
      </c>
      <c r="J1308">
        <v>1</v>
      </c>
      <c r="K1308">
        <v>0</v>
      </c>
    </row>
    <row r="1309" spans="1:11" x14ac:dyDescent="0.25">
      <c r="A1309" t="s">
        <v>1334</v>
      </c>
      <c r="B1309" t="s">
        <v>558</v>
      </c>
      <c r="C1309" t="s">
        <v>1336</v>
      </c>
      <c r="D1309" t="s">
        <v>50</v>
      </c>
      <c r="E1309" s="8" t="s">
        <v>1242</v>
      </c>
      <c r="F1309">
        <v>0.79</v>
      </c>
      <c r="G1309" t="s">
        <v>78</v>
      </c>
      <c r="H1309" t="e">
        <f>VLOOKUP(Tabla3[[#This Row],[DESCRIPCION MATERIAL]],'CODIGO MAT'!$C$2:$D$390,2,FALSE)</f>
        <v>#N/A</v>
      </c>
      <c r="I1309" s="64" t="s">
        <v>50</v>
      </c>
      <c r="J1309">
        <v>1</v>
      </c>
      <c r="K1309">
        <v>0</v>
      </c>
    </row>
    <row r="1310" spans="1:11" x14ac:dyDescent="0.25">
      <c r="A1310" t="s">
        <v>1334</v>
      </c>
      <c r="B1310" t="s">
        <v>558</v>
      </c>
      <c r="C1310" t="s">
        <v>1337</v>
      </c>
      <c r="D1310" t="s">
        <v>50</v>
      </c>
      <c r="E1310" s="8" t="s">
        <v>1239</v>
      </c>
      <c r="F1310">
        <v>0.47599999999999998</v>
      </c>
      <c r="G1310" t="s">
        <v>78</v>
      </c>
      <c r="H1310" t="e">
        <f>VLOOKUP(Tabla3[[#This Row],[DESCRIPCION MATERIAL]],'CODIGO MAT'!$C$2:$D$390,2,FALSE)</f>
        <v>#N/A</v>
      </c>
      <c r="I1310" s="64" t="s">
        <v>50</v>
      </c>
      <c r="J1310">
        <v>1</v>
      </c>
      <c r="K1310">
        <v>0</v>
      </c>
    </row>
    <row r="1311" spans="1:11" x14ac:dyDescent="0.25">
      <c r="A1311" t="s">
        <v>1334</v>
      </c>
      <c r="B1311" t="s">
        <v>558</v>
      </c>
      <c r="C1311" t="s">
        <v>1338</v>
      </c>
      <c r="D1311" t="s">
        <v>50</v>
      </c>
      <c r="E1311" s="8" t="s">
        <v>1359</v>
      </c>
      <c r="F1311">
        <v>0.34699999999999998</v>
      </c>
      <c r="G1311" t="s">
        <v>78</v>
      </c>
      <c r="H1311" t="e">
        <f>VLOOKUP(Tabla3[[#This Row],[DESCRIPCION MATERIAL]],'CODIGO MAT'!$C$2:$D$390,2,FALSE)</f>
        <v>#N/A</v>
      </c>
      <c r="I1311" s="64" t="s">
        <v>50</v>
      </c>
      <c r="J1311">
        <v>1</v>
      </c>
      <c r="K1311">
        <v>0</v>
      </c>
    </row>
    <row r="1312" spans="1:11" x14ac:dyDescent="0.25">
      <c r="A1312" t="s">
        <v>1334</v>
      </c>
      <c r="B1312" t="s">
        <v>558</v>
      </c>
      <c r="C1312" t="s">
        <v>1339</v>
      </c>
      <c r="D1312" t="s">
        <v>50</v>
      </c>
      <c r="E1312" s="8" t="s">
        <v>1360</v>
      </c>
      <c r="F1312">
        <v>6.2E-2</v>
      </c>
      <c r="G1312" t="s">
        <v>78</v>
      </c>
      <c r="H1312" t="e">
        <f>VLOOKUP(Tabla3[[#This Row],[DESCRIPCION MATERIAL]],'CODIGO MAT'!$C$2:$D$390,2,FALSE)</f>
        <v>#N/A</v>
      </c>
      <c r="I1312" s="64" t="s">
        <v>50</v>
      </c>
      <c r="J1312">
        <v>1</v>
      </c>
      <c r="K1312">
        <v>0</v>
      </c>
    </row>
    <row r="1313" spans="1:11" x14ac:dyDescent="0.25">
      <c r="A1313" t="s">
        <v>1334</v>
      </c>
      <c r="B1313" t="s">
        <v>558</v>
      </c>
      <c r="C1313" t="s">
        <v>1340</v>
      </c>
      <c r="D1313" t="s">
        <v>50</v>
      </c>
      <c r="E1313" s="8" t="s">
        <v>1227</v>
      </c>
      <c r="F1313">
        <v>0.64</v>
      </c>
      <c r="G1313" t="s">
        <v>78</v>
      </c>
      <c r="H1313" t="e">
        <f>VLOOKUP(Tabla3[[#This Row],[DESCRIPCION MATERIAL]],'CODIGO MAT'!$C$2:$D$390,2,FALSE)</f>
        <v>#N/A</v>
      </c>
      <c r="I1313" s="64" t="s">
        <v>50</v>
      </c>
      <c r="J1313">
        <v>1</v>
      </c>
      <c r="K1313">
        <v>0</v>
      </c>
    </row>
    <row r="1314" spans="1:11" x14ac:dyDescent="0.25">
      <c r="A1314" t="s">
        <v>1334</v>
      </c>
      <c r="B1314" t="s">
        <v>558</v>
      </c>
      <c r="C1314" t="s">
        <v>1341</v>
      </c>
      <c r="D1314" t="s">
        <v>50</v>
      </c>
      <c r="E1314" s="8" t="s">
        <v>1213</v>
      </c>
      <c r="F1314">
        <v>0.64</v>
      </c>
      <c r="G1314" t="s">
        <v>78</v>
      </c>
      <c r="H1314" t="e">
        <f>VLOOKUP(Tabla3[[#This Row],[DESCRIPCION MATERIAL]],'CODIGO MAT'!$C$2:$D$390,2,FALSE)</f>
        <v>#N/A</v>
      </c>
      <c r="I1314" s="64" t="s">
        <v>50</v>
      </c>
      <c r="J1314">
        <v>1</v>
      </c>
      <c r="K1314">
        <v>0</v>
      </c>
    </row>
    <row r="1315" spans="1:11" x14ac:dyDescent="0.25">
      <c r="A1315" t="s">
        <v>1334</v>
      </c>
      <c r="B1315" t="s">
        <v>558</v>
      </c>
      <c r="C1315" t="s">
        <v>1342</v>
      </c>
      <c r="D1315" t="s">
        <v>50</v>
      </c>
      <c r="E1315" s="8" t="s">
        <v>211</v>
      </c>
      <c r="F1315">
        <v>0.68799999999999994</v>
      </c>
      <c r="G1315" t="s">
        <v>78</v>
      </c>
      <c r="H1315" t="str">
        <f>VLOOKUP(Tabla3[[#This Row],[DESCRIPCION MATERIAL]],'CODIGO MAT'!$C$2:$D$390,2,FALSE)</f>
        <v>TEL0000138</v>
      </c>
      <c r="J1315">
        <v>1</v>
      </c>
      <c r="K1315">
        <v>0</v>
      </c>
    </row>
    <row r="1316" spans="1:11" x14ac:dyDescent="0.25">
      <c r="A1316" t="s">
        <v>1334</v>
      </c>
      <c r="B1316" t="s">
        <v>558</v>
      </c>
      <c r="C1316" t="s">
        <v>1343</v>
      </c>
      <c r="D1316" t="s">
        <v>50</v>
      </c>
      <c r="E1316" s="8" t="s">
        <v>1256</v>
      </c>
      <c r="F1316">
        <v>0.153</v>
      </c>
      <c r="G1316" t="s">
        <v>78</v>
      </c>
      <c r="H1316" t="e">
        <f>VLOOKUP(Tabla3[[#This Row],[DESCRIPCION MATERIAL]],'CODIGO MAT'!$C$2:$D$390,2,FALSE)</f>
        <v>#N/A</v>
      </c>
      <c r="I1316" s="64" t="s">
        <v>50</v>
      </c>
      <c r="J1316">
        <v>1</v>
      </c>
      <c r="K1316">
        <v>0</v>
      </c>
    </row>
    <row r="1317" spans="1:11" x14ac:dyDescent="0.25">
      <c r="A1317" t="s">
        <v>1334</v>
      </c>
      <c r="B1317" t="s">
        <v>558</v>
      </c>
      <c r="C1317" t="s">
        <v>1344</v>
      </c>
      <c r="D1317" t="s">
        <v>50</v>
      </c>
      <c r="E1317" s="8" t="s">
        <v>230</v>
      </c>
      <c r="F1317">
        <v>0.13400000000000001</v>
      </c>
      <c r="G1317" t="s">
        <v>78</v>
      </c>
      <c r="H1317" t="str">
        <f>VLOOKUP(Tabla3[[#This Row],[DESCRIPCION MATERIAL]],'CODIGO MAT'!$C$2:$D$390,2,FALSE)</f>
        <v>TEL0000158</v>
      </c>
      <c r="J1317">
        <v>1</v>
      </c>
      <c r="K1317">
        <v>0</v>
      </c>
    </row>
    <row r="1318" spans="1:11" x14ac:dyDescent="0.25">
      <c r="A1318" t="s">
        <v>1334</v>
      </c>
      <c r="B1318" t="s">
        <v>558</v>
      </c>
      <c r="C1318" t="s">
        <v>1345</v>
      </c>
      <c r="D1318" t="s">
        <v>51</v>
      </c>
      <c r="E1318" s="8" t="s">
        <v>334</v>
      </c>
      <c r="F1318">
        <v>0</v>
      </c>
      <c r="G1318" t="s">
        <v>78</v>
      </c>
      <c r="H1318" t="str">
        <f>VLOOKUP(Tabla3[[#This Row],[DESCRIPCION MATERIAL]],'CODIGO MAT'!$C$2:$D$390,2,FALSE)</f>
        <v>AVI0000072</v>
      </c>
      <c r="J1318">
        <v>1</v>
      </c>
      <c r="K1318">
        <v>0</v>
      </c>
    </row>
    <row r="1319" spans="1:11" x14ac:dyDescent="0.25">
      <c r="A1319" t="s">
        <v>1334</v>
      </c>
      <c r="B1319" t="s">
        <v>558</v>
      </c>
      <c r="C1319" t="s">
        <v>1346</v>
      </c>
      <c r="D1319" t="s">
        <v>51</v>
      </c>
      <c r="E1319" s="8" t="s">
        <v>285</v>
      </c>
      <c r="F1319">
        <v>7.5</v>
      </c>
      <c r="G1319" t="s">
        <v>78</v>
      </c>
      <c r="H1319" t="str">
        <f>VLOOKUP(Tabla3[[#This Row],[DESCRIPCION MATERIAL]],'CODIGO MAT'!$C$2:$D$390,2,FALSE)</f>
        <v>AVI0000028</v>
      </c>
      <c r="J1319">
        <v>1</v>
      </c>
      <c r="K1319">
        <v>0</v>
      </c>
    </row>
    <row r="1320" spans="1:11" x14ac:dyDescent="0.25">
      <c r="A1320" t="s">
        <v>1334</v>
      </c>
      <c r="B1320" t="s">
        <v>558</v>
      </c>
      <c r="C1320" t="s">
        <v>1347</v>
      </c>
      <c r="D1320" t="s">
        <v>51</v>
      </c>
      <c r="E1320" s="8" t="s">
        <v>378</v>
      </c>
      <c r="F1320">
        <v>1</v>
      </c>
      <c r="G1320" t="s">
        <v>396</v>
      </c>
      <c r="H1320" t="str">
        <f>VLOOKUP(Tabla3[[#This Row],[DESCRIPCION MATERIAL]],'CODIGO MAT'!$C$2:$D$390,2,FALSE)</f>
        <v>AVI0000115</v>
      </c>
      <c r="J1320">
        <v>1</v>
      </c>
      <c r="K1320">
        <v>0</v>
      </c>
    </row>
    <row r="1321" spans="1:11" x14ac:dyDescent="0.25">
      <c r="A1321" t="s">
        <v>1334</v>
      </c>
      <c r="B1321" t="s">
        <v>558</v>
      </c>
      <c r="C1321" t="s">
        <v>1348</v>
      </c>
      <c r="D1321" t="s">
        <v>51</v>
      </c>
      <c r="E1321" s="8" t="s">
        <v>1361</v>
      </c>
      <c r="F1321">
        <v>1</v>
      </c>
      <c r="G1321" t="s">
        <v>78</v>
      </c>
      <c r="H1321" t="e">
        <f>VLOOKUP(Tabla3[[#This Row],[DESCRIPCION MATERIAL]],'CODIGO MAT'!$C$2:$D$390,2,FALSE)</f>
        <v>#N/A</v>
      </c>
      <c r="I1321" s="64" t="s">
        <v>51</v>
      </c>
      <c r="J1321">
        <v>1</v>
      </c>
      <c r="K1321">
        <v>0</v>
      </c>
    </row>
    <row r="1322" spans="1:11" x14ac:dyDescent="0.25">
      <c r="A1322" t="s">
        <v>1362</v>
      </c>
      <c r="B1322" t="s">
        <v>558</v>
      </c>
      <c r="C1322" t="s">
        <v>1363</v>
      </c>
      <c r="D1322" t="s">
        <v>50</v>
      </c>
      <c r="E1322" s="8" t="s">
        <v>1238</v>
      </c>
      <c r="F1322">
        <v>1.37</v>
      </c>
      <c r="G1322" t="s">
        <v>78</v>
      </c>
      <c r="H1322" t="e">
        <f>VLOOKUP(Tabla3[[#This Row],[DESCRIPCION MATERIAL]],'CODIGO MAT'!$C$2:$D$390,2,FALSE)</f>
        <v>#N/A</v>
      </c>
      <c r="I1322" s="64" t="s">
        <v>50</v>
      </c>
      <c r="J1322">
        <v>1</v>
      </c>
      <c r="K1322">
        <v>0</v>
      </c>
    </row>
    <row r="1323" spans="1:11" x14ac:dyDescent="0.25">
      <c r="A1323" t="s">
        <v>1362</v>
      </c>
      <c r="B1323" t="s">
        <v>558</v>
      </c>
      <c r="C1323" t="s">
        <v>1363</v>
      </c>
      <c r="D1323" t="s">
        <v>50</v>
      </c>
      <c r="E1323" s="8" t="s">
        <v>1208</v>
      </c>
      <c r="F1323">
        <v>0.98499999999999999</v>
      </c>
      <c r="G1323" t="s">
        <v>78</v>
      </c>
      <c r="H1323" t="e">
        <f>VLOOKUP(Tabla3[[#This Row],[DESCRIPCION MATERIAL]],'CODIGO MAT'!$C$2:$D$390,2,FALSE)</f>
        <v>#N/A</v>
      </c>
      <c r="I1323" s="64" t="s">
        <v>50</v>
      </c>
      <c r="J1323">
        <v>1</v>
      </c>
      <c r="K1323">
        <v>0</v>
      </c>
    </row>
    <row r="1324" spans="1:11" x14ac:dyDescent="0.25">
      <c r="A1324" t="s">
        <v>1362</v>
      </c>
      <c r="B1324" t="s">
        <v>558</v>
      </c>
      <c r="C1324" t="s">
        <v>1363</v>
      </c>
      <c r="D1324" t="s">
        <v>50</v>
      </c>
      <c r="E1324" s="8" t="s">
        <v>1222</v>
      </c>
      <c r="F1324">
        <v>0.98499999999999999</v>
      </c>
      <c r="G1324" t="s">
        <v>78</v>
      </c>
      <c r="H1324" t="e">
        <f>VLOOKUP(Tabla3[[#This Row],[DESCRIPCION MATERIAL]],'CODIGO MAT'!$C$2:$D$390,2,FALSE)</f>
        <v>#N/A</v>
      </c>
      <c r="I1324" s="64" t="s">
        <v>50</v>
      </c>
      <c r="J1324">
        <v>1</v>
      </c>
      <c r="K1324">
        <v>0</v>
      </c>
    </row>
    <row r="1325" spans="1:11" x14ac:dyDescent="0.25">
      <c r="A1325" t="s">
        <v>1362</v>
      </c>
      <c r="B1325" t="s">
        <v>558</v>
      </c>
      <c r="C1325" t="s">
        <v>1363</v>
      </c>
      <c r="D1325" t="s">
        <v>50</v>
      </c>
      <c r="E1325" s="8" t="s">
        <v>211</v>
      </c>
      <c r="F1325">
        <v>0.68799999999999994</v>
      </c>
      <c r="G1325" t="s">
        <v>78</v>
      </c>
      <c r="H1325" t="str">
        <f>VLOOKUP(Tabla3[[#This Row],[DESCRIPCION MATERIAL]],'CODIGO MAT'!$C$2:$D$390,2,FALSE)</f>
        <v>TEL0000138</v>
      </c>
      <c r="J1325">
        <v>1</v>
      </c>
      <c r="K1325">
        <v>0</v>
      </c>
    </row>
    <row r="1326" spans="1:11" x14ac:dyDescent="0.25">
      <c r="A1326" t="s">
        <v>1362</v>
      </c>
      <c r="B1326" t="s">
        <v>558</v>
      </c>
      <c r="C1326" t="s">
        <v>1363</v>
      </c>
      <c r="D1326" t="s">
        <v>50</v>
      </c>
      <c r="E1326" s="8" t="s">
        <v>1256</v>
      </c>
      <c r="F1326">
        <v>0.153</v>
      </c>
      <c r="G1326" t="s">
        <v>78</v>
      </c>
      <c r="H1326" t="e">
        <f>VLOOKUP(Tabla3[[#This Row],[DESCRIPCION MATERIAL]],'CODIGO MAT'!$C$2:$D$390,2,FALSE)</f>
        <v>#N/A</v>
      </c>
      <c r="I1326" s="64" t="s">
        <v>50</v>
      </c>
      <c r="J1326">
        <v>1</v>
      </c>
      <c r="K1326">
        <v>0</v>
      </c>
    </row>
    <row r="1327" spans="1:11" x14ac:dyDescent="0.25">
      <c r="A1327" t="s">
        <v>1362</v>
      </c>
      <c r="B1327" t="s">
        <v>558</v>
      </c>
      <c r="C1327" t="s">
        <v>1363</v>
      </c>
      <c r="D1327" t="s">
        <v>50</v>
      </c>
      <c r="E1327" s="8" t="s">
        <v>1364</v>
      </c>
      <c r="F1327">
        <v>0.113</v>
      </c>
      <c r="G1327" t="s">
        <v>78</v>
      </c>
      <c r="H1327" t="e">
        <f>VLOOKUP(Tabla3[[#This Row],[DESCRIPCION MATERIAL]],'CODIGO MAT'!$C$2:$D$390,2,FALSE)</f>
        <v>#N/A</v>
      </c>
      <c r="I1327" s="64" t="s">
        <v>50</v>
      </c>
      <c r="J1327">
        <v>1</v>
      </c>
      <c r="K1327">
        <v>0</v>
      </c>
    </row>
    <row r="1328" spans="1:11" x14ac:dyDescent="0.25">
      <c r="A1328" t="s">
        <v>1362</v>
      </c>
      <c r="B1328" t="s">
        <v>558</v>
      </c>
      <c r="C1328" t="s">
        <v>1363</v>
      </c>
      <c r="D1328" t="s">
        <v>50</v>
      </c>
      <c r="E1328" s="8" t="s">
        <v>143</v>
      </c>
      <c r="F1328">
        <v>0.27500000000000002</v>
      </c>
      <c r="G1328" t="s">
        <v>78</v>
      </c>
      <c r="H1328" t="str">
        <f>VLOOKUP(Tabla3[[#This Row],[DESCRIPCION MATERIAL]],'CODIGO MAT'!$C$2:$D$390,2,FALSE)</f>
        <v>TEL0000070</v>
      </c>
      <c r="J1328">
        <v>1</v>
      </c>
      <c r="K1328">
        <v>0</v>
      </c>
    </row>
    <row r="1329" spans="1:11" x14ac:dyDescent="0.25">
      <c r="A1329" t="s">
        <v>1362</v>
      </c>
      <c r="B1329" t="s">
        <v>558</v>
      </c>
      <c r="C1329" t="s">
        <v>1363</v>
      </c>
      <c r="D1329" t="s">
        <v>50</v>
      </c>
      <c r="E1329" s="8" t="s">
        <v>1365</v>
      </c>
      <c r="F1329">
        <v>0.44700000000000001</v>
      </c>
      <c r="G1329" t="s">
        <v>78</v>
      </c>
      <c r="H1329" t="e">
        <f>VLOOKUP(Tabla3[[#This Row],[DESCRIPCION MATERIAL]],'CODIGO MAT'!$C$2:$D$390,2,FALSE)</f>
        <v>#N/A</v>
      </c>
      <c r="I1329" s="64" t="s">
        <v>50</v>
      </c>
      <c r="J1329">
        <v>1</v>
      </c>
      <c r="K1329">
        <v>0</v>
      </c>
    </row>
    <row r="1330" spans="1:11" x14ac:dyDescent="0.25">
      <c r="A1330" t="s">
        <v>1362</v>
      </c>
      <c r="B1330" t="s">
        <v>558</v>
      </c>
      <c r="C1330" t="s">
        <v>1363</v>
      </c>
      <c r="D1330" t="s">
        <v>51</v>
      </c>
      <c r="E1330" s="8" t="s">
        <v>285</v>
      </c>
      <c r="F1330">
        <v>7.5</v>
      </c>
      <c r="G1330" t="s">
        <v>78</v>
      </c>
      <c r="H1330" t="str">
        <f>VLOOKUP(Tabla3[[#This Row],[DESCRIPCION MATERIAL]],'CODIGO MAT'!$C$2:$D$390,2,FALSE)</f>
        <v>AVI0000028</v>
      </c>
      <c r="J1330">
        <v>1</v>
      </c>
      <c r="K1330">
        <v>0</v>
      </c>
    </row>
    <row r="1331" spans="1:11" x14ac:dyDescent="0.25">
      <c r="A1331" t="s">
        <v>1362</v>
      </c>
      <c r="B1331" t="s">
        <v>558</v>
      </c>
      <c r="C1331" t="s">
        <v>1363</v>
      </c>
      <c r="D1331" t="s">
        <v>51</v>
      </c>
      <c r="E1331" s="8" t="s">
        <v>378</v>
      </c>
      <c r="F1331">
        <v>1</v>
      </c>
      <c r="G1331" t="s">
        <v>396</v>
      </c>
      <c r="H1331" t="str">
        <f>VLOOKUP(Tabla3[[#This Row],[DESCRIPCION MATERIAL]],'CODIGO MAT'!$C$2:$D$390,2,FALSE)</f>
        <v>AVI0000115</v>
      </c>
      <c r="J1331">
        <v>1</v>
      </c>
      <c r="K1331">
        <v>0</v>
      </c>
    </row>
    <row r="1332" spans="1:11" x14ac:dyDescent="0.25">
      <c r="A1332" t="s">
        <v>1366</v>
      </c>
      <c r="B1332" t="s">
        <v>464</v>
      </c>
      <c r="C1332" t="s">
        <v>1367</v>
      </c>
      <c r="D1332" t="s">
        <v>50</v>
      </c>
      <c r="E1332" s="8" t="s">
        <v>1248</v>
      </c>
      <c r="F1332">
        <v>0.5</v>
      </c>
      <c r="G1332" t="s">
        <v>78</v>
      </c>
      <c r="H1332" t="e">
        <f>VLOOKUP(Tabla3[[#This Row],[DESCRIPCION MATERIAL]],'CODIGO MAT'!$C$2:$D$390,2,FALSE)</f>
        <v>#N/A</v>
      </c>
      <c r="I1332" s="64" t="s">
        <v>50</v>
      </c>
      <c r="J1332">
        <v>1</v>
      </c>
      <c r="K1332">
        <v>0</v>
      </c>
    </row>
    <row r="1333" spans="1:11" x14ac:dyDescent="0.25">
      <c r="A1333" t="s">
        <v>1366</v>
      </c>
      <c r="B1333" t="s">
        <v>464</v>
      </c>
      <c r="C1333" t="s">
        <v>1367</v>
      </c>
      <c r="D1333" t="s">
        <v>50</v>
      </c>
      <c r="E1333" s="8" t="s">
        <v>12</v>
      </c>
      <c r="F1333">
        <v>0.52</v>
      </c>
      <c r="G1333" t="s">
        <v>78</v>
      </c>
      <c r="H1333" t="str">
        <f>VLOOKUP(Tabla3[[#This Row],[DESCRIPCION MATERIAL]],'CODIGO MAT'!$C$2:$D$390,2,FALSE)</f>
        <v>TEL0000040</v>
      </c>
      <c r="J1333">
        <v>1</v>
      </c>
      <c r="K1333">
        <v>0</v>
      </c>
    </row>
    <row r="1334" spans="1:11" x14ac:dyDescent="0.25">
      <c r="A1334" t="s">
        <v>1366</v>
      </c>
      <c r="B1334" t="s">
        <v>464</v>
      </c>
      <c r="C1334" t="s">
        <v>1367</v>
      </c>
      <c r="D1334" t="s">
        <v>50</v>
      </c>
      <c r="E1334" s="8" t="s">
        <v>996</v>
      </c>
      <c r="F1334">
        <v>0.5</v>
      </c>
      <c r="G1334" t="s">
        <v>78</v>
      </c>
      <c r="H1334" t="str">
        <f>VLOOKUP(Tabla3[[#This Row],[DESCRIPCION MATERIAL]],'CODIGO MAT'!$C$2:$D$390,2,FALSE)</f>
        <v>AVI0000148</v>
      </c>
      <c r="J1334">
        <v>1</v>
      </c>
      <c r="K1334">
        <v>0</v>
      </c>
    </row>
    <row r="1335" spans="1:11" x14ac:dyDescent="0.25">
      <c r="A1335" t="s">
        <v>1366</v>
      </c>
      <c r="B1335" t="s">
        <v>464</v>
      </c>
      <c r="C1335" t="s">
        <v>1367</v>
      </c>
      <c r="D1335" t="s">
        <v>51</v>
      </c>
      <c r="E1335" s="8" t="s">
        <v>284</v>
      </c>
      <c r="F1335">
        <v>0.5</v>
      </c>
      <c r="G1335" t="s">
        <v>78</v>
      </c>
      <c r="H1335" t="str">
        <f>VLOOKUP(Tabla3[[#This Row],[DESCRIPCION MATERIAL]],'CODIGO MAT'!$C$2:$D$390,2,FALSE)</f>
        <v>AVI0000027</v>
      </c>
      <c r="J1335">
        <v>1</v>
      </c>
      <c r="K1335">
        <v>0</v>
      </c>
    </row>
    <row r="1336" spans="1:11" x14ac:dyDescent="0.25">
      <c r="A1336" t="s">
        <v>1368</v>
      </c>
      <c r="B1336" t="s">
        <v>464</v>
      </c>
      <c r="C1336" t="s">
        <v>1369</v>
      </c>
      <c r="D1336" t="s">
        <v>50</v>
      </c>
      <c r="E1336" s="8" t="s">
        <v>1248</v>
      </c>
      <c r="F1336">
        <v>1.33</v>
      </c>
      <c r="G1336" t="s">
        <v>78</v>
      </c>
      <c r="H1336" t="e">
        <f>VLOOKUP(Tabla3[[#This Row],[DESCRIPCION MATERIAL]],'CODIGO MAT'!$C$2:$D$390,2,FALSE)</f>
        <v>#N/A</v>
      </c>
      <c r="I1336" s="64" t="s">
        <v>50</v>
      </c>
      <c r="J1336">
        <v>1</v>
      </c>
      <c r="K1336">
        <v>0</v>
      </c>
    </row>
    <row r="1337" spans="1:11" x14ac:dyDescent="0.25">
      <c r="A1337" t="s">
        <v>1368</v>
      </c>
      <c r="B1337" t="s">
        <v>464</v>
      </c>
      <c r="C1337" t="s">
        <v>1369</v>
      </c>
      <c r="D1337" t="s">
        <v>50</v>
      </c>
      <c r="E1337" s="8" t="s">
        <v>996</v>
      </c>
      <c r="F1337">
        <v>0.5</v>
      </c>
      <c r="G1337" t="s">
        <v>78</v>
      </c>
      <c r="H1337" t="str">
        <f>VLOOKUP(Tabla3[[#This Row],[DESCRIPCION MATERIAL]],'CODIGO MAT'!$C$2:$D$390,2,FALSE)</f>
        <v>AVI0000148</v>
      </c>
      <c r="J1337">
        <v>1</v>
      </c>
      <c r="K1337">
        <v>0</v>
      </c>
    </row>
    <row r="1338" spans="1:11" x14ac:dyDescent="0.25">
      <c r="A1338" t="s">
        <v>1368</v>
      </c>
      <c r="B1338" t="s">
        <v>464</v>
      </c>
      <c r="C1338" t="s">
        <v>1369</v>
      </c>
      <c r="D1338" t="s">
        <v>51</v>
      </c>
      <c r="E1338" s="8" t="s">
        <v>284</v>
      </c>
      <c r="F1338">
        <v>0</v>
      </c>
      <c r="G1338" t="s">
        <v>78</v>
      </c>
      <c r="H1338" t="str">
        <f>VLOOKUP(Tabla3[[#This Row],[DESCRIPCION MATERIAL]],'CODIGO MAT'!$C$2:$D$390,2,FALSE)</f>
        <v>AVI0000027</v>
      </c>
      <c r="J1338">
        <v>1</v>
      </c>
      <c r="K1338">
        <v>0</v>
      </c>
    </row>
    <row r="1339" spans="1:11" x14ac:dyDescent="0.25">
      <c r="A1339" t="s">
        <v>1370</v>
      </c>
      <c r="B1339" t="s">
        <v>464</v>
      </c>
      <c r="C1339" t="s">
        <v>1371</v>
      </c>
      <c r="D1339" t="s">
        <v>50</v>
      </c>
      <c r="E1339" s="8" t="s">
        <v>12</v>
      </c>
      <c r="F1339">
        <v>1.21</v>
      </c>
      <c r="G1339" t="s">
        <v>78</v>
      </c>
      <c r="H1339" t="str">
        <f>VLOOKUP(Tabla3[[#This Row],[DESCRIPCION MATERIAL]],'CODIGO MAT'!$C$2:$D$390,2,FALSE)</f>
        <v>TEL0000040</v>
      </c>
      <c r="J1339">
        <v>1</v>
      </c>
      <c r="K1339">
        <v>0</v>
      </c>
    </row>
    <row r="1340" spans="1:11" x14ac:dyDescent="0.25">
      <c r="A1340" t="s">
        <v>1370</v>
      </c>
      <c r="B1340" t="s">
        <v>464</v>
      </c>
      <c r="C1340" t="s">
        <v>1372</v>
      </c>
      <c r="D1340" t="s">
        <v>50</v>
      </c>
      <c r="E1340" s="8" t="s">
        <v>33</v>
      </c>
      <c r="F1340">
        <v>0.20699999999999999</v>
      </c>
      <c r="G1340" t="s">
        <v>78</v>
      </c>
      <c r="H1340" t="str">
        <f>VLOOKUP(Tabla3[[#This Row],[DESCRIPCION MATERIAL]],'CODIGO MAT'!$C$2:$D$390,2,FALSE)</f>
        <v>TEL0000043</v>
      </c>
      <c r="J1340">
        <v>1</v>
      </c>
      <c r="K1340">
        <v>0</v>
      </c>
    </row>
    <row r="1341" spans="1:11" x14ac:dyDescent="0.25">
      <c r="A1341" t="s">
        <v>1370</v>
      </c>
      <c r="B1341" t="s">
        <v>464</v>
      </c>
      <c r="C1341" t="s">
        <v>1373</v>
      </c>
      <c r="D1341" t="s">
        <v>51</v>
      </c>
      <c r="E1341" s="8" t="s">
        <v>996</v>
      </c>
      <c r="F1341">
        <v>0.5</v>
      </c>
      <c r="G1341" t="s">
        <v>78</v>
      </c>
      <c r="H1341" t="str">
        <f>VLOOKUP(Tabla3[[#This Row],[DESCRIPCION MATERIAL]],'CODIGO MAT'!$C$2:$D$390,2,FALSE)</f>
        <v>AVI0000148</v>
      </c>
      <c r="J1341">
        <v>1</v>
      </c>
      <c r="K1341">
        <v>0</v>
      </c>
    </row>
    <row r="1342" spans="1:11" x14ac:dyDescent="0.25">
      <c r="A1342" t="s">
        <v>1370</v>
      </c>
      <c r="B1342" t="s">
        <v>464</v>
      </c>
      <c r="C1342" t="s">
        <v>1374</v>
      </c>
      <c r="D1342" t="s">
        <v>51</v>
      </c>
      <c r="E1342" s="8" t="s">
        <v>349</v>
      </c>
      <c r="F1342">
        <v>0</v>
      </c>
      <c r="G1342" t="s">
        <v>78</v>
      </c>
      <c r="H1342" t="str">
        <f>VLOOKUP(Tabla3[[#This Row],[DESCRIPCION MATERIAL]],'CODIGO MAT'!$C$2:$D$390,2,FALSE)</f>
        <v>AVI0000087</v>
      </c>
      <c r="J1342">
        <v>1</v>
      </c>
      <c r="K1342">
        <v>0</v>
      </c>
    </row>
    <row r="1343" spans="1:11" x14ac:dyDescent="0.25">
      <c r="A1343" t="s">
        <v>1375</v>
      </c>
      <c r="B1343" t="s">
        <v>464</v>
      </c>
      <c r="C1343" t="s">
        <v>1376</v>
      </c>
      <c r="D1343" t="s">
        <v>50</v>
      </c>
      <c r="E1343" s="8" t="s">
        <v>118</v>
      </c>
      <c r="F1343">
        <v>0.66</v>
      </c>
      <c r="G1343" t="s">
        <v>78</v>
      </c>
      <c r="H1343" t="str">
        <f>VLOOKUP(Tabla3[[#This Row],[DESCRIPCION MATERIAL]],'CODIGO MAT'!$C$2:$D$390,2,FALSE)</f>
        <v>TEL0000045</v>
      </c>
      <c r="J1343">
        <v>1</v>
      </c>
      <c r="K1343">
        <v>0</v>
      </c>
    </row>
    <row r="1344" spans="1:11" x14ac:dyDescent="0.25">
      <c r="A1344" t="s">
        <v>1375</v>
      </c>
      <c r="B1344" t="s">
        <v>464</v>
      </c>
      <c r="C1344" t="s">
        <v>1377</v>
      </c>
      <c r="D1344" t="s">
        <v>50</v>
      </c>
      <c r="E1344" s="8" t="s">
        <v>12</v>
      </c>
      <c r="F1344">
        <v>0.7</v>
      </c>
      <c r="G1344" t="s">
        <v>78</v>
      </c>
      <c r="H1344" t="str">
        <f>VLOOKUP(Tabla3[[#This Row],[DESCRIPCION MATERIAL]],'CODIGO MAT'!$C$2:$D$390,2,FALSE)</f>
        <v>TEL0000040</v>
      </c>
      <c r="J1344">
        <v>1</v>
      </c>
      <c r="K1344">
        <v>0</v>
      </c>
    </row>
    <row r="1345" spans="1:11" x14ac:dyDescent="0.25">
      <c r="A1345" t="s">
        <v>1375</v>
      </c>
      <c r="B1345" t="s">
        <v>464</v>
      </c>
      <c r="C1345" t="s">
        <v>1378</v>
      </c>
      <c r="D1345" t="s">
        <v>50</v>
      </c>
      <c r="E1345" s="8" t="s">
        <v>33</v>
      </c>
      <c r="F1345">
        <v>0.24</v>
      </c>
      <c r="G1345" t="s">
        <v>78</v>
      </c>
      <c r="H1345" t="str">
        <f>VLOOKUP(Tabla3[[#This Row],[DESCRIPCION MATERIAL]],'CODIGO MAT'!$C$2:$D$390,2,FALSE)</f>
        <v>TEL0000043</v>
      </c>
      <c r="J1345">
        <v>1</v>
      </c>
      <c r="K1345">
        <v>0</v>
      </c>
    </row>
    <row r="1346" spans="1:11" x14ac:dyDescent="0.25">
      <c r="A1346" t="s">
        <v>1375</v>
      </c>
      <c r="B1346" t="s">
        <v>464</v>
      </c>
      <c r="C1346" t="s">
        <v>1379</v>
      </c>
      <c r="D1346" t="s">
        <v>51</v>
      </c>
      <c r="E1346" s="8" t="s">
        <v>996</v>
      </c>
      <c r="F1346">
        <v>0.5</v>
      </c>
      <c r="G1346" t="s">
        <v>78</v>
      </c>
      <c r="H1346" t="str">
        <f>VLOOKUP(Tabla3[[#This Row],[DESCRIPCION MATERIAL]],'CODIGO MAT'!$C$2:$D$390,2,FALSE)</f>
        <v>AVI0000148</v>
      </c>
      <c r="J1346">
        <v>1</v>
      </c>
      <c r="K1346">
        <v>0</v>
      </c>
    </row>
    <row r="1347" spans="1:11" x14ac:dyDescent="0.25">
      <c r="A1347" t="s">
        <v>1380</v>
      </c>
      <c r="B1347" t="s">
        <v>464</v>
      </c>
      <c r="C1347" t="s">
        <v>1381</v>
      </c>
      <c r="D1347" t="s">
        <v>50</v>
      </c>
      <c r="E1347" s="8" t="s">
        <v>1231</v>
      </c>
      <c r="F1347">
        <v>0.68500000000000005</v>
      </c>
      <c r="G1347" t="s">
        <v>78</v>
      </c>
      <c r="H1347" t="e">
        <f>VLOOKUP(Tabla3[[#This Row],[DESCRIPCION MATERIAL]],'CODIGO MAT'!$C$2:$D$390,2,FALSE)</f>
        <v>#N/A</v>
      </c>
      <c r="I1347" s="64" t="s">
        <v>50</v>
      </c>
      <c r="J1347">
        <v>1</v>
      </c>
      <c r="K1347">
        <v>0</v>
      </c>
    </row>
    <row r="1348" spans="1:11" x14ac:dyDescent="0.25">
      <c r="A1348" t="s">
        <v>1380</v>
      </c>
      <c r="B1348" t="s">
        <v>464</v>
      </c>
      <c r="C1348" t="s">
        <v>1381</v>
      </c>
      <c r="D1348" t="s">
        <v>50</v>
      </c>
      <c r="E1348" s="8" t="s">
        <v>1232</v>
      </c>
      <c r="F1348">
        <v>1.3740000000000001</v>
      </c>
      <c r="G1348" t="s">
        <v>78</v>
      </c>
      <c r="H1348" t="e">
        <f>VLOOKUP(Tabla3[[#This Row],[DESCRIPCION MATERIAL]],'CODIGO MAT'!$C$2:$D$390,2,FALSE)</f>
        <v>#N/A</v>
      </c>
      <c r="I1348" s="64" t="s">
        <v>50</v>
      </c>
      <c r="J1348">
        <v>1</v>
      </c>
      <c r="K1348">
        <v>0</v>
      </c>
    </row>
    <row r="1349" spans="1:11" x14ac:dyDescent="0.25">
      <c r="A1349" t="s">
        <v>1380</v>
      </c>
      <c r="B1349" t="s">
        <v>464</v>
      </c>
      <c r="C1349" t="s">
        <v>1381</v>
      </c>
      <c r="D1349" t="s">
        <v>51</v>
      </c>
      <c r="E1349" s="8" t="s">
        <v>1382</v>
      </c>
      <c r="F1349">
        <v>0.6</v>
      </c>
      <c r="G1349" t="s">
        <v>78</v>
      </c>
      <c r="H1349" t="e">
        <f>VLOOKUP(Tabla3[[#This Row],[DESCRIPCION MATERIAL]],'CODIGO MAT'!$C$2:$D$390,2,FALSE)</f>
        <v>#N/A</v>
      </c>
      <c r="I1349" s="64" t="s">
        <v>51</v>
      </c>
      <c r="J1349">
        <v>1</v>
      </c>
      <c r="K1349">
        <v>0</v>
      </c>
    </row>
    <row r="1350" spans="1:11" x14ac:dyDescent="0.25">
      <c r="A1350" t="s">
        <v>1383</v>
      </c>
      <c r="B1350" t="s">
        <v>464</v>
      </c>
      <c r="C1350" t="s">
        <v>1384</v>
      </c>
      <c r="D1350" t="s">
        <v>50</v>
      </c>
      <c r="E1350" s="8" t="s">
        <v>1385</v>
      </c>
      <c r="F1350">
        <v>0.44800000000000001</v>
      </c>
      <c r="G1350" t="s">
        <v>78</v>
      </c>
      <c r="H1350" t="e">
        <f>VLOOKUP(Tabla3[[#This Row],[DESCRIPCION MATERIAL]],'CODIGO MAT'!$C$2:$D$390,2,FALSE)</f>
        <v>#N/A</v>
      </c>
      <c r="I1350" s="64" t="s">
        <v>50</v>
      </c>
      <c r="J1350">
        <v>1</v>
      </c>
      <c r="K1350">
        <v>0</v>
      </c>
    </row>
    <row r="1351" spans="1:11" x14ac:dyDescent="0.25">
      <c r="A1351" t="s">
        <v>1383</v>
      </c>
      <c r="B1351" t="s">
        <v>464</v>
      </c>
      <c r="C1351" t="s">
        <v>1384</v>
      </c>
      <c r="D1351" t="s">
        <v>50</v>
      </c>
      <c r="E1351" s="8" t="s">
        <v>1389</v>
      </c>
      <c r="F1351">
        <v>0.44800000000000001</v>
      </c>
      <c r="G1351" t="s">
        <v>78</v>
      </c>
      <c r="H1351" t="e">
        <f>VLOOKUP(Tabla3[[#This Row],[DESCRIPCION MATERIAL]],'CODIGO MAT'!$C$2:$D$390,2,FALSE)</f>
        <v>#N/A</v>
      </c>
      <c r="I1351" s="64" t="s">
        <v>50</v>
      </c>
      <c r="J1351">
        <v>1</v>
      </c>
      <c r="K1351">
        <v>0</v>
      </c>
    </row>
    <row r="1352" spans="1:11" x14ac:dyDescent="0.25">
      <c r="A1352" t="s">
        <v>1383</v>
      </c>
      <c r="B1352" t="s">
        <v>464</v>
      </c>
      <c r="C1352" t="s">
        <v>1384</v>
      </c>
      <c r="D1352" t="s">
        <v>50</v>
      </c>
      <c r="E1352" s="8" t="s">
        <v>1387</v>
      </c>
      <c r="F1352">
        <v>0.11899999999999999</v>
      </c>
      <c r="G1352" t="s">
        <v>78</v>
      </c>
      <c r="H1352" t="e">
        <f>VLOOKUP(Tabla3[[#This Row],[DESCRIPCION MATERIAL]],'CODIGO MAT'!$C$2:$D$390,2,FALSE)</f>
        <v>#N/A</v>
      </c>
      <c r="I1352" s="64" t="s">
        <v>50</v>
      </c>
      <c r="J1352">
        <v>1</v>
      </c>
      <c r="K1352">
        <v>0</v>
      </c>
    </row>
    <row r="1353" spans="1:11" x14ac:dyDescent="0.25">
      <c r="A1353" t="s">
        <v>1383</v>
      </c>
      <c r="B1353" t="s">
        <v>464</v>
      </c>
      <c r="C1353" t="s">
        <v>1384</v>
      </c>
      <c r="D1353" t="s">
        <v>50</v>
      </c>
      <c r="E1353" s="8" t="s">
        <v>1394</v>
      </c>
      <c r="F1353">
        <v>0.22800000000000001</v>
      </c>
      <c r="G1353" t="s">
        <v>78</v>
      </c>
      <c r="H1353" t="e">
        <f>VLOOKUP(Tabla3[[#This Row],[DESCRIPCION MATERIAL]],'CODIGO MAT'!$C$2:$D$390,2,FALSE)</f>
        <v>#N/A</v>
      </c>
      <c r="I1353" s="64" t="s">
        <v>50</v>
      </c>
      <c r="J1353">
        <v>1</v>
      </c>
      <c r="K1353">
        <v>0</v>
      </c>
    </row>
    <row r="1354" spans="1:11" x14ac:dyDescent="0.25">
      <c r="A1354" t="s">
        <v>1383</v>
      </c>
      <c r="B1354" t="s">
        <v>464</v>
      </c>
      <c r="C1354" t="s">
        <v>1384</v>
      </c>
      <c r="D1354" t="s">
        <v>51</v>
      </c>
      <c r="E1354" s="8" t="s">
        <v>1395</v>
      </c>
      <c r="F1354">
        <v>1.4</v>
      </c>
      <c r="G1354" t="s">
        <v>78</v>
      </c>
      <c r="H1354" t="e">
        <f>VLOOKUP(Tabla3[[#This Row],[DESCRIPCION MATERIAL]],'CODIGO MAT'!$C$2:$D$390,2,FALSE)</f>
        <v>#N/A</v>
      </c>
      <c r="I1354" s="64" t="s">
        <v>51</v>
      </c>
      <c r="J1354">
        <v>1</v>
      </c>
      <c r="K1354">
        <v>0</v>
      </c>
    </row>
    <row r="1355" spans="1:11" x14ac:dyDescent="0.25">
      <c r="A1355" t="s">
        <v>1383</v>
      </c>
      <c r="B1355" t="s">
        <v>464</v>
      </c>
      <c r="C1355" t="s">
        <v>1384</v>
      </c>
      <c r="D1355" t="s">
        <v>51</v>
      </c>
      <c r="E1355" s="8" t="s">
        <v>1396</v>
      </c>
      <c r="F1355">
        <v>1.25</v>
      </c>
      <c r="G1355" t="s">
        <v>78</v>
      </c>
      <c r="H1355" t="e">
        <f>VLOOKUP(Tabla3[[#This Row],[DESCRIPCION MATERIAL]],'CODIGO MAT'!$C$2:$D$390,2,FALSE)</f>
        <v>#N/A</v>
      </c>
      <c r="I1355" s="64" t="s">
        <v>51</v>
      </c>
      <c r="J1355">
        <v>1</v>
      </c>
      <c r="K1355">
        <v>0</v>
      </c>
    </row>
    <row r="1356" spans="1:11" x14ac:dyDescent="0.25">
      <c r="A1356" t="s">
        <v>1383</v>
      </c>
      <c r="B1356" t="s">
        <v>464</v>
      </c>
      <c r="C1356" t="s">
        <v>1384</v>
      </c>
      <c r="D1356" t="s">
        <v>50</v>
      </c>
      <c r="E1356" s="8" t="s">
        <v>161</v>
      </c>
      <c r="F1356">
        <v>0</v>
      </c>
      <c r="G1356" t="s">
        <v>78</v>
      </c>
      <c r="H1356" t="str">
        <f>VLOOKUP(Tabla3[[#This Row],[DESCRIPCION MATERIAL]],'CODIGO MAT'!$C$2:$D$390,2,FALSE)</f>
        <v>TEL0000088</v>
      </c>
      <c r="J1356">
        <v>1</v>
      </c>
      <c r="K1356">
        <v>0</v>
      </c>
    </row>
    <row r="1357" spans="1:11" x14ac:dyDescent="0.25">
      <c r="A1357" t="s">
        <v>1383</v>
      </c>
      <c r="B1357" t="s">
        <v>464</v>
      </c>
      <c r="C1357" t="s">
        <v>1384</v>
      </c>
      <c r="D1357" t="s">
        <v>50</v>
      </c>
      <c r="E1357" s="8" t="s">
        <v>114</v>
      </c>
      <c r="F1357">
        <v>0</v>
      </c>
      <c r="G1357" t="s">
        <v>78</v>
      </c>
      <c r="H1357" t="str">
        <f>VLOOKUP(Tabla3[[#This Row],[DESCRIPCION MATERIAL]],'CODIGO MAT'!$C$2:$D$390,2,FALSE)</f>
        <v>TEL0000037</v>
      </c>
      <c r="J1357">
        <v>1</v>
      </c>
      <c r="K1357">
        <v>0</v>
      </c>
    </row>
    <row r="1358" spans="1:11" x14ac:dyDescent="0.25">
      <c r="A1358" t="s">
        <v>1383</v>
      </c>
      <c r="B1358" t="s">
        <v>464</v>
      </c>
      <c r="C1358" t="s">
        <v>1384</v>
      </c>
      <c r="D1358" t="s">
        <v>51</v>
      </c>
      <c r="E1358" s="8" t="s">
        <v>1397</v>
      </c>
      <c r="F1358">
        <v>2.66</v>
      </c>
      <c r="G1358" t="s">
        <v>78</v>
      </c>
      <c r="H1358" t="e">
        <f>VLOOKUP(Tabla3[[#This Row],[DESCRIPCION MATERIAL]],'CODIGO MAT'!$C$2:$D$390,2,FALSE)</f>
        <v>#N/A</v>
      </c>
      <c r="I1358" s="64" t="s">
        <v>51</v>
      </c>
      <c r="J1358">
        <v>1</v>
      </c>
      <c r="K1358">
        <v>0</v>
      </c>
    </row>
    <row r="1359" spans="1:11" x14ac:dyDescent="0.25">
      <c r="A1359" t="s">
        <v>1383</v>
      </c>
      <c r="B1359" t="s">
        <v>464</v>
      </c>
      <c r="C1359" t="s">
        <v>1384</v>
      </c>
      <c r="D1359" t="s">
        <v>51</v>
      </c>
      <c r="E1359" s="8" t="s">
        <v>1398</v>
      </c>
      <c r="F1359">
        <v>1.4</v>
      </c>
      <c r="G1359" t="s">
        <v>78</v>
      </c>
      <c r="H1359" t="e">
        <f>VLOOKUP(Tabla3[[#This Row],[DESCRIPCION MATERIAL]],'CODIGO MAT'!$C$2:$D$390,2,FALSE)</f>
        <v>#N/A</v>
      </c>
      <c r="I1359" s="64" t="s">
        <v>51</v>
      </c>
      <c r="J1359">
        <v>1</v>
      </c>
      <c r="K1359">
        <v>0</v>
      </c>
    </row>
    <row r="1360" spans="1:11" x14ac:dyDescent="0.25">
      <c r="A1360" t="s">
        <v>1383</v>
      </c>
      <c r="B1360" t="s">
        <v>464</v>
      </c>
      <c r="C1360" t="s">
        <v>1384</v>
      </c>
      <c r="D1360" t="s">
        <v>51</v>
      </c>
      <c r="E1360" s="8" t="s">
        <v>1399</v>
      </c>
      <c r="F1360">
        <v>1.4</v>
      </c>
      <c r="G1360" t="s">
        <v>78</v>
      </c>
      <c r="H1360" t="e">
        <f>VLOOKUP(Tabla3[[#This Row],[DESCRIPCION MATERIAL]],'CODIGO MAT'!$C$2:$D$390,2,FALSE)</f>
        <v>#N/A</v>
      </c>
      <c r="I1360" s="64" t="s">
        <v>51</v>
      </c>
      <c r="J1360">
        <v>1</v>
      </c>
      <c r="K1360">
        <v>0</v>
      </c>
    </row>
    <row r="1361" spans="1:11" x14ac:dyDescent="0.25">
      <c r="A1361" t="s">
        <v>1383</v>
      </c>
      <c r="B1361" t="s">
        <v>464</v>
      </c>
      <c r="C1361" t="s">
        <v>1384</v>
      </c>
      <c r="D1361" t="s">
        <v>51</v>
      </c>
      <c r="E1361" s="8" t="s">
        <v>1400</v>
      </c>
      <c r="F1361">
        <v>2.2599999999999998</v>
      </c>
      <c r="G1361" t="s">
        <v>78</v>
      </c>
      <c r="H1361" t="e">
        <f>VLOOKUP(Tabla3[[#This Row],[DESCRIPCION MATERIAL]],'CODIGO MAT'!$C$2:$D$390,2,FALSE)</f>
        <v>#N/A</v>
      </c>
      <c r="I1361" s="64" t="s">
        <v>51</v>
      </c>
      <c r="J1361">
        <v>1</v>
      </c>
      <c r="K1361">
        <v>0</v>
      </c>
    </row>
    <row r="1362" spans="1:11" x14ac:dyDescent="0.25">
      <c r="A1362" t="s">
        <v>1383</v>
      </c>
      <c r="B1362" t="s">
        <v>464</v>
      </c>
      <c r="C1362" t="s">
        <v>1384</v>
      </c>
      <c r="D1362" t="s">
        <v>51</v>
      </c>
      <c r="E1362" s="8" t="s">
        <v>1401</v>
      </c>
      <c r="F1362">
        <v>2.7</v>
      </c>
      <c r="G1362" t="s">
        <v>78</v>
      </c>
      <c r="H1362" t="e">
        <f>VLOOKUP(Tabla3[[#This Row],[DESCRIPCION MATERIAL]],'CODIGO MAT'!$C$2:$D$390,2,FALSE)</f>
        <v>#N/A</v>
      </c>
      <c r="I1362" s="64" t="s">
        <v>51</v>
      </c>
      <c r="J1362">
        <v>1</v>
      </c>
      <c r="K1362">
        <v>0</v>
      </c>
    </row>
    <row r="1363" spans="1:11" x14ac:dyDescent="0.25">
      <c r="A1363" t="s">
        <v>1383</v>
      </c>
      <c r="B1363" t="s">
        <v>464</v>
      </c>
      <c r="C1363" t="s">
        <v>1384</v>
      </c>
      <c r="D1363" t="s">
        <v>51</v>
      </c>
      <c r="E1363" s="8" t="s">
        <v>1402</v>
      </c>
      <c r="F1363">
        <v>1.26</v>
      </c>
      <c r="G1363" t="s">
        <v>78</v>
      </c>
      <c r="H1363" t="e">
        <f>VLOOKUP(Tabla3[[#This Row],[DESCRIPCION MATERIAL]],'CODIGO MAT'!$C$2:$D$390,2,FALSE)</f>
        <v>#N/A</v>
      </c>
      <c r="I1363" s="64" t="s">
        <v>51</v>
      </c>
      <c r="J1363">
        <v>1</v>
      </c>
      <c r="K1363">
        <v>0</v>
      </c>
    </row>
    <row r="1364" spans="1:11" x14ac:dyDescent="0.25">
      <c r="A1364" t="s">
        <v>1383</v>
      </c>
      <c r="B1364" t="s">
        <v>464</v>
      </c>
      <c r="C1364" t="s">
        <v>1384</v>
      </c>
      <c r="D1364" t="s">
        <v>51</v>
      </c>
      <c r="E1364" s="8" t="s">
        <v>1403</v>
      </c>
      <c r="F1364">
        <v>1.26</v>
      </c>
      <c r="G1364" t="s">
        <v>78</v>
      </c>
      <c r="H1364" t="e">
        <f>VLOOKUP(Tabla3[[#This Row],[DESCRIPCION MATERIAL]],'CODIGO MAT'!$C$2:$D$390,2,FALSE)</f>
        <v>#N/A</v>
      </c>
      <c r="I1364" s="64" t="s">
        <v>51</v>
      </c>
      <c r="J1364">
        <v>1</v>
      </c>
      <c r="K1364">
        <v>0</v>
      </c>
    </row>
    <row r="1365" spans="1:11" x14ac:dyDescent="0.25">
      <c r="A1365" t="s">
        <v>1383</v>
      </c>
      <c r="B1365" t="s">
        <v>464</v>
      </c>
      <c r="C1365" t="s">
        <v>1406</v>
      </c>
      <c r="D1365" t="s">
        <v>50</v>
      </c>
      <c r="E1365" s="8" t="s">
        <v>1385</v>
      </c>
      <c r="F1365">
        <v>0.26500000000000001</v>
      </c>
      <c r="G1365" t="s">
        <v>78</v>
      </c>
      <c r="H1365" t="e">
        <f>VLOOKUP(Tabla3[[#This Row],[DESCRIPCION MATERIAL]],'CODIGO MAT'!$C$2:$D$390,2,FALSE)</f>
        <v>#N/A</v>
      </c>
      <c r="I1365" s="64" t="s">
        <v>51</v>
      </c>
      <c r="J1365">
        <v>1</v>
      </c>
      <c r="K1365">
        <v>0</v>
      </c>
    </row>
    <row r="1366" spans="1:11" x14ac:dyDescent="0.25">
      <c r="A1366" t="s">
        <v>1383</v>
      </c>
      <c r="B1366" t="s">
        <v>464</v>
      </c>
      <c r="C1366" t="s">
        <v>1406</v>
      </c>
      <c r="D1366" t="s">
        <v>50</v>
      </c>
      <c r="E1366" s="8" t="s">
        <v>1389</v>
      </c>
      <c r="F1366">
        <v>0.69</v>
      </c>
      <c r="G1366" t="s">
        <v>78</v>
      </c>
      <c r="H1366" t="e">
        <f>VLOOKUP(Tabla3[[#This Row],[DESCRIPCION MATERIAL]],'CODIGO MAT'!$C$2:$D$390,2,FALSE)</f>
        <v>#N/A</v>
      </c>
      <c r="I1366" s="64" t="s">
        <v>50</v>
      </c>
      <c r="J1366">
        <v>1</v>
      </c>
      <c r="K1366">
        <v>0</v>
      </c>
    </row>
    <row r="1367" spans="1:11" x14ac:dyDescent="0.25">
      <c r="A1367" t="s">
        <v>1383</v>
      </c>
      <c r="B1367" t="s">
        <v>464</v>
      </c>
      <c r="C1367" t="s">
        <v>1406</v>
      </c>
      <c r="D1367" t="s">
        <v>50</v>
      </c>
      <c r="E1367" s="8" t="s">
        <v>12</v>
      </c>
      <c r="F1367">
        <v>0.71399999999999997</v>
      </c>
      <c r="G1367" t="s">
        <v>78</v>
      </c>
      <c r="H1367" t="str">
        <f>VLOOKUP(Tabla3[[#This Row],[DESCRIPCION MATERIAL]],'CODIGO MAT'!$C$2:$D$390,2,FALSE)</f>
        <v>TEL0000040</v>
      </c>
      <c r="J1367">
        <v>1</v>
      </c>
      <c r="K1367">
        <v>0</v>
      </c>
    </row>
    <row r="1368" spans="1:11" x14ac:dyDescent="0.25">
      <c r="A1368" t="s">
        <v>1383</v>
      </c>
      <c r="B1368" t="s">
        <v>464</v>
      </c>
      <c r="C1368" t="s">
        <v>1406</v>
      </c>
      <c r="D1368" t="s">
        <v>1407</v>
      </c>
      <c r="E1368" s="8" t="s">
        <v>1396</v>
      </c>
      <c r="F1368">
        <v>0</v>
      </c>
      <c r="G1368" t="s">
        <v>78</v>
      </c>
      <c r="H1368" t="e">
        <f>VLOOKUP(Tabla3[[#This Row],[DESCRIPCION MATERIAL]],'CODIGO MAT'!$C$2:$D$390,2,FALSE)</f>
        <v>#N/A</v>
      </c>
      <c r="I1368" s="64" t="s">
        <v>51</v>
      </c>
      <c r="J1368">
        <v>1</v>
      </c>
      <c r="K1368">
        <v>0</v>
      </c>
    </row>
    <row r="1369" spans="1:11" x14ac:dyDescent="0.25">
      <c r="A1369" t="s">
        <v>1383</v>
      </c>
      <c r="B1369" t="s">
        <v>464</v>
      </c>
      <c r="C1369" t="s">
        <v>1406</v>
      </c>
      <c r="D1369" t="s">
        <v>1407</v>
      </c>
      <c r="E1369" s="8" t="s">
        <v>1401</v>
      </c>
      <c r="F1369">
        <v>0</v>
      </c>
      <c r="G1369" t="s">
        <v>78</v>
      </c>
      <c r="H1369" t="e">
        <f>VLOOKUP(Tabla3[[#This Row],[DESCRIPCION MATERIAL]],'CODIGO MAT'!$C$2:$D$390,2,FALSE)</f>
        <v>#N/A</v>
      </c>
      <c r="I1369" s="64" t="s">
        <v>51</v>
      </c>
      <c r="J1369">
        <v>1</v>
      </c>
      <c r="K1369">
        <v>0</v>
      </c>
    </row>
    <row r="1370" spans="1:11" x14ac:dyDescent="0.25">
      <c r="A1370" t="s">
        <v>1383</v>
      </c>
      <c r="B1370" t="s">
        <v>464</v>
      </c>
      <c r="C1370" t="s">
        <v>1406</v>
      </c>
      <c r="D1370" t="s">
        <v>1407</v>
      </c>
      <c r="E1370" s="8" t="s">
        <v>1402</v>
      </c>
      <c r="F1370">
        <v>0</v>
      </c>
      <c r="G1370" t="s">
        <v>78</v>
      </c>
      <c r="H1370" t="e">
        <f>VLOOKUP(Tabla3[[#This Row],[DESCRIPCION MATERIAL]],'CODIGO MAT'!$C$2:$D$390,2,FALSE)</f>
        <v>#N/A</v>
      </c>
      <c r="I1370" s="64" t="s">
        <v>51</v>
      </c>
      <c r="J1370">
        <v>1</v>
      </c>
      <c r="K1370">
        <v>0</v>
      </c>
    </row>
    <row r="1371" spans="1:11" x14ac:dyDescent="0.25">
      <c r="A1371" t="s">
        <v>1383</v>
      </c>
      <c r="B1371" t="s">
        <v>464</v>
      </c>
      <c r="C1371" t="s">
        <v>1406</v>
      </c>
      <c r="D1371" t="s">
        <v>1407</v>
      </c>
      <c r="E1371" s="8" t="s">
        <v>1403</v>
      </c>
      <c r="F1371">
        <v>0</v>
      </c>
      <c r="G1371" t="s">
        <v>78</v>
      </c>
      <c r="H1371" t="e">
        <f>VLOOKUP(Tabla3[[#This Row],[DESCRIPCION MATERIAL]],'CODIGO MAT'!$C$2:$D$390,2,FALSE)</f>
        <v>#N/A</v>
      </c>
      <c r="I1371" s="64" t="s">
        <v>51</v>
      </c>
      <c r="J1371">
        <v>1</v>
      </c>
      <c r="K1371">
        <v>0</v>
      </c>
    </row>
    <row r="1372" spans="1:11" x14ac:dyDescent="0.25">
      <c r="A1372" t="s">
        <v>1383</v>
      </c>
      <c r="B1372" t="s">
        <v>464</v>
      </c>
      <c r="C1372" t="s">
        <v>1406</v>
      </c>
      <c r="D1372" t="s">
        <v>1407</v>
      </c>
      <c r="E1372" s="8" t="s">
        <v>1400</v>
      </c>
      <c r="F1372">
        <v>0</v>
      </c>
      <c r="G1372" t="s">
        <v>78</v>
      </c>
      <c r="H1372" t="e">
        <f>VLOOKUP(Tabla3[[#This Row],[DESCRIPCION MATERIAL]],'CODIGO MAT'!$C$2:$D$390,2,FALSE)</f>
        <v>#N/A</v>
      </c>
      <c r="I1372" s="64" t="s">
        <v>51</v>
      </c>
      <c r="J1372">
        <v>1</v>
      </c>
      <c r="K1372">
        <v>0</v>
      </c>
    </row>
    <row r="1373" spans="1:11" x14ac:dyDescent="0.25">
      <c r="A1373" t="s">
        <v>1408</v>
      </c>
      <c r="B1373" t="s">
        <v>464</v>
      </c>
      <c r="C1373" t="s">
        <v>1409</v>
      </c>
      <c r="D1373" t="s">
        <v>50</v>
      </c>
      <c r="E1373" s="8" t="s">
        <v>121</v>
      </c>
      <c r="F1373">
        <v>0.30399999999999999</v>
      </c>
      <c r="G1373" t="s">
        <v>78</v>
      </c>
      <c r="H1373" t="str">
        <f>VLOOKUP(Tabla3[[#This Row],[DESCRIPCION MATERIAL]],'CODIGO MAT'!$C$2:$D$390,2,FALSE)</f>
        <v>TEL0000048</v>
      </c>
      <c r="J1373">
        <v>1</v>
      </c>
      <c r="K1373">
        <v>0</v>
      </c>
    </row>
    <row r="1374" spans="1:11" x14ac:dyDescent="0.25">
      <c r="A1374" t="s">
        <v>1408</v>
      </c>
      <c r="B1374" t="s">
        <v>464</v>
      </c>
      <c r="C1374" t="s">
        <v>1409</v>
      </c>
      <c r="D1374" t="s">
        <v>50</v>
      </c>
      <c r="E1374" s="8" t="s">
        <v>130</v>
      </c>
      <c r="F1374">
        <v>5.5E-2</v>
      </c>
      <c r="G1374" t="s">
        <v>78</v>
      </c>
      <c r="H1374" t="str">
        <f>VLOOKUP(Tabla3[[#This Row],[DESCRIPCION MATERIAL]],'CODIGO MAT'!$C$2:$D$390,2,FALSE)</f>
        <v>TEL0000057</v>
      </c>
      <c r="J1374">
        <v>1</v>
      </c>
      <c r="K1374">
        <v>0</v>
      </c>
    </row>
    <row r="1375" spans="1:11" x14ac:dyDescent="0.25">
      <c r="A1375" t="s">
        <v>1408</v>
      </c>
      <c r="B1375" t="s">
        <v>464</v>
      </c>
      <c r="C1375" t="s">
        <v>1409</v>
      </c>
      <c r="D1375" t="s">
        <v>50</v>
      </c>
      <c r="E1375" s="8" t="s">
        <v>119</v>
      </c>
      <c r="F1375">
        <v>2.9000000000000001E-2</v>
      </c>
      <c r="G1375" t="s">
        <v>78</v>
      </c>
      <c r="H1375" t="str">
        <f>VLOOKUP(Tabla3[[#This Row],[DESCRIPCION MATERIAL]],'CODIGO MAT'!$C$2:$D$390,2,FALSE)</f>
        <v>TEL0000046</v>
      </c>
      <c r="J1375">
        <v>1</v>
      </c>
      <c r="K1375">
        <v>0</v>
      </c>
    </row>
    <row r="1376" spans="1:11" x14ac:dyDescent="0.25">
      <c r="A1376" t="s">
        <v>1408</v>
      </c>
      <c r="B1376" t="s">
        <v>464</v>
      </c>
      <c r="C1376" t="s">
        <v>1409</v>
      </c>
      <c r="D1376" t="s">
        <v>50</v>
      </c>
      <c r="E1376" s="8" t="s">
        <v>123</v>
      </c>
      <c r="F1376">
        <v>3.3000000000000002E-2</v>
      </c>
      <c r="G1376" t="s">
        <v>78</v>
      </c>
      <c r="H1376" t="str">
        <f>VLOOKUP(Tabla3[[#This Row],[DESCRIPCION MATERIAL]],'CODIGO MAT'!$C$2:$D$390,2,FALSE)</f>
        <v>TEL0000050</v>
      </c>
      <c r="J1376">
        <v>1</v>
      </c>
      <c r="K1376">
        <v>0</v>
      </c>
    </row>
    <row r="1377" spans="1:11" x14ac:dyDescent="0.25">
      <c r="A1377" t="s">
        <v>1408</v>
      </c>
      <c r="B1377" t="s">
        <v>464</v>
      </c>
      <c r="C1377" t="s">
        <v>1409</v>
      </c>
      <c r="D1377" t="s">
        <v>50</v>
      </c>
      <c r="E1377" s="8" t="s">
        <v>1410</v>
      </c>
      <c r="F1377">
        <v>0.27600000000000002</v>
      </c>
      <c r="G1377" t="s">
        <v>78</v>
      </c>
      <c r="H1377" t="e">
        <f>VLOOKUP(Tabla3[[#This Row],[DESCRIPCION MATERIAL]],'CODIGO MAT'!$C$2:$D$390,2,FALSE)</f>
        <v>#N/A</v>
      </c>
      <c r="I1377" s="64" t="s">
        <v>50</v>
      </c>
      <c r="J1377">
        <v>1</v>
      </c>
      <c r="K1377">
        <v>0</v>
      </c>
    </row>
    <row r="1378" spans="1:11" x14ac:dyDescent="0.25">
      <c r="A1378" t="s">
        <v>1408</v>
      </c>
      <c r="B1378" t="s">
        <v>464</v>
      </c>
      <c r="C1378" t="s">
        <v>1409</v>
      </c>
      <c r="D1378" t="s">
        <v>51</v>
      </c>
      <c r="E1378" s="8" t="s">
        <v>353</v>
      </c>
      <c r="F1378">
        <v>0.71</v>
      </c>
      <c r="G1378" t="s">
        <v>78</v>
      </c>
      <c r="H1378" t="str">
        <f>VLOOKUP(Tabla3[[#This Row],[DESCRIPCION MATERIAL]],'CODIGO MAT'!$C$2:$D$390,2,FALSE)</f>
        <v>AVI0000091</v>
      </c>
      <c r="J1378">
        <v>1</v>
      </c>
      <c r="K1378">
        <v>0</v>
      </c>
    </row>
    <row r="1379" spans="1:11" x14ac:dyDescent="0.25">
      <c r="A1379" t="s">
        <v>1408</v>
      </c>
      <c r="B1379" t="s">
        <v>464</v>
      </c>
      <c r="C1379" t="s">
        <v>1409</v>
      </c>
      <c r="D1379" t="s">
        <v>51</v>
      </c>
      <c r="E1379" s="8" t="s">
        <v>352</v>
      </c>
      <c r="F1379">
        <v>1.07</v>
      </c>
      <c r="G1379" t="s">
        <v>78</v>
      </c>
      <c r="H1379" t="str">
        <f>VLOOKUP(Tabla3[[#This Row],[DESCRIPCION MATERIAL]],'CODIGO MAT'!$C$2:$D$390,2,FALSE)</f>
        <v>AVI0000090</v>
      </c>
      <c r="J1379">
        <v>1</v>
      </c>
      <c r="K1379">
        <v>0</v>
      </c>
    </row>
    <row r="1380" spans="1:11" x14ac:dyDescent="0.25">
      <c r="A1380" t="s">
        <v>1408</v>
      </c>
      <c r="B1380" t="s">
        <v>464</v>
      </c>
      <c r="C1380" t="s">
        <v>1409</v>
      </c>
      <c r="D1380" t="s">
        <v>51</v>
      </c>
      <c r="E1380" s="8" t="s">
        <v>349</v>
      </c>
      <c r="F1380">
        <v>0.45</v>
      </c>
      <c r="G1380" t="s">
        <v>78</v>
      </c>
      <c r="H1380" t="str">
        <f>VLOOKUP(Tabla3[[#This Row],[DESCRIPCION MATERIAL]],'CODIGO MAT'!$C$2:$D$390,2,FALSE)</f>
        <v>AVI0000087</v>
      </c>
      <c r="J1380">
        <v>1</v>
      </c>
      <c r="K1380">
        <v>0</v>
      </c>
    </row>
    <row r="1381" spans="1:11" x14ac:dyDescent="0.25">
      <c r="A1381" t="s">
        <v>1408</v>
      </c>
      <c r="B1381" t="s">
        <v>464</v>
      </c>
      <c r="C1381" t="s">
        <v>1409</v>
      </c>
      <c r="D1381" t="s">
        <v>51</v>
      </c>
      <c r="E1381" s="8" t="s">
        <v>345</v>
      </c>
      <c r="F1381">
        <v>0.53</v>
      </c>
      <c r="G1381" t="s">
        <v>78</v>
      </c>
      <c r="H1381" t="str">
        <f>VLOOKUP(Tabla3[[#This Row],[DESCRIPCION MATERIAL]],'CODIGO MAT'!$C$2:$D$390,2,FALSE)</f>
        <v>AVI0000083</v>
      </c>
      <c r="J1381">
        <v>1</v>
      </c>
      <c r="K1381">
        <v>0</v>
      </c>
    </row>
    <row r="1382" spans="1:11" x14ac:dyDescent="0.25">
      <c r="A1382" t="s">
        <v>1408</v>
      </c>
      <c r="B1382" t="s">
        <v>464</v>
      </c>
      <c r="C1382" t="s">
        <v>1409</v>
      </c>
      <c r="D1382" t="s">
        <v>51</v>
      </c>
      <c r="E1382" s="8" t="s">
        <v>347</v>
      </c>
      <c r="F1382">
        <v>0.56999999999999995</v>
      </c>
      <c r="G1382" t="s">
        <v>78</v>
      </c>
      <c r="H1382" t="str">
        <f>VLOOKUP(Tabla3[[#This Row],[DESCRIPCION MATERIAL]],'CODIGO MAT'!$C$2:$D$390,2,FALSE)</f>
        <v>AVI0000085</v>
      </c>
      <c r="J1382">
        <v>1</v>
      </c>
      <c r="K1382">
        <v>0</v>
      </c>
    </row>
    <row r="1383" spans="1:11" x14ac:dyDescent="0.25">
      <c r="A1383" t="s">
        <v>1408</v>
      </c>
      <c r="B1383" t="s">
        <v>464</v>
      </c>
      <c r="C1383" t="s">
        <v>1409</v>
      </c>
      <c r="D1383" t="s">
        <v>51</v>
      </c>
      <c r="E1383" s="8" t="s">
        <v>350</v>
      </c>
      <c r="F1383">
        <v>0.5</v>
      </c>
      <c r="G1383" t="s">
        <v>78</v>
      </c>
      <c r="H1383" t="str">
        <f>VLOOKUP(Tabla3[[#This Row],[DESCRIPCION MATERIAL]],'CODIGO MAT'!$C$2:$D$390,2,FALSE)</f>
        <v>AVI0000088</v>
      </c>
      <c r="J1383">
        <v>1</v>
      </c>
      <c r="K1383">
        <v>0</v>
      </c>
    </row>
    <row r="1384" spans="1:11" x14ac:dyDescent="0.25">
      <c r="A1384" t="s">
        <v>1408</v>
      </c>
      <c r="B1384" t="s">
        <v>464</v>
      </c>
      <c r="C1384" t="s">
        <v>1409</v>
      </c>
      <c r="D1384" t="s">
        <v>51</v>
      </c>
      <c r="E1384" s="8" t="s">
        <v>1411</v>
      </c>
      <c r="F1384">
        <v>1</v>
      </c>
      <c r="G1384" t="s">
        <v>396</v>
      </c>
      <c r="H1384" t="e">
        <f>VLOOKUP(Tabla3[[#This Row],[DESCRIPCION MATERIAL]],'CODIGO MAT'!$C$2:$D$390,2,FALSE)</f>
        <v>#N/A</v>
      </c>
      <c r="I1384" s="64" t="s">
        <v>51</v>
      </c>
    </row>
    <row r="1385" spans="1:11" x14ac:dyDescent="0.25">
      <c r="A1385" t="s">
        <v>1414</v>
      </c>
      <c r="B1385" t="s">
        <v>464</v>
      </c>
      <c r="C1385" t="s">
        <v>1415</v>
      </c>
      <c r="D1385" t="s">
        <v>50</v>
      </c>
      <c r="E1385" s="8" t="s">
        <v>1410</v>
      </c>
      <c r="F1385">
        <v>1</v>
      </c>
      <c r="G1385" t="s">
        <v>78</v>
      </c>
      <c r="H1385" t="e">
        <f>VLOOKUP(Tabla3[[#This Row],[DESCRIPCION MATERIAL]],'CODIGO MAT'!$C$2:$D$390,2,FALSE)</f>
        <v>#N/A</v>
      </c>
      <c r="I1385" s="64" t="s">
        <v>50</v>
      </c>
      <c r="J1385">
        <v>1</v>
      </c>
      <c r="K1385">
        <v>0</v>
      </c>
    </row>
    <row r="1386" spans="1:11" x14ac:dyDescent="0.25">
      <c r="A1386" t="s">
        <v>1414</v>
      </c>
      <c r="B1386" t="s">
        <v>464</v>
      </c>
      <c r="C1386" t="s">
        <v>1415</v>
      </c>
      <c r="D1386" t="s">
        <v>51</v>
      </c>
      <c r="E1386" s="8" t="s">
        <v>1411</v>
      </c>
      <c r="F1386">
        <v>1</v>
      </c>
      <c r="G1386" t="s">
        <v>396</v>
      </c>
      <c r="H1386" t="e">
        <f>VLOOKUP(Tabla3[[#This Row],[DESCRIPCION MATERIAL]],'CODIGO MAT'!$C$2:$D$390,2,FALSE)</f>
        <v>#N/A</v>
      </c>
      <c r="I1386" s="64" t="s">
        <v>51</v>
      </c>
    </row>
    <row r="1387" spans="1:11" x14ac:dyDescent="0.25">
      <c r="A1387" t="s">
        <v>1416</v>
      </c>
      <c r="B1387" t="s">
        <v>464</v>
      </c>
      <c r="C1387" t="s">
        <v>1417</v>
      </c>
      <c r="D1387" t="s">
        <v>50</v>
      </c>
      <c r="E1387" s="8" t="s">
        <v>118</v>
      </c>
      <c r="F1387">
        <v>0.82</v>
      </c>
      <c r="G1387" t="s">
        <v>78</v>
      </c>
      <c r="H1387" t="str">
        <f>VLOOKUP(Tabla3[[#This Row],[DESCRIPCION MATERIAL]],'CODIGO MAT'!$C$2:$D$390,2,FALSE)</f>
        <v>TEL0000045</v>
      </c>
      <c r="J1387">
        <v>1</v>
      </c>
      <c r="K1387">
        <v>0</v>
      </c>
    </row>
    <row r="1388" spans="1:11" x14ac:dyDescent="0.25">
      <c r="A1388" t="s">
        <v>1416</v>
      </c>
      <c r="B1388" t="s">
        <v>464</v>
      </c>
      <c r="C1388" t="s">
        <v>1417</v>
      </c>
      <c r="D1388" t="s">
        <v>50</v>
      </c>
      <c r="E1388" s="8" t="s">
        <v>12</v>
      </c>
      <c r="F1388">
        <v>0.71</v>
      </c>
      <c r="G1388" t="s">
        <v>78</v>
      </c>
      <c r="H1388" t="str">
        <f>VLOOKUP(Tabla3[[#This Row],[DESCRIPCION MATERIAL]],'CODIGO MAT'!$C$2:$D$390,2,FALSE)</f>
        <v>TEL0000040</v>
      </c>
      <c r="J1388">
        <v>1</v>
      </c>
      <c r="K1388">
        <v>0</v>
      </c>
    </row>
    <row r="1389" spans="1:11" x14ac:dyDescent="0.25">
      <c r="A1389" t="s">
        <v>1416</v>
      </c>
      <c r="B1389" t="s">
        <v>464</v>
      </c>
      <c r="C1389" t="s">
        <v>1417</v>
      </c>
      <c r="D1389" t="s">
        <v>50</v>
      </c>
      <c r="E1389" s="8" t="s">
        <v>33</v>
      </c>
      <c r="F1389">
        <v>0.24</v>
      </c>
      <c r="G1389" t="s">
        <v>78</v>
      </c>
      <c r="H1389" t="str">
        <f>VLOOKUP(Tabla3[[#This Row],[DESCRIPCION MATERIAL]],'CODIGO MAT'!$C$2:$D$390,2,FALSE)</f>
        <v>TEL0000043</v>
      </c>
      <c r="J1389">
        <v>1</v>
      </c>
      <c r="K1389">
        <v>0</v>
      </c>
    </row>
    <row r="1390" spans="1:11" x14ac:dyDescent="0.25">
      <c r="A1390" t="s">
        <v>1416</v>
      </c>
      <c r="B1390" t="s">
        <v>464</v>
      </c>
      <c r="C1390" t="s">
        <v>1417</v>
      </c>
      <c r="D1390" t="s">
        <v>50</v>
      </c>
      <c r="E1390" s="8" t="s">
        <v>114</v>
      </c>
      <c r="F1390">
        <v>0.13</v>
      </c>
      <c r="G1390" t="s">
        <v>78</v>
      </c>
      <c r="H1390" t="str">
        <f>VLOOKUP(Tabla3[[#This Row],[DESCRIPCION MATERIAL]],'CODIGO MAT'!$C$2:$D$390,2,FALSE)</f>
        <v>TEL0000037</v>
      </c>
      <c r="J1390">
        <v>1</v>
      </c>
      <c r="K1390">
        <v>0</v>
      </c>
    </row>
    <row r="1391" spans="1:11" x14ac:dyDescent="0.25">
      <c r="A1391" t="s">
        <v>1416</v>
      </c>
      <c r="B1391" t="s">
        <v>464</v>
      </c>
      <c r="C1391" t="s">
        <v>1417</v>
      </c>
      <c r="D1391" t="s">
        <v>51</v>
      </c>
      <c r="E1391" s="8" t="s">
        <v>996</v>
      </c>
      <c r="F1391">
        <v>0.5</v>
      </c>
      <c r="G1391" t="s">
        <v>78</v>
      </c>
      <c r="H1391" t="str">
        <f>VLOOKUP(Tabla3[[#This Row],[DESCRIPCION MATERIAL]],'CODIGO MAT'!$C$2:$D$390,2,FALSE)</f>
        <v>AVI0000148</v>
      </c>
      <c r="J1391">
        <v>1</v>
      </c>
      <c r="K1391">
        <v>0</v>
      </c>
    </row>
    <row r="1392" spans="1:11" x14ac:dyDescent="0.25">
      <c r="A1392" t="s">
        <v>1418</v>
      </c>
      <c r="B1392" t="s">
        <v>464</v>
      </c>
      <c r="C1392" t="s">
        <v>1419</v>
      </c>
      <c r="D1392" t="s">
        <v>50</v>
      </c>
      <c r="E1392" s="8" t="s">
        <v>212</v>
      </c>
      <c r="F1392">
        <v>0.157</v>
      </c>
      <c r="G1392" t="s">
        <v>78</v>
      </c>
      <c r="H1392" t="str">
        <f>VLOOKUP(Tabla3[[#This Row],[DESCRIPCION MATERIAL]],'CODIGO MAT'!$C$2:$D$390,2,FALSE)</f>
        <v>TEL0000139</v>
      </c>
      <c r="J1392">
        <v>1</v>
      </c>
      <c r="K1392">
        <v>0</v>
      </c>
    </row>
    <row r="1393" spans="1:11" x14ac:dyDescent="0.25">
      <c r="A1393" t="s">
        <v>1418</v>
      </c>
      <c r="B1393" t="s">
        <v>464</v>
      </c>
      <c r="C1393" t="s">
        <v>1419</v>
      </c>
      <c r="D1393" t="s">
        <v>50</v>
      </c>
      <c r="E1393" s="8" t="s">
        <v>114</v>
      </c>
      <c r="F1393">
        <v>0.157</v>
      </c>
      <c r="G1393" t="s">
        <v>78</v>
      </c>
      <c r="H1393" t="str">
        <f>VLOOKUP(Tabla3[[#This Row],[DESCRIPCION MATERIAL]],'CODIGO MAT'!$C$2:$D$390,2,FALSE)</f>
        <v>TEL0000037</v>
      </c>
      <c r="J1393">
        <v>1</v>
      </c>
      <c r="K1393">
        <v>0</v>
      </c>
    </row>
    <row r="1394" spans="1:11" x14ac:dyDescent="0.25">
      <c r="A1394" t="s">
        <v>1418</v>
      </c>
      <c r="B1394" t="s">
        <v>464</v>
      </c>
      <c r="C1394" t="s">
        <v>1419</v>
      </c>
      <c r="D1394" t="s">
        <v>50</v>
      </c>
      <c r="E1394" s="8" t="s">
        <v>1232</v>
      </c>
      <c r="F1394">
        <v>0.122</v>
      </c>
      <c r="G1394" t="s">
        <v>78</v>
      </c>
      <c r="H1394" t="e">
        <f>VLOOKUP(Tabla3[[#This Row],[DESCRIPCION MATERIAL]],'CODIGO MAT'!$C$2:$D$390,2,FALSE)</f>
        <v>#N/A</v>
      </c>
      <c r="I1394" s="64" t="s">
        <v>50</v>
      </c>
      <c r="J1394">
        <v>1</v>
      </c>
      <c r="K1394">
        <v>0</v>
      </c>
    </row>
    <row r="1395" spans="1:11" x14ac:dyDescent="0.25">
      <c r="A1395" t="s">
        <v>1418</v>
      </c>
      <c r="B1395" t="s">
        <v>464</v>
      </c>
      <c r="C1395" t="s">
        <v>1419</v>
      </c>
      <c r="D1395" t="s">
        <v>50</v>
      </c>
      <c r="E1395" s="8" t="s">
        <v>1420</v>
      </c>
      <c r="F1395">
        <v>0.17499999999999999</v>
      </c>
      <c r="G1395" t="s">
        <v>78</v>
      </c>
      <c r="H1395" t="e">
        <f>VLOOKUP(Tabla3[[#This Row],[DESCRIPCION MATERIAL]],'CODIGO MAT'!$C$2:$D$390,2,FALSE)</f>
        <v>#N/A</v>
      </c>
      <c r="I1395" s="64" t="s">
        <v>50</v>
      </c>
      <c r="J1395">
        <v>1</v>
      </c>
      <c r="K1395">
        <v>0</v>
      </c>
    </row>
    <row r="1396" spans="1:11" x14ac:dyDescent="0.25">
      <c r="A1396" t="s">
        <v>1418</v>
      </c>
      <c r="B1396" t="s">
        <v>464</v>
      </c>
      <c r="C1396" t="s">
        <v>1419</v>
      </c>
      <c r="D1396" t="s">
        <v>50</v>
      </c>
      <c r="E1396" s="8" t="s">
        <v>118</v>
      </c>
      <c r="F1396">
        <v>0.6</v>
      </c>
      <c r="G1396" t="s">
        <v>78</v>
      </c>
      <c r="H1396" t="str">
        <f>VLOOKUP(Tabla3[[#This Row],[DESCRIPCION MATERIAL]],'CODIGO MAT'!$C$2:$D$390,2,FALSE)</f>
        <v>TEL0000045</v>
      </c>
      <c r="J1396">
        <v>1</v>
      </c>
      <c r="K1396">
        <v>0</v>
      </c>
    </row>
    <row r="1397" spans="1:11" x14ac:dyDescent="0.25">
      <c r="A1397" t="s">
        <v>1418</v>
      </c>
      <c r="B1397" t="s">
        <v>464</v>
      </c>
      <c r="C1397" t="s">
        <v>1419</v>
      </c>
      <c r="D1397" t="s">
        <v>50</v>
      </c>
      <c r="E1397" s="8" t="s">
        <v>12</v>
      </c>
      <c r="F1397">
        <v>0.83599999999999997</v>
      </c>
      <c r="G1397" t="s">
        <v>78</v>
      </c>
      <c r="H1397" t="str">
        <f>VLOOKUP(Tabla3[[#This Row],[DESCRIPCION MATERIAL]],'CODIGO MAT'!$C$2:$D$390,2,FALSE)</f>
        <v>TEL0000040</v>
      </c>
      <c r="J1397">
        <v>1</v>
      </c>
      <c r="K1397">
        <v>0</v>
      </c>
    </row>
    <row r="1398" spans="1:11" x14ac:dyDescent="0.25">
      <c r="A1398" t="s">
        <v>1418</v>
      </c>
      <c r="B1398" t="s">
        <v>464</v>
      </c>
      <c r="C1398" t="s">
        <v>1419</v>
      </c>
      <c r="D1398" t="s">
        <v>51</v>
      </c>
      <c r="E1398" s="8" t="s">
        <v>34</v>
      </c>
      <c r="F1398">
        <v>1.46</v>
      </c>
      <c r="G1398" t="s">
        <v>78</v>
      </c>
      <c r="H1398" t="str">
        <f>VLOOKUP(Tabla3[[#This Row],[DESCRIPCION MATERIAL]],'CODIGO MAT'!$C$2:$D$390,2,FALSE)</f>
        <v>AVI0000034</v>
      </c>
      <c r="J1398">
        <v>1</v>
      </c>
      <c r="K1398">
        <v>0</v>
      </c>
    </row>
    <row r="1399" spans="1:11" x14ac:dyDescent="0.25">
      <c r="A1399" t="s">
        <v>1418</v>
      </c>
      <c r="B1399" t="s">
        <v>464</v>
      </c>
      <c r="C1399" t="s">
        <v>1419</v>
      </c>
      <c r="D1399" t="s">
        <v>51</v>
      </c>
      <c r="E1399" s="8" t="s">
        <v>294</v>
      </c>
      <c r="F1399">
        <v>0.6</v>
      </c>
      <c r="G1399" t="s">
        <v>78</v>
      </c>
      <c r="H1399" t="str">
        <f>VLOOKUP(Tabla3[[#This Row],[DESCRIPCION MATERIAL]],'CODIGO MAT'!$C$2:$D$390,2,FALSE)</f>
        <v>AVI0000037</v>
      </c>
      <c r="J1399">
        <v>1</v>
      </c>
      <c r="K1399">
        <v>0</v>
      </c>
    </row>
    <row r="1400" spans="1:11" x14ac:dyDescent="0.25">
      <c r="A1400" t="s">
        <v>1418</v>
      </c>
      <c r="B1400" t="s">
        <v>464</v>
      </c>
      <c r="C1400" t="s">
        <v>1419</v>
      </c>
      <c r="D1400" t="s">
        <v>51</v>
      </c>
      <c r="E1400" s="8" t="s">
        <v>301</v>
      </c>
      <c r="F1400">
        <v>1</v>
      </c>
      <c r="G1400" t="s">
        <v>78</v>
      </c>
      <c r="H1400" t="str">
        <f>VLOOKUP(Tabla3[[#This Row],[DESCRIPCION MATERIAL]],'CODIGO MAT'!$C$2:$D$390,2,FALSE)</f>
        <v>AVI0000046</v>
      </c>
      <c r="J1400">
        <v>1</v>
      </c>
      <c r="K1400">
        <v>0</v>
      </c>
    </row>
    <row r="1401" spans="1:11" x14ac:dyDescent="0.25">
      <c r="A1401" t="s">
        <v>1418</v>
      </c>
      <c r="B1401" t="s">
        <v>464</v>
      </c>
      <c r="C1401" t="s">
        <v>1419</v>
      </c>
      <c r="D1401" t="s">
        <v>51</v>
      </c>
      <c r="E1401" s="8" t="s">
        <v>342</v>
      </c>
      <c r="F1401">
        <v>0.8</v>
      </c>
      <c r="G1401" t="s">
        <v>78</v>
      </c>
      <c r="H1401" t="str">
        <f>VLOOKUP(Tabla3[[#This Row],[DESCRIPCION MATERIAL]],'CODIGO MAT'!$C$2:$D$390,2,FALSE)</f>
        <v>AVI0000080</v>
      </c>
      <c r="J1401">
        <v>1</v>
      </c>
      <c r="K1401">
        <v>0</v>
      </c>
    </row>
    <row r="1402" spans="1:11" x14ac:dyDescent="0.25">
      <c r="A1402" t="s">
        <v>1418</v>
      </c>
      <c r="B1402" t="s">
        <v>464</v>
      </c>
      <c r="C1402" t="s">
        <v>1419</v>
      </c>
      <c r="D1402" t="s">
        <v>51</v>
      </c>
      <c r="E1402" s="8" t="s">
        <v>265</v>
      </c>
      <c r="F1402">
        <v>0</v>
      </c>
      <c r="G1402" t="s">
        <v>78</v>
      </c>
      <c r="H1402" t="str">
        <f>VLOOKUP(Tabla3[[#This Row],[DESCRIPCION MATERIAL]],'CODIGO MAT'!$C$2:$D$390,2,FALSE)</f>
        <v>AVI0000006</v>
      </c>
    </row>
    <row r="1403" spans="1:11" x14ac:dyDescent="0.25">
      <c r="A1403" t="s">
        <v>1418</v>
      </c>
      <c r="B1403" t="s">
        <v>464</v>
      </c>
      <c r="C1403" t="s">
        <v>1419</v>
      </c>
      <c r="D1403" t="s">
        <v>51</v>
      </c>
      <c r="E1403" s="8" t="s">
        <v>271</v>
      </c>
      <c r="F1403">
        <v>0</v>
      </c>
      <c r="G1403" t="s">
        <v>78</v>
      </c>
      <c r="H1403" t="str">
        <f>VLOOKUP(Tabla3[[#This Row],[DESCRIPCION MATERIAL]],'CODIGO MAT'!$C$2:$D$390,2,FALSE)</f>
        <v>AVI0000013</v>
      </c>
    </row>
    <row r="1404" spans="1:11" x14ac:dyDescent="0.25">
      <c r="A1404" t="s">
        <v>1418</v>
      </c>
      <c r="B1404" t="s">
        <v>464</v>
      </c>
      <c r="C1404" t="s">
        <v>1419</v>
      </c>
      <c r="D1404" t="s">
        <v>51</v>
      </c>
      <c r="E1404" s="8" t="s">
        <v>69</v>
      </c>
      <c r="F1404">
        <v>0</v>
      </c>
      <c r="G1404" t="s">
        <v>78</v>
      </c>
      <c r="H1404" t="str">
        <f>VLOOKUP(Tabla3[[#This Row],[DESCRIPCION MATERIAL]],'CODIGO MAT'!$C$2:$D$390,2,FALSE)</f>
        <v>AVI0000147</v>
      </c>
    </row>
    <row r="1405" spans="1:11" x14ac:dyDescent="0.25">
      <c r="A1405" t="s">
        <v>1418</v>
      </c>
      <c r="B1405" t="s">
        <v>464</v>
      </c>
      <c r="C1405" t="s">
        <v>1419</v>
      </c>
      <c r="D1405" t="s">
        <v>51</v>
      </c>
      <c r="E1405" s="8" t="s">
        <v>276</v>
      </c>
      <c r="F1405">
        <v>0</v>
      </c>
      <c r="G1405" t="s">
        <v>78</v>
      </c>
      <c r="H1405" t="str">
        <f>VLOOKUP(Tabla3[[#This Row],[DESCRIPCION MATERIAL]],'CODIGO MAT'!$C$2:$D$390,2,FALSE)</f>
        <v>AVI0000019</v>
      </c>
    </row>
    <row r="1406" spans="1:11" x14ac:dyDescent="0.25">
      <c r="A1406" t="s">
        <v>1418</v>
      </c>
      <c r="B1406" t="s">
        <v>464</v>
      </c>
      <c r="C1406" t="s">
        <v>1419</v>
      </c>
      <c r="D1406" t="s">
        <v>51</v>
      </c>
      <c r="E1406" s="8" t="s">
        <v>287</v>
      </c>
      <c r="F1406">
        <v>0</v>
      </c>
      <c r="G1406" t="s">
        <v>78</v>
      </c>
      <c r="H1406" t="str">
        <f>VLOOKUP(Tabla3[[#This Row],[DESCRIPCION MATERIAL]],'CODIGO MAT'!$C$2:$D$390,2,FALSE)</f>
        <v>AVI0000029</v>
      </c>
    </row>
    <row r="1407" spans="1:11" x14ac:dyDescent="0.25">
      <c r="A1407" t="s">
        <v>1418</v>
      </c>
      <c r="B1407" t="s">
        <v>464</v>
      </c>
      <c r="C1407" t="s">
        <v>1419</v>
      </c>
      <c r="D1407" t="s">
        <v>51</v>
      </c>
      <c r="E1407" s="8" t="s">
        <v>1421</v>
      </c>
      <c r="F1407">
        <v>0</v>
      </c>
      <c r="G1407" t="s">
        <v>78</v>
      </c>
      <c r="H1407" t="e">
        <f>VLOOKUP(Tabla3[[#This Row],[DESCRIPCION MATERIAL]],'CODIGO MAT'!$C$2:$D$390,2,FALSE)</f>
        <v>#N/A</v>
      </c>
      <c r="I1407" s="64" t="s">
        <v>51</v>
      </c>
    </row>
    <row r="1408" spans="1:11" x14ac:dyDescent="0.25">
      <c r="A1408" t="s">
        <v>1422</v>
      </c>
      <c r="B1408" t="s">
        <v>464</v>
      </c>
      <c r="C1408" t="s">
        <v>1423</v>
      </c>
      <c r="D1408" t="s">
        <v>50</v>
      </c>
      <c r="E1408" s="8" t="s">
        <v>1424</v>
      </c>
      <c r="F1408">
        <v>0.20200000000000001</v>
      </c>
      <c r="G1408" t="s">
        <v>78</v>
      </c>
      <c r="H1408" t="e">
        <f>VLOOKUP(Tabla3[[#This Row],[DESCRIPCION MATERIAL]],'CODIGO MAT'!$C$2:$D$390,2,FALSE)</f>
        <v>#N/A</v>
      </c>
      <c r="I1408" s="64" t="s">
        <v>50</v>
      </c>
      <c r="J1408">
        <v>1</v>
      </c>
      <c r="K1408">
        <v>0</v>
      </c>
    </row>
    <row r="1409" spans="1:11" x14ac:dyDescent="0.25">
      <c r="A1409" t="s">
        <v>1422</v>
      </c>
      <c r="B1409" t="s">
        <v>464</v>
      </c>
      <c r="C1409" t="s">
        <v>1423</v>
      </c>
      <c r="D1409" t="s">
        <v>50</v>
      </c>
      <c r="E1409" s="8" t="s">
        <v>1385</v>
      </c>
      <c r="F1409">
        <v>0.35</v>
      </c>
      <c r="G1409" t="s">
        <v>78</v>
      </c>
      <c r="H1409" t="e">
        <f>VLOOKUP(Tabla3[[#This Row],[DESCRIPCION MATERIAL]],'CODIGO MAT'!$C$2:$D$390,2,FALSE)</f>
        <v>#N/A</v>
      </c>
      <c r="I1409" s="64" t="s">
        <v>50</v>
      </c>
      <c r="J1409">
        <v>1</v>
      </c>
      <c r="K1409">
        <v>0</v>
      </c>
    </row>
    <row r="1410" spans="1:11" x14ac:dyDescent="0.25">
      <c r="A1410" t="s">
        <v>1422</v>
      </c>
      <c r="B1410" t="s">
        <v>464</v>
      </c>
      <c r="C1410" t="s">
        <v>1423</v>
      </c>
      <c r="D1410" t="s">
        <v>50</v>
      </c>
      <c r="E1410" s="8" t="s">
        <v>118</v>
      </c>
      <c r="F1410">
        <v>0.6</v>
      </c>
      <c r="G1410" t="s">
        <v>78</v>
      </c>
      <c r="H1410" t="str">
        <f>VLOOKUP(Tabla3[[#This Row],[DESCRIPCION MATERIAL]],'CODIGO MAT'!$C$2:$D$390,2,FALSE)</f>
        <v>TEL0000045</v>
      </c>
      <c r="J1410">
        <v>1</v>
      </c>
      <c r="K1410">
        <v>0</v>
      </c>
    </row>
    <row r="1411" spans="1:11" x14ac:dyDescent="0.25">
      <c r="A1411" t="s">
        <v>1422</v>
      </c>
      <c r="B1411" t="s">
        <v>464</v>
      </c>
      <c r="C1411" t="s">
        <v>1423</v>
      </c>
      <c r="D1411" t="s">
        <v>50</v>
      </c>
      <c r="E1411" s="8" t="s">
        <v>161</v>
      </c>
      <c r="F1411">
        <v>0.187</v>
      </c>
      <c r="G1411" t="s">
        <v>78</v>
      </c>
      <c r="H1411" t="str">
        <f>VLOOKUP(Tabla3[[#This Row],[DESCRIPCION MATERIAL]],'CODIGO MAT'!$C$2:$D$390,2,FALSE)</f>
        <v>TEL0000088</v>
      </c>
      <c r="J1411">
        <v>1</v>
      </c>
      <c r="K1411">
        <v>0</v>
      </c>
    </row>
    <row r="1412" spans="1:11" x14ac:dyDescent="0.25">
      <c r="A1412" t="s">
        <v>1422</v>
      </c>
      <c r="B1412" t="s">
        <v>464</v>
      </c>
      <c r="C1412" t="s">
        <v>1423</v>
      </c>
      <c r="D1412" t="s">
        <v>50</v>
      </c>
      <c r="E1412" s="8" t="s">
        <v>1232</v>
      </c>
      <c r="F1412">
        <v>0.20899999999999999</v>
      </c>
      <c r="G1412" t="s">
        <v>78</v>
      </c>
      <c r="H1412" t="e">
        <f>VLOOKUP(Tabla3[[#This Row],[DESCRIPCION MATERIAL]],'CODIGO MAT'!$C$2:$D$390,2,FALSE)</f>
        <v>#N/A</v>
      </c>
      <c r="I1412" s="64" t="s">
        <v>50</v>
      </c>
      <c r="J1412">
        <v>1</v>
      </c>
      <c r="K1412">
        <v>0</v>
      </c>
    </row>
    <row r="1413" spans="1:11" x14ac:dyDescent="0.25">
      <c r="A1413" t="s">
        <v>1422</v>
      </c>
      <c r="B1413" t="s">
        <v>464</v>
      </c>
      <c r="C1413" t="s">
        <v>1423</v>
      </c>
      <c r="D1413" t="s">
        <v>50</v>
      </c>
      <c r="E1413" s="8" t="s">
        <v>251</v>
      </c>
      <c r="F1413">
        <v>0.66400000000000003</v>
      </c>
      <c r="G1413" t="s">
        <v>78</v>
      </c>
      <c r="H1413" t="str">
        <f>VLOOKUP(Tabla3[[#This Row],[DESCRIPCION MATERIAL]],'CODIGO MAT'!$C$2:$D$390,2,FALSE)</f>
        <v>TEL0000179</v>
      </c>
      <c r="J1413">
        <v>1</v>
      </c>
      <c r="K1413">
        <v>0</v>
      </c>
    </row>
    <row r="1414" spans="1:11" x14ac:dyDescent="0.25">
      <c r="A1414" t="s">
        <v>1422</v>
      </c>
      <c r="B1414" t="s">
        <v>464</v>
      </c>
      <c r="C1414" t="s">
        <v>1423</v>
      </c>
      <c r="D1414" t="s">
        <v>51</v>
      </c>
      <c r="E1414" s="8" t="s">
        <v>427</v>
      </c>
      <c r="F1414">
        <v>8.8999999999999996E-2</v>
      </c>
      <c r="G1414" t="s">
        <v>78</v>
      </c>
      <c r="H1414" t="str">
        <f>VLOOKUP(Tabla3[[#This Row],[DESCRIPCION MATERIAL]],'CODIGO MAT'!$C$2:$D$390,2,FALSE)</f>
        <v>AVI0000141</v>
      </c>
      <c r="J1414">
        <v>1</v>
      </c>
      <c r="K1414">
        <v>0</v>
      </c>
    </row>
    <row r="1415" spans="1:11" x14ac:dyDescent="0.25">
      <c r="A1415" t="s">
        <v>1422</v>
      </c>
      <c r="B1415" t="s">
        <v>464</v>
      </c>
      <c r="C1415" t="s">
        <v>1423</v>
      </c>
      <c r="D1415" t="s">
        <v>51</v>
      </c>
      <c r="E1415" s="8" t="s">
        <v>271</v>
      </c>
      <c r="F1415">
        <v>0</v>
      </c>
      <c r="G1415" t="s">
        <v>78</v>
      </c>
      <c r="H1415" t="str">
        <f>VLOOKUP(Tabla3[[#This Row],[DESCRIPCION MATERIAL]],'CODIGO MAT'!$C$2:$D$390,2,FALSE)</f>
        <v>AVI0000013</v>
      </c>
    </row>
    <row r="1416" spans="1:11" x14ac:dyDescent="0.25">
      <c r="A1416" t="s">
        <v>1422</v>
      </c>
      <c r="B1416" t="s">
        <v>464</v>
      </c>
      <c r="C1416" t="s">
        <v>1423</v>
      </c>
      <c r="D1416" t="s">
        <v>51</v>
      </c>
      <c r="E1416" s="8" t="s">
        <v>272</v>
      </c>
      <c r="F1416">
        <v>0</v>
      </c>
      <c r="G1416" t="s">
        <v>78</v>
      </c>
      <c r="H1416" t="str">
        <f>VLOOKUP(Tabla3[[#This Row],[DESCRIPCION MATERIAL]],'CODIGO MAT'!$C$2:$D$390,2,FALSE)</f>
        <v>AVI0000014</v>
      </c>
    </row>
    <row r="1417" spans="1:11" x14ac:dyDescent="0.25">
      <c r="A1417" t="s">
        <v>1422</v>
      </c>
      <c r="B1417" t="s">
        <v>464</v>
      </c>
      <c r="C1417" t="s">
        <v>1423</v>
      </c>
      <c r="D1417" t="s">
        <v>51</v>
      </c>
      <c r="E1417" s="8" t="s">
        <v>271</v>
      </c>
      <c r="F1417">
        <v>0</v>
      </c>
      <c r="G1417" t="s">
        <v>78</v>
      </c>
      <c r="H1417" t="str">
        <f>VLOOKUP(Tabla3[[#This Row],[DESCRIPCION MATERIAL]],'CODIGO MAT'!$C$2:$D$390,2,FALSE)</f>
        <v>AVI0000013</v>
      </c>
    </row>
    <row r="1418" spans="1:11" x14ac:dyDescent="0.25">
      <c r="A1418" t="s">
        <v>1422</v>
      </c>
      <c r="B1418" t="s">
        <v>464</v>
      </c>
      <c r="C1418" t="s">
        <v>1423</v>
      </c>
      <c r="D1418" t="s">
        <v>51</v>
      </c>
      <c r="E1418" s="8" t="s">
        <v>1425</v>
      </c>
      <c r="F1418">
        <v>0</v>
      </c>
      <c r="G1418" t="s">
        <v>78</v>
      </c>
      <c r="H1418" t="e">
        <f>VLOOKUP(Tabla3[[#This Row],[DESCRIPCION MATERIAL]],'CODIGO MAT'!$C$2:$D$390,2,FALSE)</f>
        <v>#N/A</v>
      </c>
      <c r="I1418" s="64" t="s">
        <v>50</v>
      </c>
    </row>
    <row r="1419" spans="1:11" x14ac:dyDescent="0.25">
      <c r="A1419" t="s">
        <v>1422</v>
      </c>
      <c r="B1419" t="s">
        <v>464</v>
      </c>
      <c r="C1419" t="s">
        <v>1423</v>
      </c>
      <c r="D1419" t="s">
        <v>51</v>
      </c>
      <c r="E1419" s="8" t="s">
        <v>265</v>
      </c>
      <c r="F1419">
        <v>0</v>
      </c>
      <c r="G1419" t="s">
        <v>78</v>
      </c>
      <c r="H1419" t="str">
        <f>VLOOKUP(Tabla3[[#This Row],[DESCRIPCION MATERIAL]],'CODIGO MAT'!$C$2:$D$390,2,FALSE)</f>
        <v>AVI0000006</v>
      </c>
    </row>
    <row r="1420" spans="1:11" x14ac:dyDescent="0.25">
      <c r="A1420" t="s">
        <v>1422</v>
      </c>
      <c r="B1420" t="s">
        <v>464</v>
      </c>
      <c r="C1420" t="s">
        <v>1423</v>
      </c>
      <c r="D1420" t="s">
        <v>51</v>
      </c>
      <c r="E1420" s="8" t="s">
        <v>267</v>
      </c>
      <c r="F1420">
        <v>0</v>
      </c>
      <c r="G1420" t="s">
        <v>78</v>
      </c>
      <c r="H1420" t="str">
        <f>VLOOKUP(Tabla3[[#This Row],[DESCRIPCION MATERIAL]],'CODIGO MAT'!$C$2:$D$390,2,FALSE)</f>
        <v>AVI0000009</v>
      </c>
    </row>
    <row r="1421" spans="1:11" x14ac:dyDescent="0.25">
      <c r="A1421" t="s">
        <v>1422</v>
      </c>
      <c r="B1421" t="s">
        <v>464</v>
      </c>
      <c r="C1421" t="s">
        <v>1423</v>
      </c>
      <c r="D1421" t="s">
        <v>51</v>
      </c>
      <c r="E1421" s="8" t="s">
        <v>263</v>
      </c>
      <c r="F1421">
        <v>0</v>
      </c>
      <c r="G1421" t="s">
        <v>78</v>
      </c>
      <c r="H1421" t="str">
        <f>VLOOKUP(Tabla3[[#This Row],[DESCRIPCION MATERIAL]],'CODIGO MAT'!$C$2:$D$390,2,FALSE)</f>
        <v>AVI0000004</v>
      </c>
    </row>
    <row r="1422" spans="1:11" x14ac:dyDescent="0.25">
      <c r="A1422" t="s">
        <v>1422</v>
      </c>
      <c r="B1422" t="s">
        <v>464</v>
      </c>
      <c r="C1422" t="s">
        <v>1423</v>
      </c>
      <c r="D1422" t="s">
        <v>51</v>
      </c>
      <c r="E1422" s="8" t="s">
        <v>280</v>
      </c>
      <c r="F1422">
        <v>0</v>
      </c>
      <c r="G1422" t="s">
        <v>78</v>
      </c>
      <c r="H1422" t="str">
        <f>VLOOKUP(Tabla3[[#This Row],[DESCRIPCION MATERIAL]],'CODIGO MAT'!$C$2:$D$390,2,FALSE)</f>
        <v>AVI0000023</v>
      </c>
    </row>
    <row r="1423" spans="1:11" x14ac:dyDescent="0.25">
      <c r="A1423" t="s">
        <v>1422</v>
      </c>
      <c r="B1423" t="s">
        <v>464</v>
      </c>
      <c r="C1423" t="s">
        <v>1423</v>
      </c>
      <c r="D1423" t="s">
        <v>51</v>
      </c>
      <c r="E1423" s="8" t="s">
        <v>1421</v>
      </c>
      <c r="F1423">
        <v>0</v>
      </c>
      <c r="G1423" t="s">
        <v>78</v>
      </c>
      <c r="H1423" t="e">
        <f>VLOOKUP(Tabla3[[#This Row],[DESCRIPCION MATERIAL]],'CODIGO MAT'!$C$2:$D$390,2,FALSE)</f>
        <v>#N/A</v>
      </c>
      <c r="I1423" s="64" t="s">
        <v>50</v>
      </c>
    </row>
    <row r="1424" spans="1:11" x14ac:dyDescent="0.25">
      <c r="A1424" t="s">
        <v>1422</v>
      </c>
      <c r="B1424" t="s">
        <v>464</v>
      </c>
      <c r="C1424" t="s">
        <v>1423</v>
      </c>
      <c r="D1424" t="s">
        <v>51</v>
      </c>
      <c r="E1424" s="8" t="s">
        <v>68</v>
      </c>
      <c r="F1424">
        <v>0</v>
      </c>
      <c r="G1424" t="s">
        <v>78</v>
      </c>
      <c r="H1424" t="str">
        <f>VLOOKUP(Tabla3[[#This Row],[DESCRIPCION MATERIAL]],'CODIGO MAT'!$C$2:$D$390,2,FALSE)</f>
        <v>AVI0000005</v>
      </c>
    </row>
    <row r="1425" spans="1:11" x14ac:dyDescent="0.25">
      <c r="A1425" t="s">
        <v>1422</v>
      </c>
      <c r="B1425" t="s">
        <v>464</v>
      </c>
      <c r="C1425" t="s">
        <v>1423</v>
      </c>
      <c r="D1425" t="s">
        <v>51</v>
      </c>
      <c r="E1425" s="8" t="s">
        <v>278</v>
      </c>
      <c r="F1425">
        <v>0</v>
      </c>
      <c r="G1425" t="s">
        <v>78</v>
      </c>
      <c r="H1425" t="str">
        <f>VLOOKUP(Tabla3[[#This Row],[DESCRIPCION MATERIAL]],'CODIGO MAT'!$C$2:$D$390,2,FALSE)</f>
        <v>AVI0000021</v>
      </c>
    </row>
    <row r="1426" spans="1:11" x14ac:dyDescent="0.25">
      <c r="A1426" t="s">
        <v>1422</v>
      </c>
      <c r="B1426" t="s">
        <v>464</v>
      </c>
      <c r="C1426" t="s">
        <v>1423</v>
      </c>
      <c r="D1426" t="s">
        <v>51</v>
      </c>
      <c r="E1426" s="8" t="s">
        <v>274</v>
      </c>
      <c r="F1426">
        <v>0</v>
      </c>
      <c r="G1426" t="s">
        <v>78</v>
      </c>
      <c r="H1426" t="str">
        <f>VLOOKUP(Tabla3[[#This Row],[DESCRIPCION MATERIAL]],'CODIGO MAT'!$C$2:$D$390,2,FALSE)</f>
        <v>AVI0000016</v>
      </c>
      <c r="J1426">
        <v>1</v>
      </c>
      <c r="K1426">
        <v>0</v>
      </c>
    </row>
    <row r="1427" spans="1:11" x14ac:dyDescent="0.25">
      <c r="A1427" t="s">
        <v>1426</v>
      </c>
      <c r="B1427" t="s">
        <v>464</v>
      </c>
      <c r="C1427" t="s">
        <v>1427</v>
      </c>
      <c r="D1427" t="s">
        <v>50</v>
      </c>
      <c r="E1427" s="8" t="s">
        <v>1231</v>
      </c>
      <c r="F1427">
        <v>0.67600000000000005</v>
      </c>
      <c r="G1427" t="s">
        <v>78</v>
      </c>
      <c r="H1427" t="e">
        <f>VLOOKUP(Tabla3[[#This Row],[DESCRIPCION MATERIAL]],'CODIGO MAT'!$C$2:$D$390,2,FALSE)</f>
        <v>#N/A</v>
      </c>
      <c r="I1427" s="64" t="s">
        <v>50</v>
      </c>
      <c r="J1427">
        <v>1</v>
      </c>
      <c r="K1427">
        <v>0</v>
      </c>
    </row>
    <row r="1428" spans="1:11" x14ac:dyDescent="0.25">
      <c r="A1428" t="s">
        <v>1426</v>
      </c>
      <c r="B1428" t="s">
        <v>464</v>
      </c>
      <c r="C1428" t="s">
        <v>1427</v>
      </c>
      <c r="D1428" t="s">
        <v>50</v>
      </c>
      <c r="E1428" s="8" t="s">
        <v>1244</v>
      </c>
      <c r="F1428">
        <v>9.0999999999999998E-2</v>
      </c>
      <c r="G1428" t="s">
        <v>78</v>
      </c>
      <c r="H1428" t="e">
        <f>VLOOKUP(Tabla3[[#This Row],[DESCRIPCION MATERIAL]],'CODIGO MAT'!$C$2:$D$390,2,FALSE)</f>
        <v>#N/A</v>
      </c>
      <c r="I1428" s="64" t="s">
        <v>50</v>
      </c>
      <c r="J1428">
        <v>1</v>
      </c>
      <c r="K1428">
        <v>0</v>
      </c>
    </row>
    <row r="1429" spans="1:11" x14ac:dyDescent="0.25">
      <c r="A1429" t="s">
        <v>1426</v>
      </c>
      <c r="B1429" t="s">
        <v>464</v>
      </c>
      <c r="C1429" t="s">
        <v>1427</v>
      </c>
      <c r="D1429" t="s">
        <v>50</v>
      </c>
      <c r="E1429" s="8" t="s">
        <v>1254</v>
      </c>
      <c r="F1429">
        <v>1.1100000000000001</v>
      </c>
      <c r="G1429" t="s">
        <v>78</v>
      </c>
      <c r="H1429" t="e">
        <f>VLOOKUP(Tabla3[[#This Row],[DESCRIPCION MATERIAL]],'CODIGO MAT'!$C$2:$D$390,2,FALSE)</f>
        <v>#N/A</v>
      </c>
      <c r="I1429" s="64" t="s">
        <v>50</v>
      </c>
      <c r="J1429">
        <v>1</v>
      </c>
      <c r="K1429">
        <v>0</v>
      </c>
    </row>
    <row r="1430" spans="1:11" x14ac:dyDescent="0.25">
      <c r="A1430" t="s">
        <v>1426</v>
      </c>
      <c r="B1430" t="s">
        <v>464</v>
      </c>
      <c r="C1430" t="s">
        <v>1427</v>
      </c>
      <c r="D1430" t="s">
        <v>50</v>
      </c>
      <c r="E1430" s="8" t="s">
        <v>106</v>
      </c>
      <c r="F1430">
        <v>0.35</v>
      </c>
      <c r="G1430" t="s">
        <v>78</v>
      </c>
      <c r="H1430" t="str">
        <f>VLOOKUP(Tabla3[[#This Row],[DESCRIPCION MATERIAL]],'CODIGO MAT'!$C$2:$D$390,2,FALSE)</f>
        <v>TEL0000029</v>
      </c>
      <c r="J1430">
        <v>1</v>
      </c>
      <c r="K1430">
        <v>0</v>
      </c>
    </row>
    <row r="1431" spans="1:11" x14ac:dyDescent="0.25">
      <c r="A1431" t="s">
        <v>1426</v>
      </c>
      <c r="B1431" t="s">
        <v>464</v>
      </c>
      <c r="C1431" t="s">
        <v>1427</v>
      </c>
      <c r="D1431" t="s">
        <v>50</v>
      </c>
      <c r="E1431" s="8" t="s">
        <v>1203</v>
      </c>
      <c r="F1431">
        <v>0.3</v>
      </c>
      <c r="G1431" t="s">
        <v>78</v>
      </c>
      <c r="H1431" t="e">
        <f>VLOOKUP(Tabla3[[#This Row],[DESCRIPCION MATERIAL]],'CODIGO MAT'!$C$2:$D$390,2,FALSE)</f>
        <v>#N/A</v>
      </c>
      <c r="I1431" s="64" t="s">
        <v>50</v>
      </c>
      <c r="J1431">
        <v>1</v>
      </c>
      <c r="K1431">
        <v>0</v>
      </c>
    </row>
    <row r="1432" spans="1:11" x14ac:dyDescent="0.25">
      <c r="A1432" t="s">
        <v>1428</v>
      </c>
      <c r="B1432" t="s">
        <v>464</v>
      </c>
      <c r="C1432" t="s">
        <v>1429</v>
      </c>
      <c r="D1432" t="s">
        <v>50</v>
      </c>
      <c r="E1432" s="8" t="s">
        <v>92</v>
      </c>
      <c r="F1432">
        <v>0.69599999999999995</v>
      </c>
      <c r="G1432" t="s">
        <v>78</v>
      </c>
      <c r="H1432" t="str">
        <f>VLOOKUP(Tabla3[[#This Row],[DESCRIPCION MATERIAL]],'CODIGO MAT'!$C$2:$D$390,2,FALSE)</f>
        <v>TEL0000015</v>
      </c>
      <c r="J1432">
        <v>1</v>
      </c>
      <c r="K1432">
        <v>0</v>
      </c>
    </row>
    <row r="1433" spans="1:11" x14ac:dyDescent="0.25">
      <c r="A1433" t="s">
        <v>1428</v>
      </c>
      <c r="B1433" t="s">
        <v>464</v>
      </c>
      <c r="C1433" t="s">
        <v>1430</v>
      </c>
      <c r="D1433" t="s">
        <v>50</v>
      </c>
      <c r="E1433" s="8" t="s">
        <v>226</v>
      </c>
      <c r="F1433">
        <v>0.26900000000000002</v>
      </c>
      <c r="G1433" t="s">
        <v>78</v>
      </c>
      <c r="H1433" t="str">
        <f>VLOOKUP(Tabla3[[#This Row],[DESCRIPCION MATERIAL]],'CODIGO MAT'!$C$2:$D$390,2,FALSE)</f>
        <v>TEL0000154</v>
      </c>
      <c r="J1433">
        <v>1</v>
      </c>
      <c r="K1433">
        <v>0</v>
      </c>
    </row>
    <row r="1434" spans="1:11" x14ac:dyDescent="0.25">
      <c r="A1434" t="s">
        <v>1428</v>
      </c>
      <c r="B1434" t="s">
        <v>464</v>
      </c>
      <c r="C1434" t="s">
        <v>1431</v>
      </c>
      <c r="D1434" t="s">
        <v>50</v>
      </c>
      <c r="E1434" s="8" t="s">
        <v>118</v>
      </c>
      <c r="F1434">
        <v>0.60599999999999998</v>
      </c>
      <c r="G1434" t="s">
        <v>78</v>
      </c>
      <c r="H1434" t="str">
        <f>VLOOKUP(Tabla3[[#This Row],[DESCRIPCION MATERIAL]],'CODIGO MAT'!$C$2:$D$390,2,FALSE)</f>
        <v>TEL0000045</v>
      </c>
      <c r="J1434">
        <v>1</v>
      </c>
      <c r="K1434">
        <v>0</v>
      </c>
    </row>
    <row r="1435" spans="1:11" x14ac:dyDescent="0.25">
      <c r="A1435" t="s">
        <v>1428</v>
      </c>
      <c r="B1435" t="s">
        <v>464</v>
      </c>
      <c r="C1435" t="s">
        <v>1432</v>
      </c>
      <c r="D1435" t="s">
        <v>51</v>
      </c>
      <c r="E1435" s="8" t="s">
        <v>405</v>
      </c>
      <c r="F1435">
        <v>1</v>
      </c>
      <c r="G1435" t="s">
        <v>396</v>
      </c>
      <c r="H1435" t="str">
        <f>VLOOKUP(Tabla3[[#This Row],[DESCRIPCION MATERIAL]],'CODIGO MAT'!$C$2:$D$390,2,FALSE)</f>
        <v>AVI0000140</v>
      </c>
      <c r="J1435">
        <v>1</v>
      </c>
      <c r="K1435">
        <v>0</v>
      </c>
    </row>
    <row r="1436" spans="1:11" x14ac:dyDescent="0.25">
      <c r="A1436" t="s">
        <v>1433</v>
      </c>
      <c r="B1436" t="s">
        <v>464</v>
      </c>
      <c r="C1436" t="s">
        <v>1434</v>
      </c>
      <c r="D1436" t="s">
        <v>50</v>
      </c>
      <c r="E1436" s="8" t="s">
        <v>212</v>
      </c>
      <c r="F1436">
        <v>1.1100000000000001</v>
      </c>
      <c r="G1436" t="s">
        <v>78</v>
      </c>
      <c r="H1436" t="str">
        <f>VLOOKUP(Tabla3[[#This Row],[DESCRIPCION MATERIAL]],'CODIGO MAT'!$C$2:$D$390,2,FALSE)</f>
        <v>TEL0000139</v>
      </c>
      <c r="J1436">
        <v>1</v>
      </c>
      <c r="K1436">
        <v>0</v>
      </c>
    </row>
    <row r="1437" spans="1:11" x14ac:dyDescent="0.25">
      <c r="A1437" t="s">
        <v>1433</v>
      </c>
      <c r="B1437" t="s">
        <v>464</v>
      </c>
      <c r="C1437" t="s">
        <v>1434</v>
      </c>
      <c r="D1437" t="s">
        <v>50</v>
      </c>
      <c r="E1437" s="8" t="s">
        <v>1232</v>
      </c>
      <c r="F1437">
        <v>9.2999999999999999E-2</v>
      </c>
      <c r="G1437" t="s">
        <v>78</v>
      </c>
      <c r="H1437" t="e">
        <f>VLOOKUP(Tabla3[[#This Row],[DESCRIPCION MATERIAL]],'CODIGO MAT'!$C$2:$D$390,2,FALSE)</f>
        <v>#N/A</v>
      </c>
      <c r="I1437" s="64" t="s">
        <v>50</v>
      </c>
      <c r="J1437">
        <v>1</v>
      </c>
      <c r="K1437">
        <v>0</v>
      </c>
    </row>
    <row r="1438" spans="1:11" x14ac:dyDescent="0.25">
      <c r="A1438" t="s">
        <v>1433</v>
      </c>
      <c r="B1438" t="s">
        <v>464</v>
      </c>
      <c r="C1438" t="s">
        <v>1434</v>
      </c>
      <c r="D1438" t="s">
        <v>50</v>
      </c>
      <c r="E1438" s="8" t="s">
        <v>12</v>
      </c>
      <c r="F1438">
        <v>0.152</v>
      </c>
      <c r="G1438" t="s">
        <v>78</v>
      </c>
      <c r="H1438" t="str">
        <f>VLOOKUP(Tabla3[[#This Row],[DESCRIPCION MATERIAL]],'CODIGO MAT'!$C$2:$D$390,2,FALSE)</f>
        <v>TEL0000040</v>
      </c>
      <c r="J1438">
        <v>1</v>
      </c>
      <c r="K1438">
        <v>0</v>
      </c>
    </row>
    <row r="1439" spans="1:11" x14ac:dyDescent="0.25">
      <c r="A1439" t="s">
        <v>1433</v>
      </c>
      <c r="B1439" t="s">
        <v>464</v>
      </c>
      <c r="C1439" t="s">
        <v>1434</v>
      </c>
      <c r="D1439" t="s">
        <v>51</v>
      </c>
      <c r="E1439" s="8" t="s">
        <v>1435</v>
      </c>
      <c r="F1439">
        <v>0.14799999999999999</v>
      </c>
      <c r="G1439" t="s">
        <v>78</v>
      </c>
      <c r="H1439" t="e">
        <f>VLOOKUP(Tabla3[[#This Row],[DESCRIPCION MATERIAL]],'CODIGO MAT'!$C$2:$D$390,2,FALSE)</f>
        <v>#N/A</v>
      </c>
      <c r="I1439" s="64" t="s">
        <v>51</v>
      </c>
      <c r="J1439">
        <v>1</v>
      </c>
      <c r="K1439">
        <v>0</v>
      </c>
    </row>
    <row r="1440" spans="1:11" x14ac:dyDescent="0.25">
      <c r="A1440" t="s">
        <v>1433</v>
      </c>
      <c r="B1440" t="s">
        <v>464</v>
      </c>
      <c r="C1440" t="s">
        <v>1434</v>
      </c>
      <c r="D1440" t="s">
        <v>51</v>
      </c>
      <c r="E1440" s="8" t="s">
        <v>1436</v>
      </c>
      <c r="F1440">
        <v>1.7999999999999999E-2</v>
      </c>
      <c r="G1440" t="s">
        <v>78</v>
      </c>
      <c r="H1440" t="e">
        <f>VLOOKUP(Tabla3[[#This Row],[DESCRIPCION MATERIAL]],'CODIGO MAT'!$C$2:$D$390,2,FALSE)</f>
        <v>#N/A</v>
      </c>
      <c r="I1440" s="64" t="s">
        <v>51</v>
      </c>
      <c r="J1440">
        <v>1</v>
      </c>
      <c r="K1440">
        <v>0</v>
      </c>
    </row>
    <row r="1441" spans="1:11" x14ac:dyDescent="0.25">
      <c r="A1441" t="s">
        <v>1433</v>
      </c>
      <c r="B1441" t="s">
        <v>464</v>
      </c>
      <c r="C1441" t="s">
        <v>1434</v>
      </c>
      <c r="D1441" t="s">
        <v>51</v>
      </c>
      <c r="E1441" s="8" t="s">
        <v>34</v>
      </c>
      <c r="F1441">
        <v>0</v>
      </c>
      <c r="G1441" t="s">
        <v>78</v>
      </c>
      <c r="H1441" t="str">
        <f>VLOOKUP(Tabla3[[#This Row],[DESCRIPCION MATERIAL]],'CODIGO MAT'!$C$2:$D$390,2,FALSE)</f>
        <v>AVI0000034</v>
      </c>
      <c r="J1441">
        <v>1</v>
      </c>
      <c r="K1441">
        <v>0</v>
      </c>
    </row>
    <row r="1442" spans="1:11" x14ac:dyDescent="0.25">
      <c r="A1442" t="s">
        <v>1433</v>
      </c>
      <c r="B1442" t="s">
        <v>464</v>
      </c>
      <c r="C1442" t="s">
        <v>1434</v>
      </c>
      <c r="D1442" t="s">
        <v>51</v>
      </c>
      <c r="E1442" s="8" t="s">
        <v>294</v>
      </c>
      <c r="F1442">
        <v>0</v>
      </c>
      <c r="G1442" t="s">
        <v>78</v>
      </c>
      <c r="H1442" t="str">
        <f>VLOOKUP(Tabla3[[#This Row],[DESCRIPCION MATERIAL]],'CODIGO MAT'!$C$2:$D$390,2,FALSE)</f>
        <v>AVI0000037</v>
      </c>
      <c r="J1442">
        <v>1</v>
      </c>
      <c r="K1442">
        <v>0</v>
      </c>
    </row>
    <row r="1443" spans="1:11" x14ac:dyDescent="0.25">
      <c r="A1443" t="s">
        <v>1438</v>
      </c>
      <c r="B1443" t="s">
        <v>464</v>
      </c>
      <c r="C1443" t="s">
        <v>1439</v>
      </c>
      <c r="D1443" t="s">
        <v>50</v>
      </c>
      <c r="E1443" s="8" t="s">
        <v>212</v>
      </c>
      <c r="F1443">
        <v>1.02</v>
      </c>
      <c r="G1443" t="s">
        <v>78</v>
      </c>
      <c r="H1443" t="str">
        <f>VLOOKUP(Tabla3[[#This Row],[DESCRIPCION MATERIAL]],'CODIGO MAT'!$C$2:$D$390,2,FALSE)</f>
        <v>TEL0000139</v>
      </c>
      <c r="J1443">
        <v>1</v>
      </c>
      <c r="K1443">
        <v>0</v>
      </c>
    </row>
    <row r="1444" spans="1:11" x14ac:dyDescent="0.25">
      <c r="A1444" t="s">
        <v>1438</v>
      </c>
      <c r="B1444" t="s">
        <v>464</v>
      </c>
      <c r="C1444" t="s">
        <v>1439</v>
      </c>
      <c r="D1444" t="s">
        <v>50</v>
      </c>
      <c r="E1444" s="8" t="s">
        <v>1232</v>
      </c>
      <c r="F1444">
        <v>9.2999999999999999E-2</v>
      </c>
      <c r="G1444" t="s">
        <v>78</v>
      </c>
      <c r="H1444" t="e">
        <f>VLOOKUP(Tabla3[[#This Row],[DESCRIPCION MATERIAL]],'CODIGO MAT'!$C$2:$D$390,2,FALSE)</f>
        <v>#N/A</v>
      </c>
      <c r="I1444" s="64" t="s">
        <v>50</v>
      </c>
      <c r="J1444">
        <v>1</v>
      </c>
      <c r="K1444">
        <v>0</v>
      </c>
    </row>
    <row r="1445" spans="1:11" x14ac:dyDescent="0.25">
      <c r="A1445" t="s">
        <v>1438</v>
      </c>
      <c r="B1445" t="s">
        <v>464</v>
      </c>
      <c r="C1445" t="s">
        <v>1439</v>
      </c>
      <c r="D1445" t="s">
        <v>50</v>
      </c>
      <c r="E1445" s="8" t="s">
        <v>12</v>
      </c>
      <c r="F1445">
        <v>0.152</v>
      </c>
      <c r="G1445" t="s">
        <v>78</v>
      </c>
      <c r="H1445" t="str">
        <f>VLOOKUP(Tabla3[[#This Row],[DESCRIPCION MATERIAL]],'CODIGO MAT'!$C$2:$D$390,2,FALSE)</f>
        <v>TEL0000040</v>
      </c>
      <c r="J1445">
        <v>1</v>
      </c>
      <c r="K1445">
        <v>0</v>
      </c>
    </row>
    <row r="1446" spans="1:11" x14ac:dyDescent="0.25">
      <c r="A1446" t="s">
        <v>1438</v>
      </c>
      <c r="B1446" t="s">
        <v>464</v>
      </c>
      <c r="C1446" t="s">
        <v>1439</v>
      </c>
      <c r="D1446" t="s">
        <v>51</v>
      </c>
      <c r="E1446" s="8" t="s">
        <v>1435</v>
      </c>
      <c r="F1446">
        <v>0.14799999999999999</v>
      </c>
      <c r="G1446" t="s">
        <v>78</v>
      </c>
      <c r="H1446" t="e">
        <f>VLOOKUP(Tabla3[[#This Row],[DESCRIPCION MATERIAL]],'CODIGO MAT'!$C$2:$D$390,2,FALSE)</f>
        <v>#N/A</v>
      </c>
      <c r="I1446" s="64" t="s">
        <v>51</v>
      </c>
      <c r="J1446">
        <v>1</v>
      </c>
      <c r="K1446">
        <v>0</v>
      </c>
    </row>
    <row r="1447" spans="1:11" x14ac:dyDescent="0.25">
      <c r="A1447" t="s">
        <v>1438</v>
      </c>
      <c r="B1447" t="s">
        <v>464</v>
      </c>
      <c r="C1447" t="s">
        <v>1439</v>
      </c>
      <c r="D1447" t="s">
        <v>51</v>
      </c>
      <c r="E1447" s="8" t="s">
        <v>1436</v>
      </c>
      <c r="F1447">
        <v>0.18</v>
      </c>
      <c r="G1447" t="s">
        <v>78</v>
      </c>
      <c r="H1447" t="e">
        <f>VLOOKUP(Tabla3[[#This Row],[DESCRIPCION MATERIAL]],'CODIGO MAT'!$C$2:$D$390,2,FALSE)</f>
        <v>#N/A</v>
      </c>
      <c r="J1447">
        <v>1</v>
      </c>
      <c r="K1447">
        <v>0</v>
      </c>
    </row>
    <row r="1448" spans="1:11" x14ac:dyDescent="0.25">
      <c r="A1448" t="s">
        <v>1438</v>
      </c>
      <c r="B1448" t="s">
        <v>464</v>
      </c>
      <c r="C1448" t="s">
        <v>1439</v>
      </c>
      <c r="D1448" t="s">
        <v>51</v>
      </c>
      <c r="E1448" s="8" t="s">
        <v>34</v>
      </c>
      <c r="F1448">
        <v>0</v>
      </c>
      <c r="G1448" t="s">
        <v>78</v>
      </c>
      <c r="H1448" t="str">
        <f>VLOOKUP(Tabla3[[#This Row],[DESCRIPCION MATERIAL]],'CODIGO MAT'!$C$2:$D$390,2,FALSE)</f>
        <v>AVI0000034</v>
      </c>
      <c r="J1448">
        <v>1</v>
      </c>
      <c r="K1448">
        <v>0</v>
      </c>
    </row>
    <row r="1449" spans="1:11" x14ac:dyDescent="0.25">
      <c r="A1449" t="s">
        <v>1438</v>
      </c>
      <c r="B1449" t="s">
        <v>464</v>
      </c>
      <c r="C1449" t="s">
        <v>1439</v>
      </c>
      <c r="D1449" t="s">
        <v>51</v>
      </c>
      <c r="E1449" s="8" t="s">
        <v>294</v>
      </c>
      <c r="F1449">
        <v>0</v>
      </c>
      <c r="G1449" t="s">
        <v>78</v>
      </c>
      <c r="H1449" t="str">
        <f>VLOOKUP(Tabla3[[#This Row],[DESCRIPCION MATERIAL]],'CODIGO MAT'!$C$2:$D$390,2,FALSE)</f>
        <v>AVI0000037</v>
      </c>
      <c r="J1449">
        <v>1</v>
      </c>
      <c r="K1449">
        <v>0</v>
      </c>
    </row>
    <row r="1450" spans="1:11" x14ac:dyDescent="0.25">
      <c r="A1450" t="s">
        <v>1440</v>
      </c>
      <c r="B1450" t="s">
        <v>21</v>
      </c>
      <c r="C1450" t="s">
        <v>1441</v>
      </c>
      <c r="D1450" t="s">
        <v>50</v>
      </c>
      <c r="E1450" s="8" t="s">
        <v>1232</v>
      </c>
      <c r="F1450">
        <v>0.71399999999999997</v>
      </c>
      <c r="G1450" t="s">
        <v>78</v>
      </c>
      <c r="H1450" t="e">
        <f>VLOOKUP(Tabla3[[#This Row],[DESCRIPCION MATERIAL]],'CODIGO MAT'!$C$2:$D$390,2,FALSE)</f>
        <v>#N/A</v>
      </c>
      <c r="I1450" s="64" t="s">
        <v>50</v>
      </c>
      <c r="J1450">
        <v>1</v>
      </c>
      <c r="K1450">
        <v>0</v>
      </c>
    </row>
    <row r="1451" spans="1:11" x14ac:dyDescent="0.25">
      <c r="A1451" t="s">
        <v>1440</v>
      </c>
      <c r="B1451" t="s">
        <v>21</v>
      </c>
      <c r="C1451" t="s">
        <v>1441</v>
      </c>
      <c r="D1451" t="s">
        <v>50</v>
      </c>
      <c r="E1451" s="8" t="s">
        <v>12</v>
      </c>
      <c r="F1451">
        <v>0.60599999999999998</v>
      </c>
      <c r="G1451" t="s">
        <v>78</v>
      </c>
      <c r="H1451" t="str">
        <f>VLOOKUP(Tabla3[[#This Row],[DESCRIPCION MATERIAL]],'CODIGO MAT'!$C$2:$D$390,2,FALSE)</f>
        <v>TEL0000040</v>
      </c>
      <c r="J1451">
        <v>1</v>
      </c>
      <c r="K1451">
        <v>0</v>
      </c>
    </row>
    <row r="1452" spans="1:11" x14ac:dyDescent="0.25">
      <c r="A1452" t="s">
        <v>1440</v>
      </c>
      <c r="B1452" t="s">
        <v>21</v>
      </c>
      <c r="C1452" t="s">
        <v>1441</v>
      </c>
      <c r="D1452" t="s">
        <v>51</v>
      </c>
      <c r="E1452" s="8" t="s">
        <v>388</v>
      </c>
      <c r="F1452">
        <v>4</v>
      </c>
      <c r="G1452" t="s">
        <v>396</v>
      </c>
      <c r="H1452" t="str">
        <f>VLOOKUP(Tabla3[[#This Row],[DESCRIPCION MATERIAL]],'CODIGO MAT'!$C$2:$D$390,2,FALSE)</f>
        <v>AVI0000123</v>
      </c>
    </row>
    <row r="1453" spans="1:11" x14ac:dyDescent="0.25">
      <c r="A1453" t="s">
        <v>1442</v>
      </c>
      <c r="B1453" t="s">
        <v>521</v>
      </c>
      <c r="C1453" t="s">
        <v>1443</v>
      </c>
      <c r="D1453" t="s">
        <v>50</v>
      </c>
      <c r="E1453" s="8" t="s">
        <v>149</v>
      </c>
      <c r="F1453">
        <v>0</v>
      </c>
      <c r="G1453" t="s">
        <v>78</v>
      </c>
      <c r="H1453" t="str">
        <f>VLOOKUP(Tabla3[[#This Row],[DESCRIPCION MATERIAL]],'CODIGO MAT'!$C$2:$D$390,2,FALSE)</f>
        <v>TEL0000076</v>
      </c>
      <c r="J1453">
        <v>1</v>
      </c>
      <c r="K1453">
        <v>0</v>
      </c>
    </row>
    <row r="1454" spans="1:11" x14ac:dyDescent="0.25">
      <c r="A1454" t="s">
        <v>1442</v>
      </c>
      <c r="B1454" t="s">
        <v>521</v>
      </c>
      <c r="C1454" t="s">
        <v>1443</v>
      </c>
      <c r="D1454" t="s">
        <v>50</v>
      </c>
      <c r="E1454" s="8" t="s">
        <v>1237</v>
      </c>
      <c r="F1454">
        <v>0.17100000000000001</v>
      </c>
      <c r="G1454" t="s">
        <v>78</v>
      </c>
      <c r="H1454" t="e">
        <f>VLOOKUP(Tabla3[[#This Row],[DESCRIPCION MATERIAL]],'CODIGO MAT'!$C$2:$D$390,2,FALSE)</f>
        <v>#N/A</v>
      </c>
      <c r="I1454" s="64" t="s">
        <v>50</v>
      </c>
      <c r="J1454">
        <v>1</v>
      </c>
      <c r="K1454">
        <v>0</v>
      </c>
    </row>
    <row r="1455" spans="1:11" x14ac:dyDescent="0.25">
      <c r="A1455" t="s">
        <v>1442</v>
      </c>
      <c r="B1455" t="s">
        <v>521</v>
      </c>
      <c r="C1455" t="s">
        <v>1443</v>
      </c>
      <c r="D1455" t="s">
        <v>50</v>
      </c>
      <c r="E1455" s="8" t="s">
        <v>190</v>
      </c>
      <c r="F1455">
        <v>8.3000000000000004E-2</v>
      </c>
      <c r="G1455" t="s">
        <v>78</v>
      </c>
      <c r="H1455" t="str">
        <f>VLOOKUP(Tabla3[[#This Row],[DESCRIPCION MATERIAL]],'CODIGO MAT'!$C$2:$D$390,2,FALSE)</f>
        <v>TEL0000117</v>
      </c>
      <c r="J1455">
        <v>1</v>
      </c>
      <c r="K1455">
        <v>0</v>
      </c>
    </row>
    <row r="1456" spans="1:11" x14ac:dyDescent="0.25">
      <c r="A1456" t="s">
        <v>1442</v>
      </c>
      <c r="B1456" t="s">
        <v>521</v>
      </c>
      <c r="C1456" t="s">
        <v>1443</v>
      </c>
      <c r="D1456" t="s">
        <v>50</v>
      </c>
      <c r="E1456" s="8" t="s">
        <v>192</v>
      </c>
      <c r="F1456">
        <v>0.12</v>
      </c>
      <c r="G1456" t="s">
        <v>78</v>
      </c>
      <c r="H1456" t="str">
        <f>VLOOKUP(Tabla3[[#This Row],[DESCRIPCION MATERIAL]],'CODIGO MAT'!$C$2:$D$390,2,FALSE)</f>
        <v>TEL0000119</v>
      </c>
      <c r="J1456">
        <v>1</v>
      </c>
      <c r="K1456">
        <v>0</v>
      </c>
    </row>
    <row r="1457" spans="1:11" x14ac:dyDescent="0.25">
      <c r="A1457" t="s">
        <v>1442</v>
      </c>
      <c r="B1457" t="s">
        <v>521</v>
      </c>
      <c r="C1457" t="s">
        <v>1443</v>
      </c>
      <c r="D1457" t="s">
        <v>50</v>
      </c>
      <c r="E1457" s="8" t="s">
        <v>236</v>
      </c>
      <c r="F1457">
        <v>0</v>
      </c>
      <c r="G1457" t="s">
        <v>78</v>
      </c>
      <c r="H1457" t="str">
        <f>VLOOKUP(Tabla3[[#This Row],[DESCRIPCION MATERIAL]],'CODIGO MAT'!$C$2:$D$390,2,FALSE)</f>
        <v>TEL0000164</v>
      </c>
      <c r="J1457">
        <v>1</v>
      </c>
      <c r="K1457">
        <v>0</v>
      </c>
    </row>
    <row r="1458" spans="1:11" x14ac:dyDescent="0.25">
      <c r="A1458" t="s">
        <v>1442</v>
      </c>
      <c r="B1458" t="s">
        <v>521</v>
      </c>
      <c r="C1458" t="s">
        <v>1443</v>
      </c>
      <c r="D1458" t="s">
        <v>50</v>
      </c>
      <c r="E1458" s="8" t="s">
        <v>243</v>
      </c>
      <c r="F1458">
        <v>8.9999999999999993E-3</v>
      </c>
      <c r="G1458" t="s">
        <v>78</v>
      </c>
      <c r="H1458" t="str">
        <f>VLOOKUP(Tabla3[[#This Row],[DESCRIPCION MATERIAL]],'CODIGO MAT'!$C$2:$D$390,2,FALSE)</f>
        <v>TEL0000171</v>
      </c>
      <c r="J1458">
        <v>1</v>
      </c>
      <c r="K1458">
        <v>0</v>
      </c>
    </row>
    <row r="1459" spans="1:11" x14ac:dyDescent="0.25">
      <c r="A1459" t="s">
        <v>1442</v>
      </c>
      <c r="B1459" t="s">
        <v>521</v>
      </c>
      <c r="C1459" t="s">
        <v>1443</v>
      </c>
      <c r="D1459" t="s">
        <v>50</v>
      </c>
      <c r="E1459" s="8" t="s">
        <v>242</v>
      </c>
      <c r="F1459">
        <v>2.1999999999999999E-2</v>
      </c>
      <c r="G1459" t="s">
        <v>78</v>
      </c>
      <c r="H1459" t="str">
        <f>VLOOKUP(Tabla3[[#This Row],[DESCRIPCION MATERIAL]],'CODIGO MAT'!$C$2:$D$390,2,FALSE)</f>
        <v>TEL0000170</v>
      </c>
      <c r="J1459">
        <v>1</v>
      </c>
      <c r="K1459">
        <v>0</v>
      </c>
    </row>
    <row r="1460" spans="1:11" x14ac:dyDescent="0.25">
      <c r="A1460" t="s">
        <v>1442</v>
      </c>
      <c r="B1460" t="s">
        <v>521</v>
      </c>
      <c r="C1460" t="s">
        <v>1443</v>
      </c>
      <c r="D1460" t="s">
        <v>51</v>
      </c>
      <c r="E1460" s="8" t="s">
        <v>367</v>
      </c>
      <c r="F1460">
        <v>1</v>
      </c>
      <c r="G1460" t="s">
        <v>396</v>
      </c>
      <c r="H1460" t="str">
        <f>VLOOKUP(Tabla3[[#This Row],[DESCRIPCION MATERIAL]],'CODIGO MAT'!$C$2:$D$390,2,FALSE)</f>
        <v>AVI0000105</v>
      </c>
      <c r="J1460">
        <v>1</v>
      </c>
      <c r="K1460">
        <v>0</v>
      </c>
    </row>
    <row r="1461" spans="1:11" x14ac:dyDescent="0.25">
      <c r="A1461" t="s">
        <v>1442</v>
      </c>
      <c r="B1461" t="s">
        <v>521</v>
      </c>
      <c r="C1461" t="s">
        <v>1443</v>
      </c>
      <c r="D1461" t="s">
        <v>51</v>
      </c>
      <c r="E1461" s="8" t="s">
        <v>1444</v>
      </c>
      <c r="F1461">
        <v>0.42</v>
      </c>
      <c r="G1461" t="s">
        <v>78</v>
      </c>
      <c r="H1461" t="e">
        <f>VLOOKUP(Tabla3[[#This Row],[DESCRIPCION MATERIAL]],'CODIGO MAT'!$C$2:$D$390,2,FALSE)</f>
        <v>#N/A</v>
      </c>
      <c r="I1461" s="64" t="s">
        <v>51</v>
      </c>
      <c r="J1461">
        <v>1</v>
      </c>
      <c r="K1461">
        <v>0</v>
      </c>
    </row>
    <row r="1462" spans="1:11" x14ac:dyDescent="0.25">
      <c r="A1462" t="s">
        <v>1445</v>
      </c>
      <c r="B1462" t="s">
        <v>521</v>
      </c>
      <c r="C1462" t="s">
        <v>1446</v>
      </c>
      <c r="D1462" t="s">
        <v>50</v>
      </c>
      <c r="E1462" s="8" t="s">
        <v>12</v>
      </c>
      <c r="F1462">
        <v>0.45400000000000001</v>
      </c>
      <c r="G1462" t="s">
        <v>78</v>
      </c>
      <c r="H1462" t="str">
        <f>VLOOKUP(Tabla3[[#This Row],[DESCRIPCION MATERIAL]],'CODIGO MAT'!$C$2:$D$390,2,FALSE)</f>
        <v>TEL0000040</v>
      </c>
      <c r="J1462">
        <v>1</v>
      </c>
      <c r="K1462">
        <v>0</v>
      </c>
    </row>
    <row r="1463" spans="1:11" x14ac:dyDescent="0.25">
      <c r="A1463" t="s">
        <v>1445</v>
      </c>
      <c r="B1463" t="s">
        <v>521</v>
      </c>
      <c r="C1463" t="s">
        <v>1446</v>
      </c>
      <c r="D1463" t="s">
        <v>50</v>
      </c>
      <c r="E1463" s="8" t="s">
        <v>98</v>
      </c>
      <c r="F1463">
        <v>0.154</v>
      </c>
      <c r="G1463" t="s">
        <v>78</v>
      </c>
      <c r="H1463" t="str">
        <f>VLOOKUP(Tabla3[[#This Row],[DESCRIPCION MATERIAL]],'CODIGO MAT'!$C$2:$D$390,2,FALSE)</f>
        <v>TEL0000021</v>
      </c>
      <c r="J1463">
        <v>1</v>
      </c>
      <c r="K1463">
        <v>0</v>
      </c>
    </row>
    <row r="1464" spans="1:11" x14ac:dyDescent="0.25">
      <c r="A1464" t="s">
        <v>1445</v>
      </c>
      <c r="B1464" t="s">
        <v>521</v>
      </c>
      <c r="C1464" t="s">
        <v>1446</v>
      </c>
      <c r="D1464" t="s">
        <v>50</v>
      </c>
      <c r="E1464" s="8" t="s">
        <v>97</v>
      </c>
      <c r="F1464">
        <v>0.41199999999999998</v>
      </c>
      <c r="G1464" t="s">
        <v>78</v>
      </c>
      <c r="H1464" t="str">
        <f>VLOOKUP(Tabla3[[#This Row],[DESCRIPCION MATERIAL]],'CODIGO MAT'!$C$2:$D$390,2,FALSE)</f>
        <v>TEL0000020</v>
      </c>
      <c r="J1464">
        <v>1</v>
      </c>
      <c r="K1464">
        <v>0</v>
      </c>
    </row>
    <row r="1465" spans="1:11" x14ac:dyDescent="0.25">
      <c r="A1465" t="s">
        <v>1445</v>
      </c>
      <c r="B1465" t="s">
        <v>521</v>
      </c>
      <c r="C1465" t="s">
        <v>1446</v>
      </c>
      <c r="D1465" t="s">
        <v>50</v>
      </c>
      <c r="E1465" s="8" t="s">
        <v>194</v>
      </c>
      <c r="F1465">
        <v>0.17100000000000001</v>
      </c>
      <c r="G1465" t="s">
        <v>78</v>
      </c>
      <c r="H1465" t="str">
        <f>VLOOKUP(Tabla3[[#This Row],[DESCRIPCION MATERIAL]],'CODIGO MAT'!$C$2:$D$390,2,FALSE)</f>
        <v>TEL0000121</v>
      </c>
      <c r="J1465">
        <v>1</v>
      </c>
      <c r="K1465">
        <v>0</v>
      </c>
    </row>
    <row r="1466" spans="1:11" x14ac:dyDescent="0.25">
      <c r="A1466" t="s">
        <v>1445</v>
      </c>
      <c r="B1466" t="s">
        <v>521</v>
      </c>
      <c r="C1466" t="s">
        <v>1446</v>
      </c>
      <c r="D1466" t="s">
        <v>50</v>
      </c>
      <c r="E1466" s="8" t="s">
        <v>107</v>
      </c>
      <c r="F1466">
        <v>7.6999999999999999E-2</v>
      </c>
      <c r="G1466" t="s">
        <v>78</v>
      </c>
      <c r="H1466" t="str">
        <f>VLOOKUP(Tabla3[[#This Row],[DESCRIPCION MATERIAL]],'CODIGO MAT'!$C$2:$D$390,2,FALSE)</f>
        <v>TEL0000030</v>
      </c>
      <c r="J1466">
        <v>1</v>
      </c>
      <c r="K1466">
        <v>0</v>
      </c>
    </row>
    <row r="1467" spans="1:11" x14ac:dyDescent="0.25">
      <c r="A1467" t="s">
        <v>1445</v>
      </c>
      <c r="B1467" t="s">
        <v>521</v>
      </c>
      <c r="C1467" t="s">
        <v>1446</v>
      </c>
      <c r="D1467" t="s">
        <v>50</v>
      </c>
      <c r="E1467" s="8" t="s">
        <v>1232</v>
      </c>
      <c r="F1467">
        <v>9.8000000000000004E-2</v>
      </c>
      <c r="G1467" t="s">
        <v>78</v>
      </c>
      <c r="H1467" t="e">
        <f>VLOOKUP(Tabla3[[#This Row],[DESCRIPCION MATERIAL]],'CODIGO MAT'!$C$2:$D$390,2,FALSE)</f>
        <v>#N/A</v>
      </c>
      <c r="I1467" s="64" t="s">
        <v>51</v>
      </c>
      <c r="J1467">
        <v>1</v>
      </c>
      <c r="K1467">
        <v>0</v>
      </c>
    </row>
    <row r="1468" spans="1:11" x14ac:dyDescent="0.25">
      <c r="A1468" t="s">
        <v>1445</v>
      </c>
      <c r="B1468" t="s">
        <v>521</v>
      </c>
      <c r="C1468" t="s">
        <v>1446</v>
      </c>
      <c r="D1468" t="s">
        <v>51</v>
      </c>
      <c r="E1468" s="8" t="s">
        <v>301</v>
      </c>
      <c r="F1468">
        <v>0.44</v>
      </c>
      <c r="G1468" t="s">
        <v>78</v>
      </c>
      <c r="H1468" t="str">
        <f>VLOOKUP(Tabla3[[#This Row],[DESCRIPCION MATERIAL]],'CODIGO MAT'!$C$2:$D$390,2,FALSE)</f>
        <v>AVI0000046</v>
      </c>
      <c r="J1468">
        <v>1</v>
      </c>
      <c r="K1468">
        <v>0</v>
      </c>
    </row>
    <row r="1469" spans="1:11" x14ac:dyDescent="0.25">
      <c r="A1469" t="s">
        <v>1445</v>
      </c>
      <c r="B1469" t="s">
        <v>521</v>
      </c>
      <c r="C1469" t="s">
        <v>1446</v>
      </c>
      <c r="D1469" t="s">
        <v>51</v>
      </c>
      <c r="E1469" s="8" t="s">
        <v>342</v>
      </c>
      <c r="F1469">
        <v>0.6</v>
      </c>
      <c r="G1469" t="s">
        <v>78</v>
      </c>
      <c r="H1469" t="str">
        <f>VLOOKUP(Tabla3[[#This Row],[DESCRIPCION MATERIAL]],'CODIGO MAT'!$C$2:$D$390,2,FALSE)</f>
        <v>AVI0000080</v>
      </c>
      <c r="J1469">
        <v>1</v>
      </c>
      <c r="K1469">
        <v>0</v>
      </c>
    </row>
    <row r="1470" spans="1:11" x14ac:dyDescent="0.25">
      <c r="A1470" t="s">
        <v>1445</v>
      </c>
      <c r="B1470" t="s">
        <v>521</v>
      </c>
      <c r="C1470" t="s">
        <v>1446</v>
      </c>
      <c r="D1470" t="s">
        <v>51</v>
      </c>
      <c r="E1470" s="8" t="s">
        <v>387</v>
      </c>
      <c r="F1470">
        <v>3</v>
      </c>
      <c r="G1470" t="s">
        <v>396</v>
      </c>
      <c r="H1470" t="str">
        <f>VLOOKUP(Tabla3[[#This Row],[DESCRIPCION MATERIAL]],'CODIGO MAT'!$C$2:$D$390,2,FALSE)</f>
        <v>AVI0000122</v>
      </c>
    </row>
    <row r="1471" spans="1:11" x14ac:dyDescent="0.25">
      <c r="A1471" t="s">
        <v>1447</v>
      </c>
      <c r="B1471" t="s">
        <v>521</v>
      </c>
      <c r="C1471" t="s">
        <v>1448</v>
      </c>
      <c r="D1471" t="s">
        <v>50</v>
      </c>
      <c r="E1471" s="8" t="s">
        <v>90</v>
      </c>
      <c r="F1471">
        <v>0.73199999999999998</v>
      </c>
      <c r="G1471" t="s">
        <v>78</v>
      </c>
      <c r="H1471" t="str">
        <f>VLOOKUP(Tabla3[[#This Row],[DESCRIPCION MATERIAL]],'CODIGO MAT'!$C$2:$D$390,2,FALSE)</f>
        <v>TEL0000013</v>
      </c>
      <c r="J1471">
        <v>1</v>
      </c>
      <c r="K1471">
        <v>0</v>
      </c>
    </row>
    <row r="1472" spans="1:11" x14ac:dyDescent="0.25">
      <c r="A1472" t="s">
        <v>1447</v>
      </c>
      <c r="B1472" t="s">
        <v>521</v>
      </c>
      <c r="C1472" t="s">
        <v>1448</v>
      </c>
      <c r="D1472" t="s">
        <v>50</v>
      </c>
      <c r="E1472" s="8" t="s">
        <v>88</v>
      </c>
      <c r="F1472">
        <v>2.7E-2</v>
      </c>
      <c r="G1472" t="s">
        <v>78</v>
      </c>
      <c r="H1472" t="str">
        <f>VLOOKUP(Tabla3[[#This Row],[DESCRIPCION MATERIAL]],'CODIGO MAT'!$C$2:$D$390,2,FALSE)</f>
        <v>TEL0000011</v>
      </c>
      <c r="J1472">
        <v>1</v>
      </c>
      <c r="K1472">
        <v>0</v>
      </c>
    </row>
    <row r="1473" spans="1:11" x14ac:dyDescent="0.25">
      <c r="A1473" t="s">
        <v>1447</v>
      </c>
      <c r="B1473" t="s">
        <v>521</v>
      </c>
      <c r="C1473" t="s">
        <v>1448</v>
      </c>
      <c r="D1473" t="s">
        <v>50</v>
      </c>
      <c r="E1473" s="8" t="s">
        <v>103</v>
      </c>
      <c r="F1473">
        <v>0.112</v>
      </c>
      <c r="G1473" t="s">
        <v>78</v>
      </c>
      <c r="H1473" t="str">
        <f>VLOOKUP(Tabla3[[#This Row],[DESCRIPCION MATERIAL]],'CODIGO MAT'!$C$2:$D$390,2,FALSE)</f>
        <v>TEL0000026</v>
      </c>
      <c r="J1473">
        <v>1</v>
      </c>
      <c r="K1473">
        <v>0</v>
      </c>
    </row>
    <row r="1474" spans="1:11" x14ac:dyDescent="0.25">
      <c r="A1474" t="s">
        <v>1447</v>
      </c>
      <c r="B1474" t="s">
        <v>521</v>
      </c>
      <c r="C1474" t="s">
        <v>1448</v>
      </c>
      <c r="D1474" t="s">
        <v>50</v>
      </c>
      <c r="E1474" s="8" t="s">
        <v>87</v>
      </c>
      <c r="F1474">
        <v>0.3</v>
      </c>
      <c r="G1474" t="s">
        <v>78</v>
      </c>
      <c r="H1474" t="str">
        <f>VLOOKUP(Tabla3[[#This Row],[DESCRIPCION MATERIAL]],'CODIGO MAT'!$C$2:$D$390,2,FALSE)</f>
        <v>TEL0000010</v>
      </c>
      <c r="J1474">
        <v>1</v>
      </c>
      <c r="K1474">
        <v>0</v>
      </c>
    </row>
    <row r="1475" spans="1:11" x14ac:dyDescent="0.25">
      <c r="A1475" t="s">
        <v>1447</v>
      </c>
      <c r="B1475" t="s">
        <v>521</v>
      </c>
      <c r="C1475" t="s">
        <v>1448</v>
      </c>
      <c r="D1475" t="s">
        <v>50</v>
      </c>
      <c r="E1475" s="8" t="s">
        <v>1449</v>
      </c>
      <c r="F1475">
        <v>0.42799999999999999</v>
      </c>
      <c r="G1475" t="s">
        <v>78</v>
      </c>
      <c r="H1475" t="e">
        <f>VLOOKUP(Tabla3[[#This Row],[DESCRIPCION MATERIAL]],'CODIGO MAT'!$C$2:$D$390,2,FALSE)</f>
        <v>#N/A</v>
      </c>
      <c r="I1475" s="64" t="s">
        <v>50</v>
      </c>
      <c r="J1475">
        <v>1</v>
      </c>
      <c r="K1475">
        <v>0</v>
      </c>
    </row>
    <row r="1476" spans="1:11" x14ac:dyDescent="0.25">
      <c r="A1476" t="s">
        <v>1447</v>
      </c>
      <c r="B1476" t="s">
        <v>521</v>
      </c>
      <c r="C1476" t="s">
        <v>1448</v>
      </c>
      <c r="D1476" t="s">
        <v>50</v>
      </c>
      <c r="E1476" s="8" t="s">
        <v>227</v>
      </c>
      <c r="F1476">
        <v>0.3</v>
      </c>
      <c r="G1476" t="s">
        <v>78</v>
      </c>
      <c r="H1476" t="str">
        <f>VLOOKUP(Tabla3[[#This Row],[DESCRIPCION MATERIAL]],'CODIGO MAT'!$C$2:$D$390,2,FALSE)</f>
        <v>TEL0000155</v>
      </c>
      <c r="J1476">
        <v>1</v>
      </c>
      <c r="K1476">
        <v>0</v>
      </c>
    </row>
    <row r="1477" spans="1:11" x14ac:dyDescent="0.25">
      <c r="A1477" t="s">
        <v>1447</v>
      </c>
      <c r="B1477" t="s">
        <v>521</v>
      </c>
      <c r="C1477" t="s">
        <v>1448</v>
      </c>
      <c r="D1477" t="s">
        <v>51</v>
      </c>
      <c r="E1477" s="8" t="s">
        <v>254</v>
      </c>
      <c r="F1477">
        <v>0</v>
      </c>
      <c r="G1477" t="s">
        <v>78</v>
      </c>
      <c r="H1477" t="str">
        <f>VLOOKUP(Tabla3[[#This Row],[DESCRIPCION MATERIAL]],'CODIGO MAT'!$C$2:$D$390,2,FALSE)</f>
        <v>TEL0000182</v>
      </c>
    </row>
    <row r="1478" spans="1:11" x14ac:dyDescent="0.25">
      <c r="A1478" t="s">
        <v>1447</v>
      </c>
      <c r="B1478" t="s">
        <v>521</v>
      </c>
      <c r="C1478" t="s">
        <v>1448</v>
      </c>
      <c r="D1478" t="s">
        <v>51</v>
      </c>
      <c r="E1478" s="8" t="s">
        <v>257</v>
      </c>
      <c r="F1478">
        <v>5.0000000000000001E-3</v>
      </c>
      <c r="G1478" t="s">
        <v>78</v>
      </c>
      <c r="H1478" t="str">
        <f>VLOOKUP(Tabla3[[#This Row],[DESCRIPCION MATERIAL]],'CODIGO MAT'!$C$2:$D$390,2,FALSE)</f>
        <v>TEL0000185</v>
      </c>
      <c r="K1478">
        <v>0</v>
      </c>
    </row>
    <row r="1479" spans="1:11" x14ac:dyDescent="0.25">
      <c r="A1479" t="s">
        <v>1447</v>
      </c>
      <c r="B1479" t="s">
        <v>521</v>
      </c>
      <c r="C1479" t="s">
        <v>1448</v>
      </c>
      <c r="D1479" t="s">
        <v>1450</v>
      </c>
      <c r="E1479" s="8" t="s">
        <v>1451</v>
      </c>
      <c r="F1479">
        <v>0</v>
      </c>
      <c r="G1479" t="s">
        <v>78</v>
      </c>
      <c r="H1479" t="e">
        <f>VLOOKUP(Tabla3[[#This Row],[DESCRIPCION MATERIAL]],'CODIGO MAT'!$C$2:$D$390,2,FALSE)</f>
        <v>#N/A</v>
      </c>
      <c r="I1479" s="64" t="s">
        <v>1450</v>
      </c>
    </row>
    <row r="1480" spans="1:11" x14ac:dyDescent="0.25">
      <c r="A1480" t="s">
        <v>1447</v>
      </c>
      <c r="B1480" t="s">
        <v>521</v>
      </c>
      <c r="C1480" t="s">
        <v>1448</v>
      </c>
      <c r="D1480" t="s">
        <v>1450</v>
      </c>
      <c r="E1480" s="8" t="s">
        <v>1452</v>
      </c>
      <c r="F1480">
        <v>0</v>
      </c>
      <c r="G1480" t="s">
        <v>448</v>
      </c>
      <c r="H1480" t="e">
        <f>VLOOKUP(Tabla3[[#This Row],[DESCRIPCION MATERIAL]],'CODIGO MAT'!$C$2:$D$390,2,FALSE)</f>
        <v>#N/A</v>
      </c>
      <c r="I1480" s="64" t="s">
        <v>1450</v>
      </c>
    </row>
    <row r="1481" spans="1:11" x14ac:dyDescent="0.25">
      <c r="A1481" t="s">
        <v>1447</v>
      </c>
      <c r="B1481" t="s">
        <v>521</v>
      </c>
      <c r="C1481" t="s">
        <v>1448</v>
      </c>
      <c r="D1481" t="s">
        <v>1450</v>
      </c>
      <c r="E1481" s="8" t="s">
        <v>1453</v>
      </c>
      <c r="F1481">
        <v>0</v>
      </c>
      <c r="G1481" t="s">
        <v>448</v>
      </c>
      <c r="H1481" t="e">
        <f>VLOOKUP(Tabla3[[#This Row],[DESCRIPCION MATERIAL]],'CODIGO MAT'!$C$2:$D$390,2,FALSE)</f>
        <v>#N/A</v>
      </c>
      <c r="I1481" s="64" t="s">
        <v>1450</v>
      </c>
    </row>
    <row r="1482" spans="1:11" x14ac:dyDescent="0.25">
      <c r="A1482" t="s">
        <v>1447</v>
      </c>
      <c r="B1482" t="s">
        <v>521</v>
      </c>
      <c r="C1482" t="s">
        <v>1448</v>
      </c>
      <c r="D1482" t="s">
        <v>1450</v>
      </c>
      <c r="E1482" s="8" t="s">
        <v>1454</v>
      </c>
      <c r="F1482">
        <v>0</v>
      </c>
      <c r="G1482" t="s">
        <v>448</v>
      </c>
      <c r="H1482" t="e">
        <f>VLOOKUP(Tabla3[[#This Row],[DESCRIPCION MATERIAL]],'CODIGO MAT'!$C$2:$D$390,2,FALSE)</f>
        <v>#N/A</v>
      </c>
      <c r="I1482" s="64" t="s">
        <v>1450</v>
      </c>
    </row>
    <row r="1483" spans="1:11" x14ac:dyDescent="0.25">
      <c r="A1483" t="s">
        <v>1447</v>
      </c>
      <c r="B1483" t="s">
        <v>521</v>
      </c>
      <c r="C1483" t="s">
        <v>1448</v>
      </c>
      <c r="D1483" t="s">
        <v>1450</v>
      </c>
      <c r="E1483" s="8" t="s">
        <v>1455</v>
      </c>
      <c r="F1483">
        <v>0</v>
      </c>
      <c r="G1483" t="s">
        <v>448</v>
      </c>
      <c r="H1483" t="e">
        <f>VLOOKUP(Tabla3[[#This Row],[DESCRIPCION MATERIAL]],'CODIGO MAT'!$C$2:$D$390,2,FALSE)</f>
        <v>#N/A</v>
      </c>
      <c r="I1483" s="64" t="s">
        <v>1450</v>
      </c>
    </row>
    <row r="1484" spans="1:11" x14ac:dyDescent="0.25">
      <c r="A1484" t="s">
        <v>1456</v>
      </c>
      <c r="B1484" t="s">
        <v>521</v>
      </c>
      <c r="C1484" t="s">
        <v>1457</v>
      </c>
      <c r="D1484" t="s">
        <v>50</v>
      </c>
      <c r="E1484" s="8" t="s">
        <v>90</v>
      </c>
      <c r="F1484">
        <v>0.73199999999999998</v>
      </c>
      <c r="G1484" t="s">
        <v>78</v>
      </c>
      <c r="H1484" t="str">
        <f>VLOOKUP(Tabla3[[#This Row],[DESCRIPCION MATERIAL]],'CODIGO MAT'!$C$2:$D$390,2,FALSE)</f>
        <v>TEL0000013</v>
      </c>
      <c r="J1484">
        <v>1</v>
      </c>
      <c r="K1484">
        <v>0</v>
      </c>
    </row>
    <row r="1485" spans="1:11" x14ac:dyDescent="0.25">
      <c r="A1485" t="s">
        <v>1456</v>
      </c>
      <c r="B1485" t="s">
        <v>521</v>
      </c>
      <c r="C1485" t="s">
        <v>1457</v>
      </c>
      <c r="D1485" t="s">
        <v>50</v>
      </c>
      <c r="E1485" s="8" t="s">
        <v>88</v>
      </c>
      <c r="F1485">
        <v>2.7E-2</v>
      </c>
      <c r="G1485" t="s">
        <v>78</v>
      </c>
      <c r="H1485" t="str">
        <f>VLOOKUP(Tabla3[[#This Row],[DESCRIPCION MATERIAL]],'CODIGO MAT'!$C$2:$D$390,2,FALSE)</f>
        <v>TEL0000011</v>
      </c>
      <c r="J1485">
        <v>1</v>
      </c>
      <c r="K1485">
        <v>0</v>
      </c>
    </row>
    <row r="1486" spans="1:11" x14ac:dyDescent="0.25">
      <c r="A1486" t="s">
        <v>1456</v>
      </c>
      <c r="B1486" t="s">
        <v>521</v>
      </c>
      <c r="C1486" t="s">
        <v>1457</v>
      </c>
      <c r="D1486" t="s">
        <v>50</v>
      </c>
      <c r="E1486" s="8" t="s">
        <v>1458</v>
      </c>
      <c r="F1486">
        <v>0.112</v>
      </c>
      <c r="G1486" t="s">
        <v>78</v>
      </c>
      <c r="H1486" t="e">
        <f>VLOOKUP(Tabla3[[#This Row],[DESCRIPCION MATERIAL]],'CODIGO MAT'!$C$2:$D$390,2,FALSE)</f>
        <v>#N/A</v>
      </c>
      <c r="I1486" s="64" t="s">
        <v>50</v>
      </c>
      <c r="J1486">
        <v>1</v>
      </c>
      <c r="K1486">
        <v>0</v>
      </c>
    </row>
    <row r="1487" spans="1:11" x14ac:dyDescent="0.25">
      <c r="A1487" t="s">
        <v>1456</v>
      </c>
      <c r="B1487" t="s">
        <v>521</v>
      </c>
      <c r="C1487" t="s">
        <v>1457</v>
      </c>
      <c r="D1487" t="s">
        <v>50</v>
      </c>
      <c r="E1487" s="8" t="s">
        <v>98</v>
      </c>
      <c r="F1487">
        <v>0.03</v>
      </c>
      <c r="G1487" t="s">
        <v>78</v>
      </c>
      <c r="H1487" t="str">
        <f>VLOOKUP(Tabla3[[#This Row],[DESCRIPCION MATERIAL]],'CODIGO MAT'!$C$2:$D$390,2,FALSE)</f>
        <v>TEL0000021</v>
      </c>
      <c r="J1487">
        <v>1</v>
      </c>
      <c r="K1487">
        <v>0</v>
      </c>
    </row>
    <row r="1488" spans="1:11" x14ac:dyDescent="0.25">
      <c r="A1488" t="s">
        <v>1456</v>
      </c>
      <c r="B1488" t="s">
        <v>521</v>
      </c>
      <c r="C1488" t="s">
        <v>1457</v>
      </c>
      <c r="D1488" t="s">
        <v>50</v>
      </c>
      <c r="E1488" s="8" t="s">
        <v>1449</v>
      </c>
      <c r="F1488">
        <v>0.16400000000000001</v>
      </c>
      <c r="G1488" t="s">
        <v>78</v>
      </c>
      <c r="H1488" t="e">
        <f>VLOOKUP(Tabla3[[#This Row],[DESCRIPCION MATERIAL]],'CODIGO MAT'!$C$2:$D$390,2,FALSE)</f>
        <v>#N/A</v>
      </c>
      <c r="I1488" s="64" t="s">
        <v>50</v>
      </c>
      <c r="J1488">
        <v>1</v>
      </c>
      <c r="K1488">
        <v>0</v>
      </c>
    </row>
    <row r="1489" spans="1:11" x14ac:dyDescent="0.25">
      <c r="A1489" t="s">
        <v>1456</v>
      </c>
      <c r="B1489" t="s">
        <v>521</v>
      </c>
      <c r="C1489" t="s">
        <v>1457</v>
      </c>
      <c r="D1489" t="s">
        <v>50</v>
      </c>
      <c r="E1489" s="8" t="s">
        <v>235</v>
      </c>
      <c r="F1489">
        <v>0.42799999999999999</v>
      </c>
      <c r="G1489" t="s">
        <v>78</v>
      </c>
      <c r="H1489" t="str">
        <f>VLOOKUP(Tabla3[[#This Row],[DESCRIPCION MATERIAL]],'CODIGO MAT'!$C$2:$D$390,2,FALSE)</f>
        <v>TEL0000163</v>
      </c>
      <c r="J1489">
        <v>1</v>
      </c>
      <c r="K1489">
        <v>0</v>
      </c>
    </row>
    <row r="1490" spans="1:11" x14ac:dyDescent="0.25">
      <c r="A1490" t="s">
        <v>1456</v>
      </c>
      <c r="B1490" t="s">
        <v>521</v>
      </c>
      <c r="C1490" t="s">
        <v>1457</v>
      </c>
      <c r="D1490" t="s">
        <v>50</v>
      </c>
      <c r="E1490" s="8" t="s">
        <v>254</v>
      </c>
      <c r="F1490">
        <v>0</v>
      </c>
      <c r="G1490" t="s">
        <v>78</v>
      </c>
      <c r="H1490" t="str">
        <f>VLOOKUP(Tabla3[[#This Row],[DESCRIPCION MATERIAL]],'CODIGO MAT'!$C$2:$D$390,2,FALSE)</f>
        <v>TEL0000182</v>
      </c>
    </row>
    <row r="1491" spans="1:11" x14ac:dyDescent="0.25">
      <c r="A1491" t="s">
        <v>1456</v>
      </c>
      <c r="B1491" t="s">
        <v>521</v>
      </c>
      <c r="C1491" t="s">
        <v>1457</v>
      </c>
      <c r="D1491" t="s">
        <v>50</v>
      </c>
      <c r="E1491" s="8" t="s">
        <v>1459</v>
      </c>
      <c r="F1491">
        <v>5.0000000000000001E-3</v>
      </c>
      <c r="G1491" t="s">
        <v>78</v>
      </c>
      <c r="H1491" t="e">
        <f>VLOOKUP(Tabla3[[#This Row],[DESCRIPCION MATERIAL]],'CODIGO MAT'!$C$2:$D$390,2,FALSE)</f>
        <v>#N/A</v>
      </c>
      <c r="I1491" s="64" t="s">
        <v>50</v>
      </c>
    </row>
    <row r="1492" spans="1:11" x14ac:dyDescent="0.25">
      <c r="A1492" t="s">
        <v>1456</v>
      </c>
      <c r="B1492" t="s">
        <v>521</v>
      </c>
      <c r="C1492" t="s">
        <v>1457</v>
      </c>
      <c r="D1492" t="s">
        <v>1450</v>
      </c>
      <c r="E1492" s="8" t="s">
        <v>1451</v>
      </c>
      <c r="F1492">
        <v>0</v>
      </c>
      <c r="G1492" t="s">
        <v>78</v>
      </c>
      <c r="H1492" t="e">
        <f>VLOOKUP(Tabla3[[#This Row],[DESCRIPCION MATERIAL]],'CODIGO MAT'!$C$2:$D$390,2,FALSE)</f>
        <v>#N/A</v>
      </c>
      <c r="I1492" s="64" t="s">
        <v>1450</v>
      </c>
    </row>
    <row r="1493" spans="1:11" x14ac:dyDescent="0.25">
      <c r="A1493" t="s">
        <v>1456</v>
      </c>
      <c r="B1493" t="s">
        <v>521</v>
      </c>
      <c r="C1493" t="s">
        <v>1457</v>
      </c>
      <c r="D1493" t="s">
        <v>1450</v>
      </c>
      <c r="E1493" s="8" t="s">
        <v>1452</v>
      </c>
      <c r="F1493">
        <v>0</v>
      </c>
      <c r="G1493" t="s">
        <v>448</v>
      </c>
      <c r="H1493" t="e">
        <f>VLOOKUP(Tabla3[[#This Row],[DESCRIPCION MATERIAL]],'CODIGO MAT'!$C$2:$D$390,2,FALSE)</f>
        <v>#N/A</v>
      </c>
      <c r="I1493" s="64" t="s">
        <v>1450</v>
      </c>
    </row>
    <row r="1494" spans="1:11" x14ac:dyDescent="0.25">
      <c r="A1494" t="s">
        <v>1456</v>
      </c>
      <c r="B1494" t="s">
        <v>521</v>
      </c>
      <c r="C1494" t="s">
        <v>1457</v>
      </c>
      <c r="D1494" t="s">
        <v>1450</v>
      </c>
      <c r="E1494" s="8" t="s">
        <v>1453</v>
      </c>
      <c r="F1494">
        <v>0</v>
      </c>
      <c r="G1494" t="s">
        <v>448</v>
      </c>
      <c r="H1494" t="e">
        <f>VLOOKUP(Tabla3[[#This Row],[DESCRIPCION MATERIAL]],'CODIGO MAT'!$C$2:$D$390,2,FALSE)</f>
        <v>#N/A</v>
      </c>
      <c r="I1494" s="64" t="s">
        <v>1450</v>
      </c>
    </row>
    <row r="1495" spans="1:11" x14ac:dyDescent="0.25">
      <c r="A1495" t="s">
        <v>1456</v>
      </c>
      <c r="B1495" t="s">
        <v>521</v>
      </c>
      <c r="C1495" t="s">
        <v>1457</v>
      </c>
      <c r="D1495" t="s">
        <v>1450</v>
      </c>
      <c r="E1495" s="8" t="s">
        <v>1454</v>
      </c>
      <c r="F1495">
        <v>0</v>
      </c>
      <c r="G1495" t="s">
        <v>448</v>
      </c>
      <c r="H1495" t="e">
        <f>VLOOKUP(Tabla3[[#This Row],[DESCRIPCION MATERIAL]],'CODIGO MAT'!$C$2:$D$390,2,FALSE)</f>
        <v>#N/A</v>
      </c>
      <c r="I1495" s="64" t="s">
        <v>1450</v>
      </c>
    </row>
    <row r="1496" spans="1:11" x14ac:dyDescent="0.25">
      <c r="A1496" t="s">
        <v>1456</v>
      </c>
      <c r="B1496" t="s">
        <v>521</v>
      </c>
      <c r="C1496" t="s">
        <v>1457</v>
      </c>
      <c r="D1496" t="s">
        <v>1450</v>
      </c>
      <c r="E1496" s="8" t="s">
        <v>1455</v>
      </c>
      <c r="F1496">
        <v>0</v>
      </c>
      <c r="G1496" t="s">
        <v>448</v>
      </c>
      <c r="H1496" t="e">
        <f>VLOOKUP(Tabla3[[#This Row],[DESCRIPCION MATERIAL]],'CODIGO MAT'!$C$2:$D$390,2,FALSE)</f>
        <v>#N/A</v>
      </c>
      <c r="I1496" s="64" t="s">
        <v>1450</v>
      </c>
    </row>
    <row r="1497" spans="1:11" x14ac:dyDescent="0.25">
      <c r="A1497" t="s">
        <v>1460</v>
      </c>
      <c r="B1497" t="s">
        <v>521</v>
      </c>
      <c r="C1497" t="s">
        <v>1461</v>
      </c>
      <c r="D1497" t="s">
        <v>50</v>
      </c>
      <c r="E1497" s="8" t="s">
        <v>226</v>
      </c>
      <c r="F1497">
        <v>0.23899999999999999</v>
      </c>
      <c r="G1497" t="s">
        <v>78</v>
      </c>
      <c r="H1497" t="str">
        <f>VLOOKUP(Tabla3[[#This Row],[DESCRIPCION MATERIAL]],'CODIGO MAT'!$C$2:$D$390,2,FALSE)</f>
        <v>TEL0000154</v>
      </c>
      <c r="J1497">
        <v>1</v>
      </c>
      <c r="K1497">
        <v>0</v>
      </c>
    </row>
    <row r="1498" spans="1:11" x14ac:dyDescent="0.25">
      <c r="A1498" t="s">
        <v>1460</v>
      </c>
      <c r="B1498" t="s">
        <v>521</v>
      </c>
      <c r="C1498" t="s">
        <v>1461</v>
      </c>
      <c r="D1498" t="s">
        <v>50</v>
      </c>
      <c r="E1498" s="8" t="s">
        <v>108</v>
      </c>
      <c r="F1498">
        <v>9.8000000000000004E-2</v>
      </c>
      <c r="G1498" t="s">
        <v>78</v>
      </c>
      <c r="H1498" t="str">
        <f>VLOOKUP(Tabla3[[#This Row],[DESCRIPCION MATERIAL]],'CODIGO MAT'!$C$2:$D$390,2,FALSE)</f>
        <v>TEL0000031</v>
      </c>
      <c r="J1498">
        <v>1</v>
      </c>
      <c r="K1498">
        <v>0</v>
      </c>
    </row>
    <row r="1499" spans="1:11" x14ac:dyDescent="0.25">
      <c r="A1499" t="s">
        <v>1460</v>
      </c>
      <c r="B1499" t="s">
        <v>521</v>
      </c>
      <c r="C1499" t="s">
        <v>1461</v>
      </c>
      <c r="D1499" t="s">
        <v>50</v>
      </c>
      <c r="E1499" s="8" t="s">
        <v>96</v>
      </c>
      <c r="F1499">
        <v>0.44</v>
      </c>
      <c r="G1499" t="s">
        <v>78</v>
      </c>
      <c r="H1499" t="str">
        <f>VLOOKUP(Tabla3[[#This Row],[DESCRIPCION MATERIAL]],'CODIGO MAT'!$C$2:$D$390,2,FALSE)</f>
        <v>TEL0000019</v>
      </c>
      <c r="J1499">
        <v>1</v>
      </c>
      <c r="K1499">
        <v>0</v>
      </c>
    </row>
    <row r="1500" spans="1:11" x14ac:dyDescent="0.25">
      <c r="A1500" t="s">
        <v>1460</v>
      </c>
      <c r="B1500" t="s">
        <v>521</v>
      </c>
      <c r="C1500" t="s">
        <v>1461</v>
      </c>
      <c r="D1500" t="s">
        <v>51</v>
      </c>
      <c r="E1500" s="8" t="s">
        <v>1462</v>
      </c>
      <c r="F1500">
        <v>0</v>
      </c>
      <c r="G1500" t="s">
        <v>78</v>
      </c>
      <c r="H1500" t="e">
        <f>VLOOKUP(Tabla3[[#This Row],[DESCRIPCION MATERIAL]],'CODIGO MAT'!$C$2:$D$390,2,FALSE)</f>
        <v>#N/A</v>
      </c>
      <c r="I1500" s="64" t="s">
        <v>51</v>
      </c>
      <c r="J1500">
        <v>1</v>
      </c>
      <c r="K1500">
        <v>0</v>
      </c>
    </row>
    <row r="1501" spans="1:11" x14ac:dyDescent="0.25">
      <c r="A1501" t="s">
        <v>1460</v>
      </c>
      <c r="B1501" t="s">
        <v>521</v>
      </c>
      <c r="C1501" t="s">
        <v>1461</v>
      </c>
      <c r="D1501" t="s">
        <v>51</v>
      </c>
      <c r="E1501" s="8" t="s">
        <v>1463</v>
      </c>
      <c r="F1501">
        <v>0</v>
      </c>
      <c r="G1501" t="s">
        <v>78</v>
      </c>
      <c r="H1501" t="e">
        <f>VLOOKUP(Tabla3[[#This Row],[DESCRIPCION MATERIAL]],'CODIGO MAT'!$C$2:$D$390,2,FALSE)</f>
        <v>#N/A</v>
      </c>
      <c r="I1501" s="64" t="s">
        <v>51</v>
      </c>
      <c r="J1501">
        <v>1</v>
      </c>
      <c r="K1501">
        <v>0</v>
      </c>
    </row>
    <row r="1502" spans="1:11" x14ac:dyDescent="0.25">
      <c r="A1502" t="s">
        <v>1460</v>
      </c>
      <c r="B1502" t="s">
        <v>521</v>
      </c>
      <c r="C1502" t="s">
        <v>1461</v>
      </c>
      <c r="D1502" t="s">
        <v>51</v>
      </c>
      <c r="E1502" s="8" t="s">
        <v>378</v>
      </c>
      <c r="F1502">
        <v>1</v>
      </c>
      <c r="G1502" t="s">
        <v>396</v>
      </c>
      <c r="H1502" t="str">
        <f>VLOOKUP(Tabla3[[#This Row],[DESCRIPCION MATERIAL]],'CODIGO MAT'!$C$2:$D$390,2,FALSE)</f>
        <v>AVI0000115</v>
      </c>
      <c r="J1502">
        <v>1</v>
      </c>
      <c r="K1502">
        <v>0</v>
      </c>
    </row>
    <row r="1503" spans="1:11" x14ac:dyDescent="0.25">
      <c r="A1503" t="s">
        <v>1464</v>
      </c>
      <c r="B1503" t="s">
        <v>521</v>
      </c>
      <c r="C1503" t="s">
        <v>1465</v>
      </c>
      <c r="D1503" t="s">
        <v>50</v>
      </c>
      <c r="E1503" s="8" t="s">
        <v>13</v>
      </c>
      <c r="F1503">
        <v>0.45800000000000002</v>
      </c>
      <c r="G1503" t="s">
        <v>78</v>
      </c>
      <c r="H1503" t="str">
        <f>VLOOKUP(Tabla3[[#This Row],[DESCRIPCION MATERIAL]],'CODIGO MAT'!$C$2:$D$390,2,FALSE)</f>
        <v>TEL0000042</v>
      </c>
      <c r="J1503">
        <v>1</v>
      </c>
      <c r="K1503">
        <v>0</v>
      </c>
    </row>
    <row r="1504" spans="1:11" x14ac:dyDescent="0.25">
      <c r="A1504" t="s">
        <v>1464</v>
      </c>
      <c r="B1504" t="s">
        <v>521</v>
      </c>
      <c r="C1504" t="s">
        <v>1465</v>
      </c>
      <c r="D1504" t="s">
        <v>50</v>
      </c>
      <c r="E1504" s="8" t="s">
        <v>12</v>
      </c>
      <c r="F1504">
        <v>0.38200000000000001</v>
      </c>
      <c r="G1504" t="s">
        <v>78</v>
      </c>
      <c r="H1504" t="str">
        <f>VLOOKUP(Tabla3[[#This Row],[DESCRIPCION MATERIAL]],'CODIGO MAT'!$C$2:$D$390,2,FALSE)</f>
        <v>TEL0000040</v>
      </c>
      <c r="J1504">
        <v>1</v>
      </c>
      <c r="K1504">
        <v>0</v>
      </c>
    </row>
    <row r="1505" spans="1:11" x14ac:dyDescent="0.25">
      <c r="A1505" t="s">
        <v>1464</v>
      </c>
      <c r="B1505" t="s">
        <v>521</v>
      </c>
      <c r="C1505" t="s">
        <v>1465</v>
      </c>
      <c r="D1505" t="s">
        <v>50</v>
      </c>
      <c r="E1505" s="8" t="s">
        <v>1236</v>
      </c>
      <c r="F1505">
        <v>0.35799999999999998</v>
      </c>
      <c r="G1505" t="s">
        <v>78</v>
      </c>
      <c r="H1505" t="e">
        <f>VLOOKUP(Tabla3[[#This Row],[DESCRIPCION MATERIAL]],'CODIGO MAT'!$C$2:$D$390,2,FALSE)</f>
        <v>#N/A</v>
      </c>
      <c r="I1505" s="64" t="s">
        <v>50</v>
      </c>
      <c r="J1505">
        <v>1</v>
      </c>
      <c r="K1505">
        <v>0</v>
      </c>
    </row>
    <row r="1506" spans="1:11" x14ac:dyDescent="0.25">
      <c r="A1506" t="s">
        <v>1464</v>
      </c>
      <c r="B1506" t="s">
        <v>521</v>
      </c>
      <c r="C1506" t="s">
        <v>1465</v>
      </c>
      <c r="D1506" t="s">
        <v>50</v>
      </c>
      <c r="E1506" s="8" t="s">
        <v>164</v>
      </c>
      <c r="F1506">
        <v>0.05</v>
      </c>
      <c r="G1506" t="s">
        <v>78</v>
      </c>
      <c r="H1506" t="str">
        <f>VLOOKUP(Tabla3[[#This Row],[DESCRIPCION MATERIAL]],'CODIGO MAT'!$C$2:$D$390,2,FALSE)</f>
        <v>TEL0000091</v>
      </c>
      <c r="J1506">
        <v>1</v>
      </c>
      <c r="K1506">
        <v>0</v>
      </c>
    </row>
    <row r="1507" spans="1:11" x14ac:dyDescent="0.25">
      <c r="A1507" t="s">
        <v>1464</v>
      </c>
      <c r="B1507" t="s">
        <v>521</v>
      </c>
      <c r="C1507" t="s">
        <v>1465</v>
      </c>
      <c r="D1507" t="s">
        <v>51</v>
      </c>
      <c r="E1507" s="8" t="s">
        <v>430</v>
      </c>
      <c r="F1507">
        <v>3.05</v>
      </c>
      <c r="G1507" t="s">
        <v>78</v>
      </c>
      <c r="H1507" t="str">
        <f>VLOOKUP(Tabla3[[#This Row],[DESCRIPCION MATERIAL]],'CODIGO MAT'!$C$2:$D$390,2,FALSE)</f>
        <v>AVI0000142</v>
      </c>
      <c r="J1507">
        <v>1</v>
      </c>
      <c r="K1507">
        <v>0</v>
      </c>
    </row>
    <row r="1508" spans="1:11" x14ac:dyDescent="0.25">
      <c r="A1508" t="s">
        <v>1464</v>
      </c>
      <c r="B1508" t="s">
        <v>521</v>
      </c>
      <c r="C1508" t="s">
        <v>1465</v>
      </c>
      <c r="D1508" t="s">
        <v>51</v>
      </c>
      <c r="E1508" s="8" t="s">
        <v>34</v>
      </c>
      <c r="F1508">
        <v>0.54</v>
      </c>
      <c r="G1508" t="s">
        <v>78</v>
      </c>
      <c r="H1508" t="str">
        <f>VLOOKUP(Tabla3[[#This Row],[DESCRIPCION MATERIAL]],'CODIGO MAT'!$C$2:$D$390,2,FALSE)</f>
        <v>AVI0000034</v>
      </c>
      <c r="J1508">
        <v>1</v>
      </c>
      <c r="K1508">
        <v>0</v>
      </c>
    </row>
    <row r="1509" spans="1:11" x14ac:dyDescent="0.25">
      <c r="A1509" t="s">
        <v>1464</v>
      </c>
      <c r="B1509" t="s">
        <v>521</v>
      </c>
      <c r="C1509" t="s">
        <v>1465</v>
      </c>
      <c r="D1509" t="s">
        <v>51</v>
      </c>
      <c r="E1509" s="8" t="s">
        <v>246</v>
      </c>
      <c r="F1509">
        <v>2.3E-2</v>
      </c>
      <c r="G1509" t="s">
        <v>78</v>
      </c>
      <c r="H1509" t="str">
        <f>VLOOKUP(Tabla3[[#This Row],[DESCRIPCION MATERIAL]],'CODIGO MAT'!$C$2:$D$390,2,FALSE)</f>
        <v>TEL0000174</v>
      </c>
      <c r="J1509">
        <v>1</v>
      </c>
      <c r="K1509">
        <v>0</v>
      </c>
    </row>
    <row r="1510" spans="1:11" x14ac:dyDescent="0.25">
      <c r="A1510" t="s">
        <v>1464</v>
      </c>
      <c r="B1510" t="s">
        <v>521</v>
      </c>
      <c r="C1510" t="s">
        <v>1465</v>
      </c>
      <c r="D1510" t="s">
        <v>51</v>
      </c>
      <c r="E1510" s="8" t="s">
        <v>1466</v>
      </c>
      <c r="F1510">
        <v>0.4</v>
      </c>
      <c r="G1510" t="s">
        <v>78</v>
      </c>
      <c r="H1510" t="e">
        <f>VLOOKUP(Tabla3[[#This Row],[DESCRIPCION MATERIAL]],'CODIGO MAT'!$C$2:$D$390,2,FALSE)</f>
        <v>#N/A</v>
      </c>
      <c r="I1510" s="64" t="s">
        <v>51</v>
      </c>
      <c r="J1510">
        <v>1</v>
      </c>
      <c r="K1510">
        <v>0</v>
      </c>
    </row>
    <row r="1511" spans="1:11" x14ac:dyDescent="0.25">
      <c r="A1511" t="s">
        <v>1464</v>
      </c>
      <c r="B1511" t="s">
        <v>521</v>
      </c>
      <c r="C1511" t="s">
        <v>1465</v>
      </c>
      <c r="D1511" t="s">
        <v>51</v>
      </c>
      <c r="E1511" s="8" t="s">
        <v>404</v>
      </c>
      <c r="F1511">
        <v>1</v>
      </c>
      <c r="G1511" t="s">
        <v>396</v>
      </c>
      <c r="H1511" t="str">
        <f>VLOOKUP(Tabla3[[#This Row],[DESCRIPCION MATERIAL]],'CODIGO MAT'!$C$2:$D$390,2,FALSE)</f>
        <v>AVI0000139</v>
      </c>
    </row>
    <row r="1512" spans="1:11" x14ac:dyDescent="0.25">
      <c r="A1512" t="s">
        <v>1464</v>
      </c>
      <c r="B1512" t="s">
        <v>521</v>
      </c>
      <c r="C1512" t="s">
        <v>1465</v>
      </c>
      <c r="D1512" t="s">
        <v>51</v>
      </c>
      <c r="E1512" s="8" t="s">
        <v>36</v>
      </c>
      <c r="F1512">
        <v>6</v>
      </c>
      <c r="G1512" t="s">
        <v>396</v>
      </c>
      <c r="H1512" t="str">
        <f>VLOOKUP(Tabla3[[#This Row],[DESCRIPCION MATERIAL]],'CODIGO MAT'!$C$2:$D$390,2,FALSE)</f>
        <v>AVI0000135</v>
      </c>
    </row>
    <row r="1513" spans="1:11" x14ac:dyDescent="0.25">
      <c r="A1513" t="s">
        <v>1464</v>
      </c>
      <c r="B1513" t="s">
        <v>521</v>
      </c>
      <c r="C1513" t="s">
        <v>1465</v>
      </c>
      <c r="D1513" t="s">
        <v>51</v>
      </c>
      <c r="E1513" s="8" t="s">
        <v>611</v>
      </c>
      <c r="F1513">
        <v>0</v>
      </c>
      <c r="G1513" t="s">
        <v>78</v>
      </c>
      <c r="H1513" t="str">
        <f>VLOOKUP(Tabla3[[#This Row],[DESCRIPCION MATERIAL]],'CODIGO MAT'!$C$2:$D$390,2,FALSE)</f>
        <v>TEL0000192</v>
      </c>
    </row>
    <row r="1514" spans="1:11" x14ac:dyDescent="0.25">
      <c r="A1514" t="s">
        <v>1464</v>
      </c>
      <c r="B1514" t="s">
        <v>521</v>
      </c>
      <c r="C1514" t="s">
        <v>1465</v>
      </c>
      <c r="D1514" t="s">
        <v>51</v>
      </c>
      <c r="E1514" s="8" t="s">
        <v>255</v>
      </c>
      <c r="F1514">
        <v>0</v>
      </c>
      <c r="G1514" t="s">
        <v>78</v>
      </c>
      <c r="H1514" t="str">
        <f>VLOOKUP(Tabla3[[#This Row],[DESCRIPCION MATERIAL]],'CODIGO MAT'!$C$2:$D$390,2,FALSE)</f>
        <v>TEL0000183</v>
      </c>
    </row>
    <row r="1515" spans="1:11" x14ac:dyDescent="0.25">
      <c r="A1515" t="s">
        <v>1464</v>
      </c>
      <c r="B1515" t="s">
        <v>521</v>
      </c>
      <c r="C1515" t="s">
        <v>1465</v>
      </c>
      <c r="D1515" t="s">
        <v>51</v>
      </c>
      <c r="E1515" s="8" t="s">
        <v>996</v>
      </c>
      <c r="F1515">
        <v>0.42</v>
      </c>
      <c r="G1515" t="s">
        <v>78</v>
      </c>
      <c r="H1515" t="str">
        <f>VLOOKUP(Tabla3[[#This Row],[DESCRIPCION MATERIAL]],'CODIGO MAT'!$C$2:$D$390,2,FALSE)</f>
        <v>AVI0000148</v>
      </c>
      <c r="J1515">
        <v>1</v>
      </c>
      <c r="K1515">
        <v>0</v>
      </c>
    </row>
    <row r="1516" spans="1:11" x14ac:dyDescent="0.25">
      <c r="A1516" t="s">
        <v>1467</v>
      </c>
      <c r="B1516" t="s">
        <v>521</v>
      </c>
      <c r="C1516" t="s">
        <v>1468</v>
      </c>
      <c r="D1516" t="s">
        <v>50</v>
      </c>
      <c r="E1516" s="8" t="s">
        <v>87</v>
      </c>
      <c r="F1516">
        <v>0.628</v>
      </c>
      <c r="G1516" t="s">
        <v>78</v>
      </c>
      <c r="H1516" t="str">
        <f>VLOOKUP(Tabla3[[#This Row],[DESCRIPCION MATERIAL]],'CODIGO MAT'!$C$2:$D$390,2,FALSE)</f>
        <v>TEL0000010</v>
      </c>
      <c r="J1516">
        <v>1</v>
      </c>
      <c r="K1516">
        <v>0</v>
      </c>
    </row>
    <row r="1517" spans="1:11" x14ac:dyDescent="0.25">
      <c r="A1517" t="s">
        <v>1467</v>
      </c>
      <c r="B1517" t="s">
        <v>521</v>
      </c>
      <c r="C1517" t="s">
        <v>1468</v>
      </c>
      <c r="D1517" t="s">
        <v>50</v>
      </c>
      <c r="E1517" s="8" t="s">
        <v>88</v>
      </c>
      <c r="F1517">
        <v>0.46700000000000003</v>
      </c>
      <c r="G1517" t="s">
        <v>78</v>
      </c>
      <c r="H1517" t="str">
        <f>VLOOKUP(Tabla3[[#This Row],[DESCRIPCION MATERIAL]],'CODIGO MAT'!$C$2:$D$390,2,FALSE)</f>
        <v>TEL0000011</v>
      </c>
      <c r="J1517">
        <v>1</v>
      </c>
      <c r="K1517">
        <v>0</v>
      </c>
    </row>
    <row r="1518" spans="1:11" x14ac:dyDescent="0.25">
      <c r="A1518" t="s">
        <v>1467</v>
      </c>
      <c r="B1518" t="s">
        <v>521</v>
      </c>
      <c r="C1518" t="s">
        <v>1468</v>
      </c>
      <c r="D1518" t="s">
        <v>50</v>
      </c>
      <c r="E1518" s="8" t="s">
        <v>11</v>
      </c>
      <c r="F1518">
        <v>7.3999999999999996E-2</v>
      </c>
      <c r="G1518" t="s">
        <v>78</v>
      </c>
      <c r="H1518" t="str">
        <f>VLOOKUP(Tabla3[[#This Row],[DESCRIPCION MATERIAL]],'CODIGO MAT'!$C$2:$D$390,2,FALSE)</f>
        <v>TEL0000149</v>
      </c>
      <c r="J1518">
        <v>1</v>
      </c>
      <c r="K1518">
        <v>0</v>
      </c>
    </row>
    <row r="1519" spans="1:11" x14ac:dyDescent="0.25">
      <c r="A1519" t="s">
        <v>1467</v>
      </c>
      <c r="B1519" t="s">
        <v>521</v>
      </c>
      <c r="C1519" t="s">
        <v>1468</v>
      </c>
      <c r="D1519" t="s">
        <v>51</v>
      </c>
      <c r="E1519" s="8" t="s">
        <v>1325</v>
      </c>
      <c r="F1519">
        <v>1.92</v>
      </c>
      <c r="G1519" t="s">
        <v>78</v>
      </c>
      <c r="H1519" t="e">
        <f>VLOOKUP(Tabla3[[#This Row],[DESCRIPCION MATERIAL]],'CODIGO MAT'!$C$2:$D$390,2,FALSE)</f>
        <v>#N/A</v>
      </c>
      <c r="I1519" s="64" t="s">
        <v>51</v>
      </c>
      <c r="J1519">
        <v>1</v>
      </c>
      <c r="K1519">
        <v>0</v>
      </c>
    </row>
    <row r="1520" spans="1:11" x14ac:dyDescent="0.25">
      <c r="A1520" t="s">
        <v>1467</v>
      </c>
      <c r="B1520" t="s">
        <v>521</v>
      </c>
      <c r="C1520" t="s">
        <v>1468</v>
      </c>
      <c r="D1520" t="s">
        <v>51</v>
      </c>
      <c r="E1520" s="8" t="s">
        <v>1326</v>
      </c>
      <c r="F1520">
        <v>1.54</v>
      </c>
      <c r="G1520" t="s">
        <v>78</v>
      </c>
      <c r="H1520" t="e">
        <f>VLOOKUP(Tabla3[[#This Row],[DESCRIPCION MATERIAL]],'CODIGO MAT'!$C$2:$D$390,2,FALSE)</f>
        <v>#N/A</v>
      </c>
      <c r="I1520" s="64" t="s">
        <v>51</v>
      </c>
      <c r="J1520">
        <v>1</v>
      </c>
      <c r="K1520">
        <v>0</v>
      </c>
    </row>
    <row r="1521" spans="1:11" x14ac:dyDescent="0.25">
      <c r="A1521" t="s">
        <v>1467</v>
      </c>
      <c r="B1521" t="s">
        <v>521</v>
      </c>
      <c r="C1521" t="s">
        <v>1468</v>
      </c>
      <c r="D1521" t="s">
        <v>51</v>
      </c>
      <c r="E1521" s="8" t="s">
        <v>1150</v>
      </c>
      <c r="F1521">
        <v>1</v>
      </c>
      <c r="G1521" t="s">
        <v>396</v>
      </c>
      <c r="H1521" t="str">
        <f>VLOOKUP(Tabla3[[#This Row],[DESCRIPCION MATERIAL]],'CODIGO MAT'!$C$2:$D$390,2,FALSE)</f>
        <v>AVI0000155</v>
      </c>
      <c r="J1521">
        <v>1</v>
      </c>
      <c r="K1521">
        <v>0</v>
      </c>
    </row>
    <row r="1522" spans="1:11" x14ac:dyDescent="0.25">
      <c r="A1522" t="s">
        <v>1467</v>
      </c>
      <c r="B1522" t="s">
        <v>521</v>
      </c>
      <c r="C1522" t="s">
        <v>1468</v>
      </c>
      <c r="D1522" t="s">
        <v>51</v>
      </c>
      <c r="E1522" s="8" t="s">
        <v>261</v>
      </c>
      <c r="F1522">
        <v>1</v>
      </c>
      <c r="G1522" t="s">
        <v>396</v>
      </c>
      <c r="H1522" t="str">
        <f>VLOOKUP(Tabla3[[#This Row],[DESCRIPCION MATERIAL]],'CODIGO MAT'!$C$2:$D$390,2,FALSE)</f>
        <v>AVI0000002</v>
      </c>
      <c r="J1522">
        <v>1</v>
      </c>
      <c r="K1522">
        <v>0</v>
      </c>
    </row>
    <row r="1523" spans="1:11" x14ac:dyDescent="0.25">
      <c r="A1523" t="s">
        <v>1469</v>
      </c>
      <c r="B1523" t="s">
        <v>521</v>
      </c>
      <c r="C1523" t="s">
        <v>1470</v>
      </c>
      <c r="D1523" t="s">
        <v>50</v>
      </c>
      <c r="E1523" s="8" t="s">
        <v>147</v>
      </c>
      <c r="F1523">
        <v>0.152</v>
      </c>
      <c r="G1523" t="s">
        <v>78</v>
      </c>
      <c r="H1523" t="str">
        <f>VLOOKUP(Tabla3[[#This Row],[DESCRIPCION MATERIAL]],'CODIGO MAT'!$C$2:$D$390,2,FALSE)</f>
        <v>TEL0000074</v>
      </c>
      <c r="J1523">
        <v>1</v>
      </c>
      <c r="K1523">
        <v>0</v>
      </c>
    </row>
    <row r="1524" spans="1:11" x14ac:dyDescent="0.25">
      <c r="A1524" t="s">
        <v>1469</v>
      </c>
      <c r="B1524" t="s">
        <v>521</v>
      </c>
      <c r="C1524" t="s">
        <v>1470</v>
      </c>
      <c r="D1524" t="s">
        <v>50</v>
      </c>
      <c r="E1524" s="8" t="s">
        <v>149</v>
      </c>
      <c r="F1524">
        <v>0.51700000000000002</v>
      </c>
      <c r="G1524" t="s">
        <v>78</v>
      </c>
      <c r="H1524" t="str">
        <f>VLOOKUP(Tabla3[[#This Row],[DESCRIPCION MATERIAL]],'CODIGO MAT'!$C$2:$D$390,2,FALSE)</f>
        <v>TEL0000076</v>
      </c>
      <c r="J1524">
        <v>1</v>
      </c>
      <c r="K1524">
        <v>0</v>
      </c>
    </row>
    <row r="1525" spans="1:11" x14ac:dyDescent="0.25">
      <c r="A1525" t="s">
        <v>1469</v>
      </c>
      <c r="B1525" t="s">
        <v>521</v>
      </c>
      <c r="C1525" t="s">
        <v>1470</v>
      </c>
      <c r="D1525" t="s">
        <v>50</v>
      </c>
      <c r="E1525" s="8" t="s">
        <v>1232</v>
      </c>
      <c r="F1525">
        <v>0.27</v>
      </c>
      <c r="G1525" t="s">
        <v>78</v>
      </c>
      <c r="H1525" t="e">
        <f>VLOOKUP(Tabla3[[#This Row],[DESCRIPCION MATERIAL]],'CODIGO MAT'!$C$2:$D$390,2,FALSE)</f>
        <v>#N/A</v>
      </c>
      <c r="I1525" s="64" t="s">
        <v>50</v>
      </c>
      <c r="J1525">
        <v>1</v>
      </c>
      <c r="K1525">
        <v>0</v>
      </c>
    </row>
    <row r="1526" spans="1:11" x14ac:dyDescent="0.25">
      <c r="A1526" t="s">
        <v>1469</v>
      </c>
      <c r="B1526" t="s">
        <v>521</v>
      </c>
      <c r="C1526" t="s">
        <v>1470</v>
      </c>
      <c r="D1526" t="s">
        <v>50</v>
      </c>
      <c r="E1526" s="8" t="s">
        <v>1231</v>
      </c>
      <c r="F1526">
        <v>6.0999999999999999E-2</v>
      </c>
      <c r="G1526" t="s">
        <v>78</v>
      </c>
      <c r="H1526" t="e">
        <f>VLOOKUP(Tabla3[[#This Row],[DESCRIPCION MATERIAL]],'CODIGO MAT'!$C$2:$D$390,2,FALSE)</f>
        <v>#N/A</v>
      </c>
      <c r="I1526" s="64" t="s">
        <v>50</v>
      </c>
      <c r="J1526">
        <v>1</v>
      </c>
      <c r="K1526">
        <v>0</v>
      </c>
    </row>
    <row r="1527" spans="1:11" x14ac:dyDescent="0.25">
      <c r="A1527" t="s">
        <v>1469</v>
      </c>
      <c r="B1527" t="s">
        <v>521</v>
      </c>
      <c r="C1527" t="s">
        <v>1470</v>
      </c>
      <c r="D1527" t="s">
        <v>50</v>
      </c>
      <c r="E1527" s="8" t="s">
        <v>1256</v>
      </c>
      <c r="F1527">
        <v>0.19</v>
      </c>
      <c r="G1527" t="s">
        <v>78</v>
      </c>
      <c r="H1527" t="e">
        <f>VLOOKUP(Tabla3[[#This Row],[DESCRIPCION MATERIAL]],'CODIGO MAT'!$C$2:$D$390,2,FALSE)</f>
        <v>#N/A</v>
      </c>
      <c r="I1527" s="64" t="s">
        <v>50</v>
      </c>
      <c r="J1527">
        <v>1</v>
      </c>
      <c r="K1527">
        <v>0</v>
      </c>
    </row>
    <row r="1528" spans="1:11" x14ac:dyDescent="0.25">
      <c r="A1528" t="s">
        <v>1469</v>
      </c>
      <c r="B1528" t="s">
        <v>521</v>
      </c>
      <c r="C1528" t="s">
        <v>1470</v>
      </c>
      <c r="D1528" t="s">
        <v>50</v>
      </c>
      <c r="E1528" s="8" t="s">
        <v>1203</v>
      </c>
      <c r="F1528">
        <v>0.39</v>
      </c>
      <c r="G1528" t="s">
        <v>78</v>
      </c>
      <c r="H1528" t="e">
        <f>VLOOKUP(Tabla3[[#This Row],[DESCRIPCION MATERIAL]],'CODIGO MAT'!$C$2:$D$390,2,FALSE)</f>
        <v>#N/A</v>
      </c>
      <c r="I1528" s="64" t="s">
        <v>50</v>
      </c>
      <c r="J1528">
        <v>1</v>
      </c>
      <c r="K1528">
        <v>0</v>
      </c>
    </row>
    <row r="1529" spans="1:11" x14ac:dyDescent="0.25">
      <c r="A1529" t="s">
        <v>1469</v>
      </c>
      <c r="B1529" t="s">
        <v>521</v>
      </c>
      <c r="C1529" t="s">
        <v>1470</v>
      </c>
      <c r="D1529" t="s">
        <v>51</v>
      </c>
      <c r="E1529" s="8" t="s">
        <v>378</v>
      </c>
      <c r="F1529">
        <v>1</v>
      </c>
      <c r="G1529" t="s">
        <v>396</v>
      </c>
      <c r="H1529" t="str">
        <f>VLOOKUP(Tabla3[[#This Row],[DESCRIPCION MATERIAL]],'CODIGO MAT'!$C$2:$D$390,2,FALSE)</f>
        <v>AVI0000115</v>
      </c>
      <c r="J1529">
        <v>1</v>
      </c>
      <c r="K1529">
        <v>0</v>
      </c>
    </row>
    <row r="1530" spans="1:11" x14ac:dyDescent="0.25">
      <c r="A1530" t="s">
        <v>1469</v>
      </c>
      <c r="B1530" t="s">
        <v>521</v>
      </c>
      <c r="C1530" t="s">
        <v>1470</v>
      </c>
      <c r="D1530" t="s">
        <v>51</v>
      </c>
      <c r="E1530" s="8" t="s">
        <v>363</v>
      </c>
      <c r="F1530">
        <v>1.4</v>
      </c>
      <c r="G1530" t="s">
        <v>78</v>
      </c>
      <c r="H1530" t="str">
        <f>VLOOKUP(Tabla3[[#This Row],[DESCRIPCION MATERIAL]],'CODIGO MAT'!$C$2:$D$390,2,FALSE)</f>
        <v>AVI0000101</v>
      </c>
      <c r="J1530">
        <v>1</v>
      </c>
      <c r="K1530">
        <v>1</v>
      </c>
    </row>
    <row r="1531" spans="1:11" x14ac:dyDescent="0.25">
      <c r="A1531" t="s">
        <v>1469</v>
      </c>
      <c r="B1531" t="s">
        <v>521</v>
      </c>
      <c r="C1531" t="s">
        <v>1470</v>
      </c>
      <c r="D1531" t="s">
        <v>51</v>
      </c>
      <c r="E1531" s="8" t="s">
        <v>1471</v>
      </c>
      <c r="F1531">
        <v>0.68</v>
      </c>
      <c r="G1531" t="s">
        <v>78</v>
      </c>
      <c r="H1531" t="e">
        <f>VLOOKUP(Tabla3[[#This Row],[DESCRIPCION MATERIAL]],'CODIGO MAT'!$C$2:$D$390,2,FALSE)</f>
        <v>#N/A</v>
      </c>
      <c r="I1531" s="64" t="s">
        <v>51</v>
      </c>
      <c r="J1531">
        <v>1</v>
      </c>
      <c r="K1531">
        <v>0</v>
      </c>
    </row>
    <row r="1532" spans="1:11" x14ac:dyDescent="0.25">
      <c r="A1532" t="s">
        <v>1469</v>
      </c>
      <c r="B1532" t="s">
        <v>521</v>
      </c>
      <c r="C1532" t="s">
        <v>1470</v>
      </c>
      <c r="D1532" t="s">
        <v>51</v>
      </c>
      <c r="E1532" s="8" t="s">
        <v>427</v>
      </c>
      <c r="F1532">
        <v>1.9E-2</v>
      </c>
      <c r="G1532" t="s">
        <v>78</v>
      </c>
      <c r="H1532" t="str">
        <f>VLOOKUP(Tabla3[[#This Row],[DESCRIPCION MATERIAL]],'CODIGO MAT'!$C$2:$D$390,2,FALSE)</f>
        <v>AVI0000141</v>
      </c>
      <c r="J1532">
        <v>1</v>
      </c>
      <c r="K1532">
        <v>0</v>
      </c>
    </row>
    <row r="1533" spans="1:11" x14ac:dyDescent="0.25">
      <c r="A1533" t="s">
        <v>1472</v>
      </c>
      <c r="B1533" t="s">
        <v>521</v>
      </c>
      <c r="C1533" t="s">
        <v>1473</v>
      </c>
      <c r="D1533" t="s">
        <v>50</v>
      </c>
      <c r="E1533" s="8" t="s">
        <v>13</v>
      </c>
      <c r="F1533">
        <v>0.60599999999999998</v>
      </c>
      <c r="G1533" t="s">
        <v>78</v>
      </c>
      <c r="H1533" t="str">
        <f>VLOOKUP(Tabla3[[#This Row],[DESCRIPCION MATERIAL]],'CODIGO MAT'!$C$2:$D$390,2,FALSE)</f>
        <v>TEL0000042</v>
      </c>
      <c r="J1533">
        <v>1</v>
      </c>
      <c r="K1533">
        <v>0</v>
      </c>
    </row>
    <row r="1534" spans="1:11" x14ac:dyDescent="0.25">
      <c r="A1534" t="s">
        <v>1472</v>
      </c>
      <c r="B1534" t="s">
        <v>521</v>
      </c>
      <c r="C1534" t="s">
        <v>1473</v>
      </c>
      <c r="D1534" t="s">
        <v>50</v>
      </c>
      <c r="E1534" s="8" t="s">
        <v>1474</v>
      </c>
      <c r="F1534">
        <v>0.21</v>
      </c>
      <c r="G1534" t="s">
        <v>78</v>
      </c>
      <c r="H1534" t="e">
        <f>VLOOKUP(Tabla3[[#This Row],[DESCRIPCION MATERIAL]],'CODIGO MAT'!$C$2:$D$390,2,FALSE)</f>
        <v>#N/A</v>
      </c>
      <c r="I1534" s="64" t="s">
        <v>50</v>
      </c>
      <c r="J1534">
        <v>1</v>
      </c>
      <c r="K1534">
        <v>0</v>
      </c>
    </row>
    <row r="1535" spans="1:11" x14ac:dyDescent="0.25">
      <c r="A1535" t="s">
        <v>1472</v>
      </c>
      <c r="B1535" t="s">
        <v>521</v>
      </c>
      <c r="C1535" t="s">
        <v>1473</v>
      </c>
      <c r="D1535" t="s">
        <v>50</v>
      </c>
      <c r="E1535" s="8" t="s">
        <v>1420</v>
      </c>
      <c r="F1535">
        <v>0.186</v>
      </c>
      <c r="G1535" t="s">
        <v>78</v>
      </c>
      <c r="H1535" t="e">
        <f>VLOOKUP(Tabla3[[#This Row],[DESCRIPCION MATERIAL]],'CODIGO MAT'!$C$2:$D$390,2,FALSE)</f>
        <v>#N/A</v>
      </c>
      <c r="I1535" s="64" t="s">
        <v>50</v>
      </c>
      <c r="J1535">
        <v>1</v>
      </c>
      <c r="K1535">
        <v>0</v>
      </c>
    </row>
    <row r="1536" spans="1:11" x14ac:dyDescent="0.25">
      <c r="A1536" t="s">
        <v>1472</v>
      </c>
      <c r="B1536" t="s">
        <v>521</v>
      </c>
      <c r="C1536" t="s">
        <v>1473</v>
      </c>
      <c r="D1536" t="s">
        <v>50</v>
      </c>
      <c r="E1536" s="8" t="s">
        <v>1250</v>
      </c>
      <c r="F1536">
        <v>0.56000000000000005</v>
      </c>
      <c r="G1536" t="s">
        <v>78</v>
      </c>
      <c r="H1536" t="e">
        <f>VLOOKUP(Tabla3[[#This Row],[DESCRIPCION MATERIAL]],'CODIGO MAT'!$C$2:$D$390,2,FALSE)</f>
        <v>#N/A</v>
      </c>
      <c r="I1536" s="64" t="s">
        <v>50</v>
      </c>
      <c r="J1536">
        <v>1</v>
      </c>
      <c r="K1536">
        <v>0</v>
      </c>
    </row>
    <row r="1537" spans="1:11" x14ac:dyDescent="0.25">
      <c r="A1537" t="s">
        <v>1472</v>
      </c>
      <c r="B1537" t="s">
        <v>521</v>
      </c>
      <c r="C1537" t="s">
        <v>1473</v>
      </c>
      <c r="D1537" t="s">
        <v>50</v>
      </c>
      <c r="E1537" s="8" t="s">
        <v>194</v>
      </c>
      <c r="F1537">
        <v>0.253</v>
      </c>
      <c r="G1537" t="s">
        <v>78</v>
      </c>
      <c r="H1537" t="str">
        <f>VLOOKUP(Tabla3[[#This Row],[DESCRIPCION MATERIAL]],'CODIGO MAT'!$C$2:$D$390,2,FALSE)</f>
        <v>TEL0000121</v>
      </c>
      <c r="J1537">
        <v>1</v>
      </c>
      <c r="K1537">
        <v>0</v>
      </c>
    </row>
    <row r="1538" spans="1:11" x14ac:dyDescent="0.25">
      <c r="A1538" t="s">
        <v>1472</v>
      </c>
      <c r="B1538" t="s">
        <v>521</v>
      </c>
      <c r="C1538" t="s">
        <v>1473</v>
      </c>
      <c r="D1538" t="s">
        <v>50</v>
      </c>
      <c r="E1538" s="8" t="s">
        <v>1232</v>
      </c>
      <c r="F1538">
        <v>7.2999999999999995E-2</v>
      </c>
      <c r="G1538" t="s">
        <v>78</v>
      </c>
      <c r="H1538" t="e">
        <f>VLOOKUP(Tabla3[[#This Row],[DESCRIPCION MATERIAL]],'CODIGO MAT'!$C$2:$D$390,2,FALSE)</f>
        <v>#N/A</v>
      </c>
      <c r="I1538" s="64" t="s">
        <v>50</v>
      </c>
      <c r="J1538">
        <v>1</v>
      </c>
      <c r="K1538">
        <v>0</v>
      </c>
    </row>
    <row r="1539" spans="1:11" x14ac:dyDescent="0.25">
      <c r="A1539" t="s">
        <v>1472</v>
      </c>
      <c r="B1539" t="s">
        <v>521</v>
      </c>
      <c r="C1539" t="s">
        <v>1473</v>
      </c>
      <c r="D1539" t="s">
        <v>51</v>
      </c>
      <c r="E1539" s="8" t="s">
        <v>996</v>
      </c>
      <c r="F1539">
        <v>0.5</v>
      </c>
      <c r="G1539" t="s">
        <v>78</v>
      </c>
      <c r="H1539" t="str">
        <f>VLOOKUP(Tabla3[[#This Row],[DESCRIPCION MATERIAL]],'CODIGO MAT'!$C$2:$D$390,2,FALSE)</f>
        <v>AVI0000148</v>
      </c>
      <c r="J1539">
        <v>1</v>
      </c>
      <c r="K1539">
        <v>0</v>
      </c>
    </row>
    <row r="1540" spans="1:11" x14ac:dyDescent="0.25">
      <c r="A1540" t="s">
        <v>1472</v>
      </c>
      <c r="B1540" t="s">
        <v>521</v>
      </c>
      <c r="C1540" t="s">
        <v>1473</v>
      </c>
      <c r="D1540" t="s">
        <v>51</v>
      </c>
      <c r="E1540" s="8" t="s">
        <v>315</v>
      </c>
      <c r="F1540">
        <v>0.15</v>
      </c>
      <c r="G1540" t="s">
        <v>78</v>
      </c>
      <c r="H1540" t="str">
        <f>VLOOKUP(Tabla3[[#This Row],[DESCRIPCION MATERIAL]],'CODIGO MAT'!$C$2:$D$390,2,FALSE)</f>
        <v>AVI0000055</v>
      </c>
      <c r="J1540">
        <v>1</v>
      </c>
      <c r="K1540">
        <v>0</v>
      </c>
    </row>
    <row r="1541" spans="1:11" x14ac:dyDescent="0.25">
      <c r="A1541" t="s">
        <v>1472</v>
      </c>
      <c r="B1541" t="s">
        <v>521</v>
      </c>
      <c r="C1541" t="s">
        <v>1473</v>
      </c>
      <c r="D1541" t="s">
        <v>51</v>
      </c>
      <c r="E1541" s="8" t="s">
        <v>387</v>
      </c>
      <c r="F1541">
        <v>4</v>
      </c>
      <c r="G1541" t="s">
        <v>396</v>
      </c>
      <c r="H1541" t="str">
        <f>VLOOKUP(Tabla3[[#This Row],[DESCRIPCION MATERIAL]],'CODIGO MAT'!$C$2:$D$390,2,FALSE)</f>
        <v>AVI0000122</v>
      </c>
    </row>
    <row r="1542" spans="1:11" x14ac:dyDescent="0.25">
      <c r="A1542" t="s">
        <v>1475</v>
      </c>
      <c r="B1542" t="s">
        <v>521</v>
      </c>
      <c r="C1542" t="s">
        <v>1476</v>
      </c>
      <c r="D1542" t="s">
        <v>50</v>
      </c>
      <c r="E1542" s="8" t="s">
        <v>1477</v>
      </c>
      <c r="F1542">
        <v>0.51</v>
      </c>
      <c r="G1542" t="s">
        <v>78</v>
      </c>
      <c r="H1542" t="e">
        <f>VLOOKUP(Tabla3[[#This Row],[DESCRIPCION MATERIAL]],'CODIGO MAT'!$C$2:$D$390,2,FALSE)</f>
        <v>#N/A</v>
      </c>
      <c r="I1542" s="64" t="s">
        <v>50</v>
      </c>
      <c r="J1542">
        <v>1</v>
      </c>
      <c r="K1542">
        <v>0</v>
      </c>
    </row>
    <row r="1543" spans="1:11" x14ac:dyDescent="0.25">
      <c r="A1543" t="s">
        <v>1475</v>
      </c>
      <c r="B1543" t="s">
        <v>521</v>
      </c>
      <c r="C1543" t="s">
        <v>1476</v>
      </c>
      <c r="D1543" t="s">
        <v>50</v>
      </c>
      <c r="E1543" s="8" t="s">
        <v>195</v>
      </c>
      <c r="F1543">
        <v>7.5999999999999998E-2</v>
      </c>
      <c r="G1543" t="s">
        <v>78</v>
      </c>
      <c r="H1543" t="str">
        <f>VLOOKUP(Tabla3[[#This Row],[DESCRIPCION MATERIAL]],'CODIGO MAT'!$C$2:$D$390,2,FALSE)</f>
        <v>TEL0000122</v>
      </c>
      <c r="J1543">
        <v>1</v>
      </c>
      <c r="K1543">
        <v>0</v>
      </c>
    </row>
    <row r="1544" spans="1:11" x14ac:dyDescent="0.25">
      <c r="A1544" t="s">
        <v>1475</v>
      </c>
      <c r="B1544" t="s">
        <v>521</v>
      </c>
      <c r="C1544" t="s">
        <v>1476</v>
      </c>
      <c r="D1544" t="s">
        <v>50</v>
      </c>
      <c r="E1544" s="8" t="s">
        <v>1258</v>
      </c>
      <c r="F1544">
        <v>6.9000000000000006E-2</v>
      </c>
      <c r="G1544" t="s">
        <v>78</v>
      </c>
      <c r="H1544" t="e">
        <f>VLOOKUP(Tabla3[[#This Row],[DESCRIPCION MATERIAL]],'CODIGO MAT'!$C$2:$D$390,2,FALSE)</f>
        <v>#N/A</v>
      </c>
      <c r="I1544" s="64" t="s">
        <v>50</v>
      </c>
      <c r="J1544">
        <v>1</v>
      </c>
      <c r="K1544">
        <v>0</v>
      </c>
    </row>
    <row r="1545" spans="1:11" x14ac:dyDescent="0.25">
      <c r="A1545" t="s">
        <v>1475</v>
      </c>
      <c r="B1545" t="s">
        <v>521</v>
      </c>
      <c r="C1545" t="s">
        <v>1476</v>
      </c>
      <c r="D1545" t="s">
        <v>50</v>
      </c>
      <c r="E1545" s="8" t="s">
        <v>11</v>
      </c>
      <c r="F1545">
        <v>0.187</v>
      </c>
      <c r="G1545" t="s">
        <v>78</v>
      </c>
      <c r="H1545" t="str">
        <f>VLOOKUP(Tabla3[[#This Row],[DESCRIPCION MATERIAL]],'CODIGO MAT'!$C$2:$D$390,2,FALSE)</f>
        <v>TEL0000149</v>
      </c>
      <c r="J1545">
        <v>1</v>
      </c>
      <c r="K1545">
        <v>0</v>
      </c>
    </row>
    <row r="1546" spans="1:11" x14ac:dyDescent="0.25">
      <c r="A1546" t="s">
        <v>1475</v>
      </c>
      <c r="B1546" t="s">
        <v>521</v>
      </c>
      <c r="C1546" t="s">
        <v>1476</v>
      </c>
      <c r="D1546" t="s">
        <v>50</v>
      </c>
      <c r="E1546" s="8" t="s">
        <v>230</v>
      </c>
      <c r="F1546">
        <v>0.1</v>
      </c>
      <c r="G1546" t="s">
        <v>78</v>
      </c>
      <c r="H1546" t="str">
        <f>VLOOKUP(Tabla3[[#This Row],[DESCRIPCION MATERIAL]],'CODIGO MAT'!$C$2:$D$390,2,FALSE)</f>
        <v>TEL0000158</v>
      </c>
      <c r="J1546">
        <v>1</v>
      </c>
      <c r="K1546">
        <v>0</v>
      </c>
    </row>
    <row r="1547" spans="1:11" x14ac:dyDescent="0.25">
      <c r="A1547" t="s">
        <v>1475</v>
      </c>
      <c r="B1547" t="s">
        <v>521</v>
      </c>
      <c r="C1547" t="s">
        <v>1476</v>
      </c>
      <c r="D1547" t="s">
        <v>50</v>
      </c>
      <c r="E1547" s="8" t="s">
        <v>1287</v>
      </c>
      <c r="F1547">
        <v>0.183</v>
      </c>
      <c r="G1547" t="s">
        <v>78</v>
      </c>
      <c r="H1547" t="e">
        <f>VLOOKUP(Tabla3[[#This Row],[DESCRIPCION MATERIAL]],'CODIGO MAT'!$C$2:$D$390,2,FALSE)</f>
        <v>#N/A</v>
      </c>
      <c r="I1547" s="64" t="s">
        <v>50</v>
      </c>
      <c r="J1547">
        <v>1</v>
      </c>
      <c r="K1547">
        <v>0</v>
      </c>
    </row>
    <row r="1548" spans="1:11" x14ac:dyDescent="0.25">
      <c r="A1548" t="s">
        <v>1475</v>
      </c>
      <c r="B1548" t="s">
        <v>521</v>
      </c>
      <c r="C1548" t="s">
        <v>1476</v>
      </c>
      <c r="D1548" t="s">
        <v>50</v>
      </c>
      <c r="E1548" s="8" t="s">
        <v>1242</v>
      </c>
      <c r="F1548">
        <v>0.192</v>
      </c>
      <c r="G1548" t="s">
        <v>78</v>
      </c>
      <c r="H1548" t="e">
        <f>VLOOKUP(Tabla3[[#This Row],[DESCRIPCION MATERIAL]],'CODIGO MAT'!$C$2:$D$390,2,FALSE)</f>
        <v>#N/A</v>
      </c>
      <c r="I1548" s="64" t="s">
        <v>50</v>
      </c>
      <c r="J1548">
        <v>1</v>
      </c>
      <c r="K1548">
        <v>0</v>
      </c>
    </row>
    <row r="1549" spans="1:11" x14ac:dyDescent="0.25">
      <c r="A1549" t="s">
        <v>1475</v>
      </c>
      <c r="B1549" t="s">
        <v>521</v>
      </c>
      <c r="C1549" t="s">
        <v>1476</v>
      </c>
      <c r="D1549" t="s">
        <v>51</v>
      </c>
      <c r="E1549" s="8" t="s">
        <v>1478</v>
      </c>
      <c r="F1549">
        <v>0.46</v>
      </c>
      <c r="G1549" t="s">
        <v>78</v>
      </c>
      <c r="H1549" t="e">
        <f>VLOOKUP(Tabla3[[#This Row],[DESCRIPCION MATERIAL]],'CODIGO MAT'!$C$2:$D$390,2,FALSE)</f>
        <v>#N/A</v>
      </c>
      <c r="I1549" s="64" t="s">
        <v>51</v>
      </c>
      <c r="J1549">
        <v>1</v>
      </c>
      <c r="K1549">
        <v>0</v>
      </c>
    </row>
    <row r="1550" spans="1:11" x14ac:dyDescent="0.25">
      <c r="A1550" t="s">
        <v>1475</v>
      </c>
      <c r="B1550" t="s">
        <v>521</v>
      </c>
      <c r="C1550" t="s">
        <v>1476</v>
      </c>
      <c r="D1550" t="s">
        <v>51</v>
      </c>
      <c r="E1550" s="8" t="s">
        <v>996</v>
      </c>
      <c r="F1550">
        <v>0.5</v>
      </c>
      <c r="G1550" t="s">
        <v>78</v>
      </c>
      <c r="H1550" t="str">
        <f>VLOOKUP(Tabla3[[#This Row],[DESCRIPCION MATERIAL]],'CODIGO MAT'!$C$2:$D$390,2,FALSE)</f>
        <v>AVI0000148</v>
      </c>
      <c r="J1550">
        <v>1</v>
      </c>
      <c r="K1550">
        <v>0</v>
      </c>
    </row>
    <row r="1551" spans="1:11" x14ac:dyDescent="0.25">
      <c r="A1551" t="s">
        <v>1475</v>
      </c>
      <c r="B1551" t="s">
        <v>521</v>
      </c>
      <c r="C1551" t="s">
        <v>1476</v>
      </c>
      <c r="D1551" t="s">
        <v>51</v>
      </c>
      <c r="E1551" s="8" t="s">
        <v>285</v>
      </c>
      <c r="F1551">
        <v>4.2</v>
      </c>
      <c r="G1551" t="s">
        <v>78</v>
      </c>
      <c r="H1551" t="str">
        <f>VLOOKUP(Tabla3[[#This Row],[DESCRIPCION MATERIAL]],'CODIGO MAT'!$C$2:$D$390,2,FALSE)</f>
        <v>AVI0000028</v>
      </c>
      <c r="J1551">
        <v>1</v>
      </c>
      <c r="K1551">
        <v>0</v>
      </c>
    </row>
    <row r="1552" spans="1:11" x14ac:dyDescent="0.25">
      <c r="A1552" t="s">
        <v>1479</v>
      </c>
      <c r="B1552" t="s">
        <v>521</v>
      </c>
      <c r="C1552" t="s">
        <v>1480</v>
      </c>
      <c r="D1552" t="s">
        <v>50</v>
      </c>
      <c r="E1552" s="8" t="s">
        <v>252</v>
      </c>
      <c r="F1552">
        <v>0.32600000000000001</v>
      </c>
      <c r="G1552" t="s">
        <v>78</v>
      </c>
      <c r="H1552" t="str">
        <f>VLOOKUP(Tabla3[[#This Row],[DESCRIPCION MATERIAL]],'CODIGO MAT'!$C$2:$D$390,2,FALSE)</f>
        <v>TEL0000180</v>
      </c>
      <c r="J1552">
        <v>1</v>
      </c>
      <c r="K1552">
        <v>0</v>
      </c>
    </row>
    <row r="1553" spans="1:11" x14ac:dyDescent="0.25">
      <c r="A1553" t="s">
        <v>1479</v>
      </c>
      <c r="B1553" t="s">
        <v>521</v>
      </c>
      <c r="C1553" t="s">
        <v>1480</v>
      </c>
      <c r="D1553" t="s">
        <v>50</v>
      </c>
      <c r="E1553" s="8" t="s">
        <v>1481</v>
      </c>
      <c r="F1553">
        <v>0.28100000000000003</v>
      </c>
      <c r="G1553" t="s">
        <v>78</v>
      </c>
      <c r="H1553" t="e">
        <f>VLOOKUP(Tabla3[[#This Row],[DESCRIPCION MATERIAL]],'CODIGO MAT'!$C$2:$D$390,2,FALSE)</f>
        <v>#N/A</v>
      </c>
      <c r="I1553" s="64" t="s">
        <v>50</v>
      </c>
      <c r="J1553">
        <v>1</v>
      </c>
      <c r="K1553">
        <v>0</v>
      </c>
    </row>
    <row r="1554" spans="1:11" x14ac:dyDescent="0.25">
      <c r="A1554" t="s">
        <v>1479</v>
      </c>
      <c r="B1554" t="s">
        <v>521</v>
      </c>
      <c r="C1554" t="s">
        <v>1480</v>
      </c>
      <c r="D1554" t="s">
        <v>50</v>
      </c>
      <c r="E1554" s="8" t="s">
        <v>112</v>
      </c>
      <c r="F1554">
        <v>5.2999999999999999E-2</v>
      </c>
      <c r="G1554" t="s">
        <v>78</v>
      </c>
      <c r="H1554" t="str">
        <f>VLOOKUP(Tabla3[[#This Row],[DESCRIPCION MATERIAL]],'CODIGO MAT'!$C$2:$D$390,2,FALSE)</f>
        <v>TEL0000035</v>
      </c>
      <c r="J1554">
        <v>1</v>
      </c>
      <c r="K1554">
        <v>0</v>
      </c>
    </row>
    <row r="1555" spans="1:11" x14ac:dyDescent="0.25">
      <c r="A1555" t="s">
        <v>1479</v>
      </c>
      <c r="B1555" t="s">
        <v>521</v>
      </c>
      <c r="C1555" t="s">
        <v>1480</v>
      </c>
      <c r="D1555" t="s">
        <v>50</v>
      </c>
      <c r="E1555" s="8" t="s">
        <v>1211</v>
      </c>
      <c r="F1555">
        <v>0.501</v>
      </c>
      <c r="G1555" t="s">
        <v>78</v>
      </c>
      <c r="H1555" t="e">
        <f>VLOOKUP(Tabla3[[#This Row],[DESCRIPCION MATERIAL]],'CODIGO MAT'!$C$2:$D$390,2,FALSE)</f>
        <v>#N/A</v>
      </c>
      <c r="I1555" s="64" t="s">
        <v>50</v>
      </c>
      <c r="J1555">
        <v>1</v>
      </c>
      <c r="K1555">
        <v>0</v>
      </c>
    </row>
    <row r="1556" spans="1:11" x14ac:dyDescent="0.25">
      <c r="A1556" t="s">
        <v>1479</v>
      </c>
      <c r="B1556" t="s">
        <v>521</v>
      </c>
      <c r="C1556" t="s">
        <v>1480</v>
      </c>
      <c r="D1556" t="s">
        <v>50</v>
      </c>
      <c r="E1556" s="8" t="s">
        <v>231</v>
      </c>
      <c r="F1556">
        <v>0.18</v>
      </c>
      <c r="G1556" t="s">
        <v>78</v>
      </c>
      <c r="H1556" t="str">
        <f>VLOOKUP(Tabla3[[#This Row],[DESCRIPCION MATERIAL]],'CODIGO MAT'!$C$2:$D$390,2,FALSE)</f>
        <v>TEL0000159</v>
      </c>
      <c r="J1556">
        <v>1</v>
      </c>
      <c r="K1556">
        <v>0</v>
      </c>
    </row>
    <row r="1557" spans="1:11" x14ac:dyDescent="0.25">
      <c r="A1557" t="s">
        <v>1479</v>
      </c>
      <c r="B1557" t="s">
        <v>521</v>
      </c>
      <c r="C1557" t="s">
        <v>1480</v>
      </c>
      <c r="D1557" t="s">
        <v>50</v>
      </c>
      <c r="E1557" s="8" t="s">
        <v>11</v>
      </c>
      <c r="F1557">
        <v>1.9E-2</v>
      </c>
      <c r="G1557" t="s">
        <v>78</v>
      </c>
      <c r="H1557" t="str">
        <f>VLOOKUP(Tabla3[[#This Row],[DESCRIPCION MATERIAL]],'CODIGO MAT'!$C$2:$D$390,2,FALSE)</f>
        <v>TEL0000149</v>
      </c>
      <c r="J1557">
        <v>1</v>
      </c>
      <c r="K1557">
        <v>0</v>
      </c>
    </row>
    <row r="1558" spans="1:11" x14ac:dyDescent="0.25">
      <c r="A1558" t="s">
        <v>1479</v>
      </c>
      <c r="B1558" t="s">
        <v>521</v>
      </c>
      <c r="C1558" t="s">
        <v>1480</v>
      </c>
      <c r="D1558" t="s">
        <v>51</v>
      </c>
      <c r="E1558" s="8" t="s">
        <v>303</v>
      </c>
      <c r="F1558">
        <v>2</v>
      </c>
      <c r="G1558" t="s">
        <v>396</v>
      </c>
      <c r="H1558" t="str">
        <f>VLOOKUP(Tabla3[[#This Row],[DESCRIPCION MATERIAL]],'CODIGO MAT'!$C$2:$D$390,2,FALSE)</f>
        <v>AVI0000048</v>
      </c>
      <c r="J1558">
        <v>1</v>
      </c>
      <c r="K1558">
        <v>0</v>
      </c>
    </row>
    <row r="1559" spans="1:11" x14ac:dyDescent="0.25">
      <c r="A1559" t="s">
        <v>1479</v>
      </c>
      <c r="B1559" t="s">
        <v>521</v>
      </c>
      <c r="C1559" t="s">
        <v>1480</v>
      </c>
      <c r="D1559" t="s">
        <v>51</v>
      </c>
      <c r="E1559" s="8" t="s">
        <v>304</v>
      </c>
      <c r="F1559">
        <v>2</v>
      </c>
      <c r="G1559" t="s">
        <v>396</v>
      </c>
      <c r="H1559" t="str">
        <f>VLOOKUP(Tabla3[[#This Row],[DESCRIPCION MATERIAL]],'CODIGO MAT'!$C$2:$D$390,2,FALSE)</f>
        <v>AVI0000049</v>
      </c>
      <c r="J1559">
        <v>1</v>
      </c>
      <c r="K1559">
        <v>0</v>
      </c>
    </row>
    <row r="1560" spans="1:11" x14ac:dyDescent="0.25">
      <c r="A1560" t="s">
        <v>1479</v>
      </c>
      <c r="B1560" t="s">
        <v>521</v>
      </c>
      <c r="C1560" t="s">
        <v>1480</v>
      </c>
      <c r="D1560" t="s">
        <v>50</v>
      </c>
      <c r="E1560" s="8" t="s">
        <v>89</v>
      </c>
      <c r="F1560">
        <v>3.4000000000000002E-2</v>
      </c>
      <c r="G1560" t="s">
        <v>78</v>
      </c>
      <c r="H1560" t="str">
        <f>VLOOKUP(Tabla3[[#This Row],[DESCRIPCION MATERIAL]],'CODIGO MAT'!$C$2:$D$390,2,FALSE)</f>
        <v>TEL0000012</v>
      </c>
      <c r="J1560">
        <v>1</v>
      </c>
      <c r="K1560">
        <v>0</v>
      </c>
    </row>
    <row r="1561" spans="1:11" x14ac:dyDescent="0.25">
      <c r="A1561" t="s">
        <v>1479</v>
      </c>
      <c r="B1561" t="s">
        <v>521</v>
      </c>
      <c r="C1561" t="s">
        <v>1480</v>
      </c>
      <c r="D1561" t="s">
        <v>51</v>
      </c>
      <c r="E1561" s="8" t="s">
        <v>1482</v>
      </c>
      <c r="F1561">
        <v>4.1669999999999998</v>
      </c>
      <c r="G1561" t="s">
        <v>78</v>
      </c>
      <c r="H1561" t="e">
        <f>VLOOKUP(Tabla3[[#This Row],[DESCRIPCION MATERIAL]],'CODIGO MAT'!$C$2:$D$390,2,FALSE)</f>
        <v>#N/A</v>
      </c>
      <c r="I1561" s="64" t="s">
        <v>51</v>
      </c>
      <c r="J1561">
        <v>1</v>
      </c>
      <c r="K1561">
        <v>0</v>
      </c>
    </row>
    <row r="1562" spans="1:11" x14ac:dyDescent="0.25">
      <c r="A1562" t="s">
        <v>1483</v>
      </c>
      <c r="B1562" t="s">
        <v>521</v>
      </c>
      <c r="C1562" t="s">
        <v>1484</v>
      </c>
      <c r="D1562" t="s">
        <v>50</v>
      </c>
      <c r="E1562" s="8" t="s">
        <v>93</v>
      </c>
      <c r="F1562">
        <v>0.42799999999999999</v>
      </c>
      <c r="G1562" t="s">
        <v>78</v>
      </c>
      <c r="H1562" t="str">
        <f>VLOOKUP(Tabla3[[#This Row],[DESCRIPCION MATERIAL]],'CODIGO MAT'!$C$2:$D$390,2,FALSE)</f>
        <v>TEL0000016</v>
      </c>
      <c r="J1562">
        <v>1</v>
      </c>
      <c r="K1562">
        <v>0</v>
      </c>
    </row>
    <row r="1563" spans="1:11" x14ac:dyDescent="0.25">
      <c r="A1563" t="s">
        <v>1483</v>
      </c>
      <c r="B1563" t="s">
        <v>521</v>
      </c>
      <c r="C1563" t="s">
        <v>1484</v>
      </c>
      <c r="D1563" t="s">
        <v>50</v>
      </c>
      <c r="E1563" s="8" t="s">
        <v>1485</v>
      </c>
      <c r="F1563">
        <v>0.47499999999999998</v>
      </c>
      <c r="G1563" t="s">
        <v>78</v>
      </c>
      <c r="H1563" t="e">
        <f>VLOOKUP(Tabla3[[#This Row],[DESCRIPCION MATERIAL]],'CODIGO MAT'!$C$2:$D$390,2,FALSE)</f>
        <v>#N/A</v>
      </c>
      <c r="I1563" s="64" t="s">
        <v>50</v>
      </c>
      <c r="J1563">
        <v>1</v>
      </c>
      <c r="K1563">
        <v>0</v>
      </c>
    </row>
    <row r="1564" spans="1:11" x14ac:dyDescent="0.25">
      <c r="A1564" t="s">
        <v>1483</v>
      </c>
      <c r="B1564" t="s">
        <v>521</v>
      </c>
      <c r="C1564" t="s">
        <v>1484</v>
      </c>
      <c r="D1564" t="s">
        <v>50</v>
      </c>
      <c r="E1564" s="8" t="s">
        <v>95</v>
      </c>
      <c r="F1564">
        <v>0.105</v>
      </c>
      <c r="G1564" t="s">
        <v>78</v>
      </c>
      <c r="H1564" t="str">
        <f>VLOOKUP(Tabla3[[#This Row],[DESCRIPCION MATERIAL]],'CODIGO MAT'!$C$2:$D$390,2,FALSE)</f>
        <v>TEL0000018</v>
      </c>
      <c r="J1564">
        <v>1</v>
      </c>
      <c r="K1564">
        <v>0</v>
      </c>
    </row>
    <row r="1565" spans="1:11" x14ac:dyDescent="0.25">
      <c r="A1565" t="s">
        <v>1483</v>
      </c>
      <c r="B1565" t="s">
        <v>521</v>
      </c>
      <c r="C1565" t="s">
        <v>1484</v>
      </c>
      <c r="D1565" t="s">
        <v>50</v>
      </c>
      <c r="E1565" s="8" t="s">
        <v>157</v>
      </c>
      <c r="F1565">
        <v>0.10299999999999999</v>
      </c>
      <c r="G1565" t="s">
        <v>78</v>
      </c>
      <c r="H1565" t="str">
        <f>VLOOKUP(Tabla3[[#This Row],[DESCRIPCION MATERIAL]],'CODIGO MAT'!$C$2:$D$390,2,FALSE)</f>
        <v>TEL0000084</v>
      </c>
      <c r="J1565">
        <v>1</v>
      </c>
      <c r="K1565">
        <v>0</v>
      </c>
    </row>
    <row r="1566" spans="1:11" x14ac:dyDescent="0.25">
      <c r="A1566" t="s">
        <v>1483</v>
      </c>
      <c r="B1566" t="s">
        <v>521</v>
      </c>
      <c r="C1566" t="s">
        <v>1484</v>
      </c>
      <c r="D1566" t="s">
        <v>50</v>
      </c>
      <c r="E1566" s="8" t="s">
        <v>238</v>
      </c>
      <c r="F1566">
        <v>2.1999999999999999E-2</v>
      </c>
      <c r="G1566" t="s">
        <v>78</v>
      </c>
      <c r="H1566" t="str">
        <f>VLOOKUP(Tabla3[[#This Row],[DESCRIPCION MATERIAL]],'CODIGO MAT'!$C$2:$D$390,2,FALSE)</f>
        <v>TEL0000166</v>
      </c>
      <c r="J1566">
        <v>1</v>
      </c>
      <c r="K1566">
        <v>0</v>
      </c>
    </row>
    <row r="1567" spans="1:11" x14ac:dyDescent="0.25">
      <c r="A1567" t="s">
        <v>1483</v>
      </c>
      <c r="B1567" t="s">
        <v>521</v>
      </c>
      <c r="C1567" t="s">
        <v>1484</v>
      </c>
      <c r="D1567" t="s">
        <v>50</v>
      </c>
      <c r="E1567" s="8" t="s">
        <v>11</v>
      </c>
      <c r="F1567">
        <v>0.01</v>
      </c>
      <c r="G1567" t="s">
        <v>78</v>
      </c>
      <c r="H1567" t="str">
        <f>VLOOKUP(Tabla3[[#This Row],[DESCRIPCION MATERIAL]],'CODIGO MAT'!$C$2:$D$390,2,FALSE)</f>
        <v>TEL0000149</v>
      </c>
      <c r="J1567">
        <v>1</v>
      </c>
      <c r="K1567">
        <v>0</v>
      </c>
    </row>
    <row r="1568" spans="1:11" x14ac:dyDescent="0.25">
      <c r="A1568" t="s">
        <v>1491</v>
      </c>
      <c r="B1568" t="s">
        <v>521</v>
      </c>
      <c r="C1568" t="s">
        <v>1492</v>
      </c>
      <c r="D1568" t="s">
        <v>50</v>
      </c>
      <c r="E1568" s="8" t="s">
        <v>32</v>
      </c>
      <c r="F1568">
        <v>1.2</v>
      </c>
      <c r="G1568" t="s">
        <v>78</v>
      </c>
      <c r="H1568" t="str">
        <f>VLOOKUP(Tabla3[[#This Row],[DESCRIPCION MATERIAL]],'CODIGO MAT'!$C$2:$D$390,2,FALSE)</f>
        <v>TEL0000041</v>
      </c>
      <c r="J1568">
        <v>1</v>
      </c>
      <c r="K1568">
        <v>0</v>
      </c>
    </row>
    <row r="1569" spans="1:11" x14ac:dyDescent="0.25">
      <c r="A1569" t="s">
        <v>1491</v>
      </c>
      <c r="B1569" t="s">
        <v>521</v>
      </c>
      <c r="C1569" t="s">
        <v>1492</v>
      </c>
      <c r="D1569" t="s">
        <v>50</v>
      </c>
      <c r="E1569" s="8" t="s">
        <v>1232</v>
      </c>
      <c r="F1569">
        <v>7.3999999999999996E-2</v>
      </c>
      <c r="G1569" t="s">
        <v>78</v>
      </c>
      <c r="H1569" t="e">
        <f>VLOOKUP(Tabla3[[#This Row],[DESCRIPCION MATERIAL]],'CODIGO MAT'!$C$2:$D$390,2,FALSE)</f>
        <v>#N/A</v>
      </c>
      <c r="I1569" s="64" t="s">
        <v>50</v>
      </c>
      <c r="J1569">
        <v>1</v>
      </c>
      <c r="K1569">
        <v>0</v>
      </c>
    </row>
    <row r="1570" spans="1:11" x14ac:dyDescent="0.25">
      <c r="A1570" t="s">
        <v>1491</v>
      </c>
      <c r="B1570" t="s">
        <v>521</v>
      </c>
      <c r="C1570" t="s">
        <v>1492</v>
      </c>
      <c r="D1570" t="s">
        <v>50</v>
      </c>
      <c r="E1570" s="8" t="s">
        <v>193</v>
      </c>
      <c r="F1570">
        <v>2.3E-2</v>
      </c>
      <c r="G1570" t="s">
        <v>78</v>
      </c>
      <c r="H1570" t="str">
        <f>VLOOKUP(Tabla3[[#This Row],[DESCRIPCION MATERIAL]],'CODIGO MAT'!$C$2:$D$390,2,FALSE)</f>
        <v>TEL0000120</v>
      </c>
      <c r="J1570">
        <v>1</v>
      </c>
      <c r="K1570">
        <v>0</v>
      </c>
    </row>
    <row r="1571" spans="1:11" x14ac:dyDescent="0.25">
      <c r="A1571" t="s">
        <v>1491</v>
      </c>
      <c r="B1571" t="s">
        <v>521</v>
      </c>
      <c r="C1571" t="s">
        <v>1492</v>
      </c>
      <c r="D1571" t="s">
        <v>50</v>
      </c>
      <c r="E1571" s="8" t="s">
        <v>186</v>
      </c>
      <c r="F1571">
        <v>2.3E-2</v>
      </c>
      <c r="G1571" t="s">
        <v>78</v>
      </c>
      <c r="H1571" t="str">
        <f>VLOOKUP(Tabla3[[#This Row],[DESCRIPCION MATERIAL]],'CODIGO MAT'!$C$2:$D$390,2,FALSE)</f>
        <v>TEL0000113</v>
      </c>
      <c r="J1571">
        <v>1</v>
      </c>
      <c r="K1571">
        <v>0</v>
      </c>
    </row>
    <row r="1572" spans="1:11" x14ac:dyDescent="0.25">
      <c r="A1572" t="s">
        <v>1491</v>
      </c>
      <c r="B1572" t="s">
        <v>521</v>
      </c>
      <c r="C1572" t="s">
        <v>1492</v>
      </c>
      <c r="D1572" t="s">
        <v>50</v>
      </c>
      <c r="E1572" s="8" t="s">
        <v>188</v>
      </c>
      <c r="F1572">
        <v>4.5999999999999999E-2</v>
      </c>
      <c r="G1572" t="s">
        <v>78</v>
      </c>
      <c r="H1572" t="str">
        <f>VLOOKUP(Tabla3[[#This Row],[DESCRIPCION MATERIAL]],'CODIGO MAT'!$C$2:$D$390,2,FALSE)</f>
        <v>TEL0000115</v>
      </c>
      <c r="J1572">
        <v>1</v>
      </c>
      <c r="K1572">
        <v>0</v>
      </c>
    </row>
    <row r="1573" spans="1:11" x14ac:dyDescent="0.25">
      <c r="A1573" t="s">
        <v>1491</v>
      </c>
      <c r="B1573" t="s">
        <v>521</v>
      </c>
      <c r="C1573" t="s">
        <v>1492</v>
      </c>
      <c r="D1573" t="s">
        <v>51</v>
      </c>
      <c r="E1573" s="8" t="s">
        <v>356</v>
      </c>
      <c r="F1573">
        <v>5.95</v>
      </c>
      <c r="G1573" t="s">
        <v>78</v>
      </c>
      <c r="H1573" t="str">
        <f>VLOOKUP(Tabla3[[#This Row],[DESCRIPCION MATERIAL]],'CODIGO MAT'!$C$2:$D$390,2,FALSE)</f>
        <v>AVI0000094</v>
      </c>
      <c r="J1573">
        <v>1</v>
      </c>
      <c r="K1573">
        <v>0</v>
      </c>
    </row>
    <row r="1574" spans="1:11" x14ac:dyDescent="0.25">
      <c r="A1574" t="s">
        <v>1491</v>
      </c>
      <c r="B1574" t="s">
        <v>521</v>
      </c>
      <c r="C1574" t="s">
        <v>1492</v>
      </c>
      <c r="D1574" t="s">
        <v>50</v>
      </c>
      <c r="E1574" s="8" t="s">
        <v>103</v>
      </c>
      <c r="F1574">
        <v>2.3E-2</v>
      </c>
      <c r="G1574" t="s">
        <v>78</v>
      </c>
      <c r="H1574" t="str">
        <f>VLOOKUP(Tabla3[[#This Row],[DESCRIPCION MATERIAL]],'CODIGO MAT'!$C$2:$D$390,2,FALSE)</f>
        <v>TEL0000026</v>
      </c>
      <c r="J1574">
        <v>1</v>
      </c>
      <c r="K1574">
        <v>0</v>
      </c>
    </row>
    <row r="1575" spans="1:11" x14ac:dyDescent="0.25">
      <c r="A1575" t="s">
        <v>1491</v>
      </c>
      <c r="B1575" t="s">
        <v>521</v>
      </c>
      <c r="C1575" t="s">
        <v>1492</v>
      </c>
      <c r="D1575" t="s">
        <v>51</v>
      </c>
      <c r="E1575" s="8" t="s">
        <v>996</v>
      </c>
      <c r="F1575">
        <v>0.5</v>
      </c>
      <c r="G1575" t="s">
        <v>78</v>
      </c>
      <c r="H1575" t="str">
        <f>VLOOKUP(Tabla3[[#This Row],[DESCRIPCION MATERIAL]],'CODIGO MAT'!$C$2:$D$390,2,FALSE)</f>
        <v>AVI0000148</v>
      </c>
      <c r="J1575">
        <v>1</v>
      </c>
      <c r="K1575">
        <v>0</v>
      </c>
    </row>
    <row r="1576" spans="1:11" x14ac:dyDescent="0.25">
      <c r="A1576" t="s">
        <v>1493</v>
      </c>
      <c r="B1576" t="s">
        <v>521</v>
      </c>
      <c r="C1576" t="s">
        <v>1494</v>
      </c>
      <c r="D1576" t="s">
        <v>50</v>
      </c>
      <c r="E1576" s="8" t="s">
        <v>123</v>
      </c>
      <c r="F1576">
        <v>0.60399999999999998</v>
      </c>
      <c r="G1576" t="s">
        <v>78</v>
      </c>
      <c r="H1576" t="str">
        <f>VLOOKUP(Tabla3[[#This Row],[DESCRIPCION MATERIAL]],'CODIGO MAT'!$C$2:$D$390,2,FALSE)</f>
        <v>TEL0000050</v>
      </c>
      <c r="J1576">
        <v>1</v>
      </c>
      <c r="K1576">
        <v>0</v>
      </c>
    </row>
    <row r="1577" spans="1:11" x14ac:dyDescent="0.25">
      <c r="A1577" t="s">
        <v>1493</v>
      </c>
      <c r="B1577" t="s">
        <v>521</v>
      </c>
      <c r="C1577" t="s">
        <v>1494</v>
      </c>
      <c r="D1577" t="s">
        <v>50</v>
      </c>
      <c r="E1577" s="8" t="s">
        <v>33</v>
      </c>
      <c r="F1577">
        <v>0.48799999999999999</v>
      </c>
      <c r="G1577" t="s">
        <v>78</v>
      </c>
      <c r="H1577" t="str">
        <f>VLOOKUP(Tabla3[[#This Row],[DESCRIPCION MATERIAL]],'CODIGO MAT'!$C$2:$D$390,2,FALSE)</f>
        <v>TEL0000043</v>
      </c>
      <c r="J1577">
        <v>1</v>
      </c>
      <c r="K1577">
        <v>0</v>
      </c>
    </row>
    <row r="1578" spans="1:11" x14ac:dyDescent="0.25">
      <c r="A1578" t="s">
        <v>1493</v>
      </c>
      <c r="B1578" t="s">
        <v>521</v>
      </c>
      <c r="C1578" t="s">
        <v>1494</v>
      </c>
      <c r="D1578" t="s">
        <v>50</v>
      </c>
      <c r="E1578" s="8" t="s">
        <v>12</v>
      </c>
      <c r="F1578">
        <v>0.35399999999999998</v>
      </c>
      <c r="G1578" t="s">
        <v>78</v>
      </c>
      <c r="H1578" t="str">
        <f>VLOOKUP(Tabla3[[#This Row],[DESCRIPCION MATERIAL]],'CODIGO MAT'!$C$2:$D$390,2,FALSE)</f>
        <v>TEL0000040</v>
      </c>
      <c r="J1578">
        <v>1</v>
      </c>
      <c r="K1578">
        <v>0</v>
      </c>
    </row>
    <row r="1579" spans="1:11" x14ac:dyDescent="0.25">
      <c r="A1579" t="s">
        <v>1493</v>
      </c>
      <c r="B1579" t="s">
        <v>521</v>
      </c>
      <c r="C1579" t="s">
        <v>1494</v>
      </c>
      <c r="D1579" t="s">
        <v>50</v>
      </c>
      <c r="E1579" s="8" t="s">
        <v>119</v>
      </c>
      <c r="F1579">
        <v>8.7999999999999995E-2</v>
      </c>
      <c r="G1579" t="s">
        <v>78</v>
      </c>
      <c r="H1579" t="str">
        <f>VLOOKUP(Tabla3[[#This Row],[DESCRIPCION MATERIAL]],'CODIGO MAT'!$C$2:$D$390,2,FALSE)</f>
        <v>TEL0000046</v>
      </c>
      <c r="J1579">
        <v>1</v>
      </c>
      <c r="K1579">
        <v>0</v>
      </c>
    </row>
    <row r="1580" spans="1:11" x14ac:dyDescent="0.25">
      <c r="A1580" t="s">
        <v>1493</v>
      </c>
      <c r="B1580" t="s">
        <v>521</v>
      </c>
      <c r="C1580" t="s">
        <v>1494</v>
      </c>
      <c r="D1580" t="s">
        <v>51</v>
      </c>
      <c r="E1580" s="8" t="s">
        <v>427</v>
      </c>
      <c r="F1580">
        <v>0.02</v>
      </c>
      <c r="G1580" t="s">
        <v>78</v>
      </c>
      <c r="H1580" t="str">
        <f>VLOOKUP(Tabla3[[#This Row],[DESCRIPCION MATERIAL]],'CODIGO MAT'!$C$2:$D$390,2,FALSE)</f>
        <v>AVI0000141</v>
      </c>
      <c r="J1580">
        <v>1</v>
      </c>
      <c r="K1580">
        <v>0</v>
      </c>
    </row>
    <row r="1581" spans="1:11" x14ac:dyDescent="0.25">
      <c r="A1581" t="s">
        <v>1493</v>
      </c>
      <c r="B1581" t="s">
        <v>521</v>
      </c>
      <c r="C1581" t="s">
        <v>1494</v>
      </c>
      <c r="D1581" t="s">
        <v>51</v>
      </c>
      <c r="E1581" s="8" t="s">
        <v>1495</v>
      </c>
      <c r="F1581">
        <v>0.4</v>
      </c>
      <c r="G1581" t="s">
        <v>78</v>
      </c>
      <c r="H1581" t="e">
        <f>VLOOKUP(Tabla3[[#This Row],[DESCRIPCION MATERIAL]],'CODIGO MAT'!$C$2:$D$390,2,FALSE)</f>
        <v>#N/A</v>
      </c>
      <c r="I1581" s="64" t="s">
        <v>51</v>
      </c>
      <c r="J1581">
        <v>1</v>
      </c>
      <c r="K1581">
        <v>0</v>
      </c>
    </row>
    <row r="1582" spans="1:11" x14ac:dyDescent="0.25">
      <c r="A1582" t="s">
        <v>1496</v>
      </c>
      <c r="B1582" t="s">
        <v>521</v>
      </c>
      <c r="C1582" t="s">
        <v>1497</v>
      </c>
      <c r="D1582" t="s">
        <v>50</v>
      </c>
      <c r="E1582" s="8" t="s">
        <v>90</v>
      </c>
      <c r="F1582">
        <v>0.627</v>
      </c>
      <c r="G1582" t="s">
        <v>78</v>
      </c>
      <c r="H1582" t="str">
        <f>VLOOKUP(Tabla3[[#This Row],[DESCRIPCION MATERIAL]],'CODIGO MAT'!$C$2:$D$390,2,FALSE)</f>
        <v>TEL0000013</v>
      </c>
      <c r="J1582">
        <v>1</v>
      </c>
      <c r="K1582">
        <v>0</v>
      </c>
    </row>
    <row r="1583" spans="1:11" x14ac:dyDescent="0.25">
      <c r="A1583" t="s">
        <v>1496</v>
      </c>
      <c r="B1583" t="s">
        <v>521</v>
      </c>
      <c r="C1583" t="s">
        <v>1497</v>
      </c>
      <c r="D1583" t="s">
        <v>50</v>
      </c>
      <c r="E1583" s="8" t="s">
        <v>87</v>
      </c>
      <c r="F1583">
        <v>0.20599999999999999</v>
      </c>
      <c r="G1583" t="s">
        <v>78</v>
      </c>
      <c r="H1583" t="str">
        <f>VLOOKUP(Tabla3[[#This Row],[DESCRIPCION MATERIAL]],'CODIGO MAT'!$C$2:$D$390,2,FALSE)</f>
        <v>TEL0000010</v>
      </c>
      <c r="J1583">
        <v>1</v>
      </c>
      <c r="K1583">
        <v>0</v>
      </c>
    </row>
    <row r="1584" spans="1:11" x14ac:dyDescent="0.25">
      <c r="A1584" t="s">
        <v>1496</v>
      </c>
      <c r="B1584" t="s">
        <v>521</v>
      </c>
      <c r="C1584" t="s">
        <v>1497</v>
      </c>
      <c r="D1584" t="s">
        <v>50</v>
      </c>
      <c r="E1584" s="8" t="s">
        <v>88</v>
      </c>
      <c r="F1584">
        <v>0.14499999999999999</v>
      </c>
      <c r="G1584" t="s">
        <v>78</v>
      </c>
      <c r="H1584" t="str">
        <f>VLOOKUP(Tabla3[[#This Row],[DESCRIPCION MATERIAL]],'CODIGO MAT'!$C$2:$D$390,2,FALSE)</f>
        <v>TEL0000011</v>
      </c>
      <c r="J1584">
        <v>1</v>
      </c>
      <c r="K1584">
        <v>0</v>
      </c>
    </row>
    <row r="1585" spans="1:11" x14ac:dyDescent="0.25">
      <c r="A1585" t="s">
        <v>1496</v>
      </c>
      <c r="B1585" t="s">
        <v>521</v>
      </c>
      <c r="C1585" t="s">
        <v>1497</v>
      </c>
      <c r="D1585" t="s">
        <v>50</v>
      </c>
      <c r="E1585" s="8" t="s">
        <v>81</v>
      </c>
      <c r="F1585">
        <v>8.5000000000000006E-2</v>
      </c>
      <c r="G1585" t="s">
        <v>78</v>
      </c>
      <c r="H1585" t="str">
        <f>VLOOKUP(Tabla3[[#This Row],[DESCRIPCION MATERIAL]],'CODIGO MAT'!$C$2:$D$390,2,FALSE)</f>
        <v>TEL0000004</v>
      </c>
      <c r="J1585">
        <v>1</v>
      </c>
      <c r="K1585">
        <v>0</v>
      </c>
    </row>
    <row r="1586" spans="1:11" x14ac:dyDescent="0.25">
      <c r="A1586" t="s">
        <v>1496</v>
      </c>
      <c r="B1586" t="s">
        <v>521</v>
      </c>
      <c r="C1586" t="s">
        <v>1497</v>
      </c>
      <c r="D1586" t="s">
        <v>50</v>
      </c>
      <c r="E1586" s="8" t="s">
        <v>226</v>
      </c>
      <c r="F1586">
        <v>0.42799999999999999</v>
      </c>
      <c r="G1586" t="s">
        <v>78</v>
      </c>
      <c r="H1586" t="str">
        <f>VLOOKUP(Tabla3[[#This Row],[DESCRIPCION MATERIAL]],'CODIGO MAT'!$C$2:$D$390,2,FALSE)</f>
        <v>TEL0000154</v>
      </c>
      <c r="J1586">
        <v>1</v>
      </c>
      <c r="K1586">
        <v>0</v>
      </c>
    </row>
    <row r="1587" spans="1:11" x14ac:dyDescent="0.25">
      <c r="A1587" t="s">
        <v>1496</v>
      </c>
      <c r="B1587" t="s">
        <v>521</v>
      </c>
      <c r="C1587" t="s">
        <v>1497</v>
      </c>
      <c r="D1587" t="s">
        <v>51</v>
      </c>
      <c r="E1587" s="8" t="s">
        <v>1327</v>
      </c>
      <c r="F1587">
        <v>0</v>
      </c>
      <c r="G1587" t="s">
        <v>78</v>
      </c>
      <c r="H1587" t="e">
        <f>VLOOKUP(Tabla3[[#This Row],[DESCRIPCION MATERIAL]],'CODIGO MAT'!$C$2:$D$390,2,FALSE)</f>
        <v>#N/A</v>
      </c>
      <c r="I1587" s="64" t="s">
        <v>51</v>
      </c>
      <c r="J1587">
        <v>1</v>
      </c>
      <c r="K1587">
        <v>0</v>
      </c>
    </row>
    <row r="1588" spans="1:11" x14ac:dyDescent="0.25">
      <c r="A1588" t="s">
        <v>1496</v>
      </c>
      <c r="B1588" t="s">
        <v>521</v>
      </c>
      <c r="C1588" t="s">
        <v>1497</v>
      </c>
      <c r="D1588" t="s">
        <v>51</v>
      </c>
      <c r="E1588" s="8" t="s">
        <v>374</v>
      </c>
      <c r="F1588">
        <v>1</v>
      </c>
      <c r="G1588" t="s">
        <v>396</v>
      </c>
      <c r="H1588" t="str">
        <f>VLOOKUP(Tabla3[[#This Row],[DESCRIPCION MATERIAL]],'CODIGO MAT'!$C$2:$D$390,2,FALSE)</f>
        <v>AVI0000111</v>
      </c>
    </row>
    <row r="1589" spans="1:11" x14ac:dyDescent="0.25">
      <c r="A1589" t="s">
        <v>1496</v>
      </c>
      <c r="B1589" t="s">
        <v>521</v>
      </c>
      <c r="C1589" t="s">
        <v>1497</v>
      </c>
      <c r="D1589" t="s">
        <v>51</v>
      </c>
      <c r="E1589" s="8" t="s">
        <v>617</v>
      </c>
      <c r="F1589">
        <v>0</v>
      </c>
      <c r="G1589" t="s">
        <v>78</v>
      </c>
      <c r="H1589" t="str">
        <f>VLOOKUP(Tabla3[[#This Row],[DESCRIPCION MATERIAL]],'CODIGO MAT'!$C$2:$D$390,2,FALSE)</f>
        <v>AVI0000154</v>
      </c>
    </row>
    <row r="1590" spans="1:11" x14ac:dyDescent="0.25">
      <c r="A1590" t="s">
        <v>1496</v>
      </c>
      <c r="B1590" t="s">
        <v>521</v>
      </c>
      <c r="C1590" t="s">
        <v>1497</v>
      </c>
      <c r="D1590" t="s">
        <v>51</v>
      </c>
      <c r="E1590" s="8" t="s">
        <v>615</v>
      </c>
      <c r="F1590">
        <v>0</v>
      </c>
      <c r="G1590" t="s">
        <v>78</v>
      </c>
      <c r="H1590" t="str">
        <f>VLOOKUP(Tabla3[[#This Row],[DESCRIPCION MATERIAL]],'CODIGO MAT'!$C$2:$D$390,2,FALSE)</f>
        <v>AVI0000146</v>
      </c>
    </row>
    <row r="1591" spans="1:11" x14ac:dyDescent="0.25">
      <c r="A1591" t="s">
        <v>1496</v>
      </c>
      <c r="B1591" t="s">
        <v>521</v>
      </c>
      <c r="C1591" t="s">
        <v>1497</v>
      </c>
      <c r="D1591" t="s">
        <v>51</v>
      </c>
      <c r="E1591" s="8" t="s">
        <v>263</v>
      </c>
      <c r="F1591">
        <v>0</v>
      </c>
      <c r="G1591" t="s">
        <v>78</v>
      </c>
      <c r="H1591" t="str">
        <f>VLOOKUP(Tabla3[[#This Row],[DESCRIPCION MATERIAL]],'CODIGO MAT'!$C$2:$D$390,2,FALSE)</f>
        <v>AVI0000004</v>
      </c>
    </row>
    <row r="1592" spans="1:11" x14ac:dyDescent="0.25">
      <c r="A1592" t="s">
        <v>1496</v>
      </c>
      <c r="B1592" t="s">
        <v>521</v>
      </c>
      <c r="C1592" t="s">
        <v>1497</v>
      </c>
      <c r="D1592" t="s">
        <v>51</v>
      </c>
      <c r="E1592" s="8" t="s">
        <v>267</v>
      </c>
      <c r="F1592">
        <v>0</v>
      </c>
      <c r="G1592" t="s">
        <v>78</v>
      </c>
      <c r="H1592" t="str">
        <f>VLOOKUP(Tabla3[[#This Row],[DESCRIPCION MATERIAL]],'CODIGO MAT'!$C$2:$D$390,2,FALSE)</f>
        <v>AVI0000009</v>
      </c>
    </row>
    <row r="1593" spans="1:11" x14ac:dyDescent="0.25">
      <c r="A1593" t="s">
        <v>1496</v>
      </c>
      <c r="B1593" t="s">
        <v>521</v>
      </c>
      <c r="C1593" t="s">
        <v>1497</v>
      </c>
      <c r="D1593" t="s">
        <v>51</v>
      </c>
      <c r="E1593" s="8" t="s">
        <v>276</v>
      </c>
      <c r="F1593">
        <v>0</v>
      </c>
      <c r="G1593" t="s">
        <v>78</v>
      </c>
      <c r="H1593" t="str">
        <f>VLOOKUP(Tabla3[[#This Row],[DESCRIPCION MATERIAL]],'CODIGO MAT'!$C$2:$D$390,2,FALSE)</f>
        <v>AVI0000019</v>
      </c>
    </row>
    <row r="1594" spans="1:11" x14ac:dyDescent="0.25">
      <c r="A1594" t="s">
        <v>1496</v>
      </c>
      <c r="B1594" t="s">
        <v>521</v>
      </c>
      <c r="C1594" t="s">
        <v>1497</v>
      </c>
      <c r="D1594" t="s">
        <v>51</v>
      </c>
      <c r="E1594" s="8" t="s">
        <v>67</v>
      </c>
      <c r="F1594">
        <v>0</v>
      </c>
      <c r="G1594" t="s">
        <v>78</v>
      </c>
      <c r="H1594" t="str">
        <f>VLOOKUP(Tabla3[[#This Row],[DESCRIPCION MATERIAL]],'CODIGO MAT'!$C$2:$D$390,2,FALSE)</f>
        <v>AVI0000007</v>
      </c>
    </row>
    <row r="1595" spans="1:11" x14ac:dyDescent="0.25">
      <c r="A1595" t="s">
        <v>1496</v>
      </c>
      <c r="B1595" t="s">
        <v>521</v>
      </c>
      <c r="C1595" t="s">
        <v>1497</v>
      </c>
      <c r="D1595" t="s">
        <v>51</v>
      </c>
      <c r="E1595" s="8" t="s">
        <v>263</v>
      </c>
      <c r="F1595">
        <v>0</v>
      </c>
      <c r="G1595" t="s">
        <v>78</v>
      </c>
      <c r="H1595" t="str">
        <f>VLOOKUP(Tabla3[[#This Row],[DESCRIPCION MATERIAL]],'CODIGO MAT'!$C$2:$D$390,2,FALSE)</f>
        <v>AVI0000004</v>
      </c>
    </row>
    <row r="1596" spans="1:11" x14ac:dyDescent="0.25">
      <c r="A1596" t="s">
        <v>1498</v>
      </c>
      <c r="B1596" t="s">
        <v>521</v>
      </c>
      <c r="C1596" t="s">
        <v>1499</v>
      </c>
      <c r="D1596" t="s">
        <v>50</v>
      </c>
      <c r="E1596" s="8" t="s">
        <v>179</v>
      </c>
      <c r="F1596">
        <v>0.32400000000000001</v>
      </c>
      <c r="G1596" t="s">
        <v>78</v>
      </c>
      <c r="H1596" t="str">
        <f>VLOOKUP(Tabla3[[#This Row],[DESCRIPCION MATERIAL]],'CODIGO MAT'!$C$2:$D$390,2,FALSE)</f>
        <v>TEL0000106</v>
      </c>
      <c r="J1596">
        <v>1</v>
      </c>
      <c r="K1596">
        <v>0</v>
      </c>
    </row>
    <row r="1597" spans="1:11" x14ac:dyDescent="0.25">
      <c r="A1597" t="s">
        <v>1498</v>
      </c>
      <c r="B1597" t="s">
        <v>521</v>
      </c>
      <c r="C1597" t="s">
        <v>1499</v>
      </c>
      <c r="D1597" t="s">
        <v>50</v>
      </c>
      <c r="E1597" s="8" t="s">
        <v>180</v>
      </c>
      <c r="F1597">
        <v>0.32400000000000001</v>
      </c>
      <c r="G1597" t="s">
        <v>78</v>
      </c>
      <c r="H1597" t="str">
        <f>VLOOKUP(Tabla3[[#This Row],[DESCRIPCION MATERIAL]],'CODIGO MAT'!$C$2:$D$390,2,FALSE)</f>
        <v>TEL0000107</v>
      </c>
      <c r="J1597">
        <v>1</v>
      </c>
      <c r="K1597">
        <v>0</v>
      </c>
    </row>
    <row r="1598" spans="1:11" x14ac:dyDescent="0.25">
      <c r="A1598" t="s">
        <v>1498</v>
      </c>
      <c r="B1598" t="s">
        <v>521</v>
      </c>
      <c r="C1598" t="s">
        <v>1499</v>
      </c>
      <c r="D1598" t="s">
        <v>50</v>
      </c>
      <c r="E1598" s="8" t="s">
        <v>226</v>
      </c>
      <c r="F1598">
        <v>0.219</v>
      </c>
      <c r="G1598" t="s">
        <v>78</v>
      </c>
      <c r="H1598" t="str">
        <f>VLOOKUP(Tabla3[[#This Row],[DESCRIPCION MATERIAL]],'CODIGO MAT'!$C$2:$D$390,2,FALSE)</f>
        <v>TEL0000154</v>
      </c>
      <c r="J1598">
        <v>1</v>
      </c>
      <c r="K1598">
        <v>0</v>
      </c>
    </row>
    <row r="1599" spans="1:11" x14ac:dyDescent="0.25">
      <c r="A1599" t="s">
        <v>1498</v>
      </c>
      <c r="B1599" t="s">
        <v>521</v>
      </c>
      <c r="C1599" t="s">
        <v>1499</v>
      </c>
      <c r="D1599" t="s">
        <v>50</v>
      </c>
      <c r="E1599" s="8" t="s">
        <v>227</v>
      </c>
      <c r="F1599">
        <v>0.03</v>
      </c>
      <c r="G1599" t="s">
        <v>78</v>
      </c>
      <c r="H1599" t="str">
        <f>VLOOKUP(Tabla3[[#This Row],[DESCRIPCION MATERIAL]],'CODIGO MAT'!$C$2:$D$390,2,FALSE)</f>
        <v>TEL0000155</v>
      </c>
      <c r="J1599">
        <v>1</v>
      </c>
      <c r="K1599">
        <v>0</v>
      </c>
    </row>
    <row r="1600" spans="1:11" x14ac:dyDescent="0.25">
      <c r="A1600" t="s">
        <v>1498</v>
      </c>
      <c r="B1600" t="s">
        <v>521</v>
      </c>
      <c r="C1600" t="s">
        <v>1499</v>
      </c>
      <c r="D1600" t="s">
        <v>50</v>
      </c>
      <c r="E1600" s="8" t="s">
        <v>236</v>
      </c>
      <c r="F1600">
        <v>9.6000000000000002E-2</v>
      </c>
      <c r="G1600" t="s">
        <v>78</v>
      </c>
      <c r="H1600" t="str">
        <f>VLOOKUP(Tabla3[[#This Row],[DESCRIPCION MATERIAL]],'CODIGO MAT'!$C$2:$D$390,2,FALSE)</f>
        <v>TEL0000164</v>
      </c>
      <c r="J1600">
        <v>1</v>
      </c>
      <c r="K1600">
        <v>0</v>
      </c>
    </row>
    <row r="1601" spans="1:11" x14ac:dyDescent="0.25">
      <c r="A1601" t="s">
        <v>1498</v>
      </c>
      <c r="B1601" t="s">
        <v>521</v>
      </c>
      <c r="C1601" t="s">
        <v>1499</v>
      </c>
      <c r="D1601" t="s">
        <v>51</v>
      </c>
      <c r="E1601" s="8" t="s">
        <v>67</v>
      </c>
      <c r="F1601">
        <v>0</v>
      </c>
      <c r="G1601" t="s">
        <v>78</v>
      </c>
      <c r="H1601" t="str">
        <f>VLOOKUP(Tabla3[[#This Row],[DESCRIPCION MATERIAL]],'CODIGO MAT'!$C$2:$D$390,2,FALSE)</f>
        <v>AVI0000007</v>
      </c>
    </row>
    <row r="1602" spans="1:11" x14ac:dyDescent="0.25">
      <c r="A1602" t="s">
        <v>1498</v>
      </c>
      <c r="B1602" t="s">
        <v>521</v>
      </c>
      <c r="C1602" t="s">
        <v>1499</v>
      </c>
      <c r="D1602" t="s">
        <v>51</v>
      </c>
      <c r="E1602" s="8" t="s">
        <v>282</v>
      </c>
      <c r="F1602">
        <v>0</v>
      </c>
      <c r="G1602" t="s">
        <v>78</v>
      </c>
      <c r="H1602" t="str">
        <f>VLOOKUP(Tabla3[[#This Row],[DESCRIPCION MATERIAL]],'CODIGO MAT'!$C$2:$D$390,2,FALSE)</f>
        <v>AVI0000025</v>
      </c>
    </row>
    <row r="1603" spans="1:11" x14ac:dyDescent="0.25">
      <c r="A1603" t="s">
        <v>1498</v>
      </c>
      <c r="B1603" t="s">
        <v>521</v>
      </c>
      <c r="C1603" t="s">
        <v>1499</v>
      </c>
      <c r="D1603" t="s">
        <v>1450</v>
      </c>
      <c r="E1603" s="8" t="s">
        <v>1451</v>
      </c>
      <c r="F1603">
        <v>0</v>
      </c>
      <c r="G1603" t="s">
        <v>78</v>
      </c>
      <c r="H1603" t="e">
        <f>VLOOKUP(Tabla3[[#This Row],[DESCRIPCION MATERIAL]],'CODIGO MAT'!$C$2:$D$390,2,FALSE)</f>
        <v>#N/A</v>
      </c>
      <c r="I1603" s="64" t="s">
        <v>1729</v>
      </c>
    </row>
    <row r="1604" spans="1:11" x14ac:dyDescent="0.25">
      <c r="A1604" t="s">
        <v>1498</v>
      </c>
      <c r="B1604" t="s">
        <v>521</v>
      </c>
      <c r="C1604" t="s">
        <v>1499</v>
      </c>
      <c r="D1604" t="s">
        <v>1450</v>
      </c>
      <c r="E1604" s="8" t="s">
        <v>1455</v>
      </c>
      <c r="F1604">
        <v>0</v>
      </c>
      <c r="G1604" t="s">
        <v>448</v>
      </c>
      <c r="H1604" t="e">
        <f>VLOOKUP(Tabla3[[#This Row],[DESCRIPCION MATERIAL]],'CODIGO MAT'!$C$2:$D$390,2,FALSE)</f>
        <v>#N/A</v>
      </c>
      <c r="I1604" s="64" t="s">
        <v>1729</v>
      </c>
    </row>
    <row r="1605" spans="1:11" x14ac:dyDescent="0.25">
      <c r="A1605" t="s">
        <v>1500</v>
      </c>
      <c r="B1605" t="s">
        <v>521</v>
      </c>
      <c r="C1605" t="s">
        <v>1501</v>
      </c>
      <c r="D1605" t="s">
        <v>50</v>
      </c>
      <c r="E1605" s="8" t="s">
        <v>95</v>
      </c>
      <c r="F1605">
        <v>0.84799999999999998</v>
      </c>
      <c r="G1605" t="s">
        <v>78</v>
      </c>
      <c r="H1605" t="str">
        <f>VLOOKUP(Tabla3[[#This Row],[DESCRIPCION MATERIAL]],'CODIGO MAT'!$C$2:$D$390,2,FALSE)</f>
        <v>TEL0000018</v>
      </c>
      <c r="J1605">
        <v>1</v>
      </c>
      <c r="K1605">
        <v>0</v>
      </c>
    </row>
    <row r="1606" spans="1:11" x14ac:dyDescent="0.25">
      <c r="A1606" t="s">
        <v>1500</v>
      </c>
      <c r="B1606" t="s">
        <v>521</v>
      </c>
      <c r="C1606" t="s">
        <v>1501</v>
      </c>
      <c r="D1606" t="s">
        <v>50</v>
      </c>
      <c r="E1606" s="8" t="s">
        <v>90</v>
      </c>
      <c r="F1606">
        <v>8.3000000000000004E-2</v>
      </c>
      <c r="G1606" t="s">
        <v>78</v>
      </c>
      <c r="H1606" t="str">
        <f>VLOOKUP(Tabla3[[#This Row],[DESCRIPCION MATERIAL]],'CODIGO MAT'!$C$2:$D$390,2,FALSE)</f>
        <v>TEL0000013</v>
      </c>
      <c r="J1606">
        <v>1</v>
      </c>
      <c r="K1606">
        <v>0</v>
      </c>
    </row>
    <row r="1607" spans="1:11" x14ac:dyDescent="0.25">
      <c r="A1607" t="s">
        <v>1500</v>
      </c>
      <c r="B1607" t="s">
        <v>521</v>
      </c>
      <c r="C1607" t="s">
        <v>1501</v>
      </c>
      <c r="D1607" t="s">
        <v>50</v>
      </c>
      <c r="E1607" s="8" t="s">
        <v>228</v>
      </c>
      <c r="F1607">
        <v>5.0999999999999997E-2</v>
      </c>
      <c r="G1607" t="s">
        <v>78</v>
      </c>
      <c r="H1607" t="str">
        <f>VLOOKUP(Tabla3[[#This Row],[DESCRIPCION MATERIAL]],'CODIGO MAT'!$C$2:$D$390,2,FALSE)</f>
        <v>TEL0000156</v>
      </c>
      <c r="J1607">
        <v>1</v>
      </c>
      <c r="K1607">
        <v>0</v>
      </c>
    </row>
    <row r="1608" spans="1:11" x14ac:dyDescent="0.25">
      <c r="A1608" t="s">
        <v>1500</v>
      </c>
      <c r="B1608" t="s">
        <v>521</v>
      </c>
      <c r="C1608" t="s">
        <v>1501</v>
      </c>
      <c r="D1608" t="s">
        <v>50</v>
      </c>
      <c r="E1608" s="8" t="s">
        <v>101</v>
      </c>
      <c r="F1608">
        <v>0.20499999999999999</v>
      </c>
      <c r="G1608" t="s">
        <v>78</v>
      </c>
      <c r="H1608" t="str">
        <f>VLOOKUP(Tabla3[[#This Row],[DESCRIPCION MATERIAL]],'CODIGO MAT'!$C$2:$D$390,2,FALSE)</f>
        <v>TEL0000024</v>
      </c>
      <c r="J1608">
        <v>1</v>
      </c>
      <c r="K1608">
        <v>0</v>
      </c>
    </row>
    <row r="1609" spans="1:11" x14ac:dyDescent="0.25">
      <c r="A1609" t="s">
        <v>1500</v>
      </c>
      <c r="B1609" t="s">
        <v>521</v>
      </c>
      <c r="C1609" t="s">
        <v>1501</v>
      </c>
      <c r="D1609" t="s">
        <v>50</v>
      </c>
      <c r="E1609" s="8" t="s">
        <v>88</v>
      </c>
      <c r="F1609">
        <v>4.3999999999999997E-2</v>
      </c>
      <c r="G1609" t="s">
        <v>78</v>
      </c>
      <c r="H1609" t="str">
        <f>VLOOKUP(Tabla3[[#This Row],[DESCRIPCION MATERIAL]],'CODIGO MAT'!$C$2:$D$390,2,FALSE)</f>
        <v>TEL0000011</v>
      </c>
      <c r="J1609">
        <v>1</v>
      </c>
      <c r="K1609">
        <v>0</v>
      </c>
    </row>
    <row r="1610" spans="1:11" x14ac:dyDescent="0.25">
      <c r="A1610" t="s">
        <v>1500</v>
      </c>
      <c r="B1610" t="s">
        <v>521</v>
      </c>
      <c r="C1610" t="s">
        <v>1501</v>
      </c>
      <c r="D1610" t="s">
        <v>50</v>
      </c>
      <c r="E1610" s="8" t="s">
        <v>193</v>
      </c>
      <c r="F1610">
        <v>0.23799999999999999</v>
      </c>
      <c r="G1610" t="s">
        <v>78</v>
      </c>
      <c r="H1610" t="str">
        <f>VLOOKUP(Tabla3[[#This Row],[DESCRIPCION MATERIAL]],'CODIGO MAT'!$C$2:$D$390,2,FALSE)</f>
        <v>TEL0000120</v>
      </c>
      <c r="J1610">
        <v>1</v>
      </c>
      <c r="K1610">
        <v>0</v>
      </c>
    </row>
    <row r="1611" spans="1:11" x14ac:dyDescent="0.25">
      <c r="A1611" t="s">
        <v>1500</v>
      </c>
      <c r="B1611" t="s">
        <v>521</v>
      </c>
      <c r="C1611" t="s">
        <v>1501</v>
      </c>
      <c r="D1611" t="s">
        <v>1450</v>
      </c>
      <c r="E1611" s="8" t="s">
        <v>425</v>
      </c>
      <c r="F1611">
        <v>0</v>
      </c>
      <c r="G1611" t="s">
        <v>410</v>
      </c>
      <c r="H1611" t="str">
        <f>VLOOKUP(Tabla3[[#This Row],[DESCRIPCION MATERIAL]],'CODIGO MAT'!$C$2:$D$390,2,FALSE)</f>
        <v>INS0000015</v>
      </c>
    </row>
    <row r="1612" spans="1:11" x14ac:dyDescent="0.25">
      <c r="A1612" t="s">
        <v>1500</v>
      </c>
      <c r="B1612" t="s">
        <v>521</v>
      </c>
      <c r="C1612" t="s">
        <v>1501</v>
      </c>
      <c r="D1612" t="s">
        <v>1450</v>
      </c>
      <c r="E1612" s="8" t="s">
        <v>419</v>
      </c>
      <c r="F1612">
        <v>0</v>
      </c>
      <c r="G1612" t="s">
        <v>410</v>
      </c>
      <c r="H1612" t="str">
        <f>VLOOKUP(Tabla3[[#This Row],[DESCRIPCION MATERIAL]],'CODIGO MAT'!$C$2:$D$390,2,FALSE)</f>
        <v>INS0000009</v>
      </c>
    </row>
    <row r="1613" spans="1:11" x14ac:dyDescent="0.25">
      <c r="A1613" t="s">
        <v>1500</v>
      </c>
      <c r="B1613" t="s">
        <v>521</v>
      </c>
      <c r="C1613" t="s">
        <v>1501</v>
      </c>
      <c r="D1613" t="s">
        <v>51</v>
      </c>
      <c r="E1613" s="8" t="s">
        <v>615</v>
      </c>
      <c r="F1613">
        <v>0</v>
      </c>
      <c r="G1613" t="s">
        <v>78</v>
      </c>
      <c r="H1613" t="str">
        <f>VLOOKUP(Tabla3[[#This Row],[DESCRIPCION MATERIAL]],'CODIGO MAT'!$C$2:$D$390,2,FALSE)</f>
        <v>AVI0000146</v>
      </c>
    </row>
    <row r="1614" spans="1:11" x14ac:dyDescent="0.25">
      <c r="A1614" t="s">
        <v>1500</v>
      </c>
      <c r="B1614" t="s">
        <v>521</v>
      </c>
      <c r="C1614" t="s">
        <v>1501</v>
      </c>
      <c r="D1614" t="s">
        <v>51</v>
      </c>
      <c r="E1614" s="8" t="s">
        <v>282</v>
      </c>
      <c r="F1614">
        <v>0</v>
      </c>
      <c r="G1614" t="s">
        <v>78</v>
      </c>
      <c r="H1614" t="str">
        <f>VLOOKUP(Tabla3[[#This Row],[DESCRIPCION MATERIAL]],'CODIGO MAT'!$C$2:$D$390,2,FALSE)</f>
        <v>AVI0000025</v>
      </c>
    </row>
    <row r="1615" spans="1:11" x14ac:dyDescent="0.25">
      <c r="A1615" t="s">
        <v>1500</v>
      </c>
      <c r="B1615" t="s">
        <v>521</v>
      </c>
      <c r="C1615" t="s">
        <v>1501</v>
      </c>
      <c r="D1615" t="s">
        <v>51</v>
      </c>
      <c r="E1615" s="8" t="s">
        <v>68</v>
      </c>
      <c r="F1615">
        <v>0</v>
      </c>
      <c r="G1615" t="s">
        <v>78</v>
      </c>
      <c r="H1615" t="str">
        <f>VLOOKUP(Tabla3[[#This Row],[DESCRIPCION MATERIAL]],'CODIGO MAT'!$C$2:$D$390,2,FALSE)</f>
        <v>AVI0000005</v>
      </c>
    </row>
    <row r="1616" spans="1:11" x14ac:dyDescent="0.25">
      <c r="A1616" t="s">
        <v>1502</v>
      </c>
      <c r="B1616" t="s">
        <v>521</v>
      </c>
      <c r="C1616" t="s">
        <v>1503</v>
      </c>
      <c r="D1616" t="s">
        <v>50</v>
      </c>
      <c r="E1616" s="8" t="s">
        <v>1353</v>
      </c>
      <c r="F1616">
        <v>0.19</v>
      </c>
      <c r="G1616" t="s">
        <v>78</v>
      </c>
      <c r="H1616" t="e">
        <f>VLOOKUP(Tabla3[[#This Row],[DESCRIPCION MATERIAL]],'CODIGO MAT'!$C$2:$D$390,2,FALSE)</f>
        <v>#N/A</v>
      </c>
      <c r="I1616" s="64" t="s">
        <v>50</v>
      </c>
      <c r="J1616">
        <v>1</v>
      </c>
      <c r="K1616">
        <v>0</v>
      </c>
    </row>
    <row r="1617" spans="1:11" x14ac:dyDescent="0.25">
      <c r="A1617" t="s">
        <v>1502</v>
      </c>
      <c r="B1617" t="s">
        <v>521</v>
      </c>
      <c r="C1617" t="s">
        <v>1503</v>
      </c>
      <c r="D1617" t="s">
        <v>50</v>
      </c>
      <c r="E1617" s="8" t="s">
        <v>1234</v>
      </c>
      <c r="F1617">
        <v>0.34899999999999998</v>
      </c>
      <c r="G1617" t="s">
        <v>78</v>
      </c>
      <c r="H1617" t="e">
        <f>VLOOKUP(Tabla3[[#This Row],[DESCRIPCION MATERIAL]],'CODIGO MAT'!$C$2:$D$390,2,FALSE)</f>
        <v>#N/A</v>
      </c>
      <c r="I1617" s="64" t="s">
        <v>50</v>
      </c>
      <c r="J1617">
        <v>1</v>
      </c>
      <c r="K1617">
        <v>0</v>
      </c>
    </row>
    <row r="1618" spans="1:11" x14ac:dyDescent="0.25">
      <c r="A1618" t="s">
        <v>1502</v>
      </c>
      <c r="B1618" t="s">
        <v>521</v>
      </c>
      <c r="C1618" t="s">
        <v>1503</v>
      </c>
      <c r="D1618" t="s">
        <v>50</v>
      </c>
      <c r="E1618" s="8" t="s">
        <v>1504</v>
      </c>
      <c r="F1618">
        <v>0.37</v>
      </c>
      <c r="G1618" t="s">
        <v>78</v>
      </c>
      <c r="H1618" t="e">
        <f>VLOOKUP(Tabla3[[#This Row],[DESCRIPCION MATERIAL]],'CODIGO MAT'!$C$2:$D$390,2,FALSE)</f>
        <v>#N/A</v>
      </c>
      <c r="I1618" s="64" t="s">
        <v>50</v>
      </c>
      <c r="J1618">
        <v>1</v>
      </c>
      <c r="K1618">
        <v>0</v>
      </c>
    </row>
    <row r="1619" spans="1:11" x14ac:dyDescent="0.25">
      <c r="A1619" t="s">
        <v>1502</v>
      </c>
      <c r="B1619" t="s">
        <v>521</v>
      </c>
      <c r="C1619" t="s">
        <v>1503</v>
      </c>
      <c r="D1619" t="s">
        <v>50</v>
      </c>
      <c r="E1619" s="8" t="s">
        <v>1505</v>
      </c>
      <c r="F1619">
        <v>0.24</v>
      </c>
      <c r="G1619" t="s">
        <v>78</v>
      </c>
      <c r="H1619" t="e">
        <f>VLOOKUP(Tabla3[[#This Row],[DESCRIPCION MATERIAL]],'CODIGO MAT'!$C$2:$D$390,2,FALSE)</f>
        <v>#N/A</v>
      </c>
      <c r="I1619" s="64" t="s">
        <v>50</v>
      </c>
      <c r="J1619">
        <v>1</v>
      </c>
      <c r="K1619">
        <v>0</v>
      </c>
    </row>
    <row r="1620" spans="1:11" x14ac:dyDescent="0.25">
      <c r="A1620" t="s">
        <v>1502</v>
      </c>
      <c r="B1620" t="s">
        <v>521</v>
      </c>
      <c r="C1620" t="s">
        <v>1503</v>
      </c>
      <c r="D1620" t="s">
        <v>51</v>
      </c>
      <c r="E1620" s="8" t="s">
        <v>333</v>
      </c>
      <c r="F1620">
        <v>6</v>
      </c>
      <c r="G1620" t="s">
        <v>78</v>
      </c>
      <c r="H1620" t="str">
        <f>VLOOKUP(Tabla3[[#This Row],[DESCRIPCION MATERIAL]],'CODIGO MAT'!$C$2:$D$390,2,FALSE)</f>
        <v>AVI0000071</v>
      </c>
      <c r="J1620">
        <v>1</v>
      </c>
      <c r="K1620">
        <v>0</v>
      </c>
    </row>
    <row r="1621" spans="1:11" x14ac:dyDescent="0.25">
      <c r="A1621" t="s">
        <v>1502</v>
      </c>
      <c r="B1621" t="s">
        <v>521</v>
      </c>
      <c r="C1621" t="s">
        <v>1503</v>
      </c>
      <c r="D1621" t="s">
        <v>51</v>
      </c>
      <c r="E1621" s="8" t="s">
        <v>378</v>
      </c>
      <c r="F1621">
        <v>1</v>
      </c>
      <c r="G1621" t="s">
        <v>78</v>
      </c>
      <c r="H1621" t="str">
        <f>VLOOKUP(Tabla3[[#This Row],[DESCRIPCION MATERIAL]],'CODIGO MAT'!$C$2:$D$390,2,FALSE)</f>
        <v>AVI0000115</v>
      </c>
      <c r="J1621">
        <v>1</v>
      </c>
      <c r="K1621">
        <v>0</v>
      </c>
    </row>
    <row r="1622" spans="1:11" x14ac:dyDescent="0.25">
      <c r="A1622" t="s">
        <v>1502</v>
      </c>
      <c r="B1622" t="s">
        <v>521</v>
      </c>
      <c r="C1622" t="s">
        <v>1503</v>
      </c>
      <c r="D1622" t="s">
        <v>51</v>
      </c>
      <c r="E1622" s="8" t="s">
        <v>1506</v>
      </c>
      <c r="F1622">
        <v>0.5</v>
      </c>
      <c r="G1622" t="s">
        <v>78</v>
      </c>
      <c r="H1622" t="e">
        <f>VLOOKUP(Tabla3[[#This Row],[DESCRIPCION MATERIAL]],'CODIGO MAT'!$C$2:$D$390,2,FALSE)</f>
        <v>#N/A</v>
      </c>
      <c r="I1622" s="64" t="s">
        <v>51</v>
      </c>
      <c r="J1622">
        <v>1</v>
      </c>
      <c r="K1622">
        <v>0</v>
      </c>
    </row>
    <row r="1623" spans="1:11" x14ac:dyDescent="0.25">
      <c r="A1623" t="s">
        <v>1507</v>
      </c>
      <c r="B1623" t="s">
        <v>521</v>
      </c>
      <c r="C1623" t="s">
        <v>1508</v>
      </c>
      <c r="D1623" t="s">
        <v>50</v>
      </c>
      <c r="E1623" s="8" t="s">
        <v>33</v>
      </c>
      <c r="F1623">
        <v>0.83799999999999997</v>
      </c>
      <c r="G1623" t="s">
        <v>78</v>
      </c>
      <c r="H1623" t="str">
        <f>VLOOKUP(Tabla3[[#This Row],[DESCRIPCION MATERIAL]],'CODIGO MAT'!$C$2:$D$390,2,FALSE)</f>
        <v>TEL0000043</v>
      </c>
      <c r="J1623">
        <v>1</v>
      </c>
      <c r="K1623">
        <v>0</v>
      </c>
    </row>
    <row r="1624" spans="1:11" x14ac:dyDescent="0.25">
      <c r="A1624" t="s">
        <v>1507</v>
      </c>
      <c r="B1624" t="s">
        <v>521</v>
      </c>
      <c r="C1624" t="s">
        <v>1508</v>
      </c>
      <c r="D1624" t="s">
        <v>50</v>
      </c>
      <c r="E1624" s="8" t="s">
        <v>12</v>
      </c>
      <c r="F1624">
        <v>0.45200000000000001</v>
      </c>
      <c r="G1624" t="s">
        <v>78</v>
      </c>
      <c r="H1624" t="str">
        <f>VLOOKUP(Tabla3[[#This Row],[DESCRIPCION MATERIAL]],'CODIGO MAT'!$C$2:$D$390,2,FALSE)</f>
        <v>TEL0000040</v>
      </c>
      <c r="J1624">
        <v>1</v>
      </c>
      <c r="K1624">
        <v>0</v>
      </c>
    </row>
    <row r="1625" spans="1:11" x14ac:dyDescent="0.25">
      <c r="A1625" t="s">
        <v>1507</v>
      </c>
      <c r="B1625" t="s">
        <v>521</v>
      </c>
      <c r="C1625" t="s">
        <v>1508</v>
      </c>
      <c r="D1625" t="s">
        <v>50</v>
      </c>
      <c r="E1625" s="8" t="s">
        <v>186</v>
      </c>
      <c r="F1625">
        <v>3.6999999999999998E-2</v>
      </c>
      <c r="G1625" t="s">
        <v>78</v>
      </c>
      <c r="H1625" t="str">
        <f>VLOOKUP(Tabla3[[#This Row],[DESCRIPCION MATERIAL]],'CODIGO MAT'!$C$2:$D$390,2,FALSE)</f>
        <v>TEL0000113</v>
      </c>
      <c r="J1625">
        <v>1</v>
      </c>
      <c r="K1625">
        <v>0</v>
      </c>
    </row>
    <row r="1626" spans="1:11" x14ac:dyDescent="0.25">
      <c r="A1626" t="s">
        <v>1507</v>
      </c>
      <c r="B1626" t="s">
        <v>521</v>
      </c>
      <c r="C1626" t="s">
        <v>1508</v>
      </c>
      <c r="D1626" t="s">
        <v>50</v>
      </c>
      <c r="E1626" s="8" t="s">
        <v>202</v>
      </c>
      <c r="F1626">
        <v>2.1999999999999999E-2</v>
      </c>
      <c r="G1626" t="s">
        <v>78</v>
      </c>
      <c r="H1626" t="str">
        <f>VLOOKUP(Tabla3[[#This Row],[DESCRIPCION MATERIAL]],'CODIGO MAT'!$C$2:$D$390,2,FALSE)</f>
        <v>TEL0000129</v>
      </c>
      <c r="J1626">
        <v>1</v>
      </c>
      <c r="K1626">
        <v>0</v>
      </c>
    </row>
    <row r="1627" spans="1:11" x14ac:dyDescent="0.25">
      <c r="A1627" t="s">
        <v>1507</v>
      </c>
      <c r="B1627" t="s">
        <v>521</v>
      </c>
      <c r="C1627" t="s">
        <v>1508</v>
      </c>
      <c r="D1627" t="s">
        <v>50</v>
      </c>
      <c r="E1627" s="8" t="s">
        <v>111</v>
      </c>
      <c r="F1627">
        <v>7.1999999999999995E-2</v>
      </c>
      <c r="G1627" t="s">
        <v>78</v>
      </c>
      <c r="H1627" t="str">
        <f>VLOOKUP(Tabla3[[#This Row],[DESCRIPCION MATERIAL]],'CODIGO MAT'!$C$2:$D$390,2,FALSE)</f>
        <v>TEL0000034</v>
      </c>
    </row>
    <row r="1628" spans="1:11" x14ac:dyDescent="0.25">
      <c r="A1628" t="s">
        <v>1507</v>
      </c>
      <c r="B1628" t="s">
        <v>521</v>
      </c>
      <c r="C1628" t="s">
        <v>1508</v>
      </c>
      <c r="D1628" t="s">
        <v>50</v>
      </c>
      <c r="E1628" s="8" t="s">
        <v>309</v>
      </c>
      <c r="F1628">
        <v>4.0000000000000001E-3</v>
      </c>
      <c r="G1628" t="s">
        <v>78</v>
      </c>
      <c r="H1628" t="str">
        <f>VLOOKUP(Tabla3[[#This Row],[DESCRIPCION MATERIAL]],'CODIGO MAT'!$C$2:$D$390,2,FALSE)</f>
        <v>TEL0000186</v>
      </c>
    </row>
    <row r="1629" spans="1:11" x14ac:dyDescent="0.25">
      <c r="A1629" t="s">
        <v>1507</v>
      </c>
      <c r="B1629" t="s">
        <v>521</v>
      </c>
      <c r="C1629" t="s">
        <v>1508</v>
      </c>
      <c r="D1629" t="s">
        <v>50</v>
      </c>
      <c r="E1629" s="8" t="s">
        <v>310</v>
      </c>
      <c r="F1629">
        <v>5.0000000000000001E-3</v>
      </c>
      <c r="G1629" t="s">
        <v>78</v>
      </c>
      <c r="H1629" t="str">
        <f>VLOOKUP(Tabla3[[#This Row],[DESCRIPCION MATERIAL]],'CODIGO MAT'!$C$2:$D$390,2,FALSE)</f>
        <v>TEL0000187</v>
      </c>
    </row>
    <row r="1630" spans="1:11" x14ac:dyDescent="0.25">
      <c r="A1630" t="s">
        <v>1507</v>
      </c>
      <c r="B1630" t="s">
        <v>521</v>
      </c>
      <c r="C1630" t="s">
        <v>1508</v>
      </c>
      <c r="D1630" t="s">
        <v>50</v>
      </c>
      <c r="E1630" s="8" t="s">
        <v>313</v>
      </c>
      <c r="F1630">
        <v>6.0000000000000001E-3</v>
      </c>
      <c r="G1630" t="s">
        <v>78</v>
      </c>
      <c r="H1630" t="str">
        <f>VLOOKUP(Tabla3[[#This Row],[DESCRIPCION MATERIAL]],'CODIGO MAT'!$C$2:$D$390,2,FALSE)</f>
        <v>TEL0000190</v>
      </c>
    </row>
    <row r="1631" spans="1:11" x14ac:dyDescent="0.25">
      <c r="A1631" t="s">
        <v>1509</v>
      </c>
      <c r="B1631" t="s">
        <v>521</v>
      </c>
      <c r="C1631" t="s">
        <v>1510</v>
      </c>
      <c r="D1631" t="s">
        <v>50</v>
      </c>
      <c r="E1631" s="8" t="s">
        <v>12</v>
      </c>
      <c r="F1631">
        <v>0.41799999999999998</v>
      </c>
      <c r="G1631" t="s">
        <v>78</v>
      </c>
      <c r="H1631" t="str">
        <f>VLOOKUP(Tabla3[[#This Row],[DESCRIPCION MATERIAL]],'CODIGO MAT'!$C$2:$D$390,2,FALSE)</f>
        <v>TEL0000040</v>
      </c>
      <c r="J1631">
        <v>1</v>
      </c>
      <c r="K1631">
        <v>0</v>
      </c>
    </row>
    <row r="1632" spans="1:11" x14ac:dyDescent="0.25">
      <c r="A1632" t="s">
        <v>1509</v>
      </c>
      <c r="B1632" t="s">
        <v>521</v>
      </c>
      <c r="C1632" t="s">
        <v>1510</v>
      </c>
      <c r="D1632" t="s">
        <v>50</v>
      </c>
      <c r="E1632" s="8" t="s">
        <v>126</v>
      </c>
      <c r="F1632">
        <v>0.106</v>
      </c>
      <c r="G1632" t="s">
        <v>78</v>
      </c>
      <c r="H1632" t="str">
        <f>VLOOKUP(Tabla3[[#This Row],[DESCRIPCION MATERIAL]],'CODIGO MAT'!$C$2:$D$390,2,FALSE)</f>
        <v>TEL0000053</v>
      </c>
      <c r="J1632">
        <v>1</v>
      </c>
      <c r="K1632">
        <v>0</v>
      </c>
    </row>
    <row r="1633" spans="1:11" x14ac:dyDescent="0.25">
      <c r="A1633" t="s">
        <v>1509</v>
      </c>
      <c r="B1633" t="s">
        <v>521</v>
      </c>
      <c r="C1633" t="s">
        <v>1510</v>
      </c>
      <c r="D1633" t="s">
        <v>50</v>
      </c>
      <c r="E1633" s="8" t="s">
        <v>252</v>
      </c>
      <c r="F1633">
        <v>0.311</v>
      </c>
      <c r="G1633" t="s">
        <v>78</v>
      </c>
      <c r="H1633" t="str">
        <f>VLOOKUP(Tabla3[[#This Row],[DESCRIPCION MATERIAL]],'CODIGO MAT'!$C$2:$D$390,2,FALSE)</f>
        <v>TEL0000180</v>
      </c>
      <c r="J1633">
        <v>1</v>
      </c>
      <c r="K1633">
        <v>0</v>
      </c>
    </row>
    <row r="1634" spans="1:11" x14ac:dyDescent="0.25">
      <c r="A1634" t="s">
        <v>1509</v>
      </c>
      <c r="B1634" t="s">
        <v>521</v>
      </c>
      <c r="C1634" t="s">
        <v>1510</v>
      </c>
      <c r="D1634" t="s">
        <v>50</v>
      </c>
      <c r="E1634" s="8" t="s">
        <v>1206</v>
      </c>
      <c r="F1634">
        <v>0.621</v>
      </c>
      <c r="G1634" t="s">
        <v>78</v>
      </c>
      <c r="H1634" t="e">
        <f>VLOOKUP(Tabla3[[#This Row],[DESCRIPCION MATERIAL]],'CODIGO MAT'!$C$2:$D$390,2,FALSE)</f>
        <v>#N/A</v>
      </c>
      <c r="I1634" s="64" t="s">
        <v>50</v>
      </c>
      <c r="J1634">
        <v>1</v>
      </c>
      <c r="K1634">
        <v>0</v>
      </c>
    </row>
    <row r="1635" spans="1:11" x14ac:dyDescent="0.25">
      <c r="A1635" t="s">
        <v>1509</v>
      </c>
      <c r="B1635" t="s">
        <v>521</v>
      </c>
      <c r="C1635" t="s">
        <v>1510</v>
      </c>
      <c r="D1635" t="s">
        <v>50</v>
      </c>
      <c r="E1635" s="8" t="s">
        <v>97</v>
      </c>
      <c r="F1635">
        <v>1.7999999999999999E-2</v>
      </c>
      <c r="G1635" t="s">
        <v>78</v>
      </c>
      <c r="H1635" t="str">
        <f>VLOOKUP(Tabla3[[#This Row],[DESCRIPCION MATERIAL]],'CODIGO MAT'!$C$2:$D$390,2,FALSE)</f>
        <v>TEL0000020</v>
      </c>
      <c r="J1635">
        <v>1</v>
      </c>
      <c r="K1635">
        <v>0</v>
      </c>
    </row>
    <row r="1636" spans="1:11" x14ac:dyDescent="0.25">
      <c r="A1636" t="s">
        <v>1509</v>
      </c>
      <c r="B1636" t="s">
        <v>521</v>
      </c>
      <c r="C1636" t="s">
        <v>1510</v>
      </c>
      <c r="D1636" t="s">
        <v>50</v>
      </c>
      <c r="E1636" s="8" t="s">
        <v>1474</v>
      </c>
      <c r="F1636">
        <v>8.9999999999999993E-3</v>
      </c>
      <c r="G1636" t="s">
        <v>78</v>
      </c>
      <c r="H1636" t="e">
        <f>VLOOKUP(Tabla3[[#This Row],[DESCRIPCION MATERIAL]],'CODIGO MAT'!$C$2:$D$390,2,FALSE)</f>
        <v>#N/A</v>
      </c>
      <c r="I1636" s="64" t="s">
        <v>50</v>
      </c>
      <c r="J1636">
        <v>1</v>
      </c>
      <c r="K1636">
        <v>0</v>
      </c>
    </row>
    <row r="1637" spans="1:11" x14ac:dyDescent="0.25">
      <c r="A1637" t="s">
        <v>1509</v>
      </c>
      <c r="B1637" t="s">
        <v>521</v>
      </c>
      <c r="C1637" t="s">
        <v>1510</v>
      </c>
      <c r="D1637" t="s">
        <v>50</v>
      </c>
      <c r="E1637" s="8" t="s">
        <v>186</v>
      </c>
      <c r="F1637">
        <v>0.35299999999999998</v>
      </c>
      <c r="G1637" t="s">
        <v>78</v>
      </c>
      <c r="H1637" t="str">
        <f>VLOOKUP(Tabla3[[#This Row],[DESCRIPCION MATERIAL]],'CODIGO MAT'!$C$2:$D$390,2,FALSE)</f>
        <v>TEL0000113</v>
      </c>
      <c r="J1637">
        <v>1</v>
      </c>
      <c r="K1637">
        <v>0</v>
      </c>
    </row>
    <row r="1638" spans="1:11" x14ac:dyDescent="0.25">
      <c r="A1638" t="s">
        <v>1509</v>
      </c>
      <c r="B1638" t="s">
        <v>521</v>
      </c>
      <c r="C1638" t="s">
        <v>1510</v>
      </c>
      <c r="D1638" t="s">
        <v>51</v>
      </c>
      <c r="E1638" s="8" t="s">
        <v>324</v>
      </c>
      <c r="F1638">
        <v>1.33</v>
      </c>
      <c r="G1638" t="s">
        <v>78</v>
      </c>
      <c r="H1638" t="str">
        <f>VLOOKUP(Tabla3[[#This Row],[DESCRIPCION MATERIAL]],'CODIGO MAT'!$C$2:$D$390,2,FALSE)</f>
        <v>AVI0000062</v>
      </c>
      <c r="J1638">
        <v>1</v>
      </c>
      <c r="K1638">
        <v>0</v>
      </c>
    </row>
    <row r="1639" spans="1:11" x14ac:dyDescent="0.25">
      <c r="A1639" t="s">
        <v>1509</v>
      </c>
      <c r="B1639" t="s">
        <v>521</v>
      </c>
      <c r="C1639" t="s">
        <v>1510</v>
      </c>
      <c r="D1639" t="s">
        <v>51</v>
      </c>
      <c r="E1639" s="8" t="s">
        <v>1320</v>
      </c>
      <c r="F1639">
        <v>0.41</v>
      </c>
      <c r="G1639" t="s">
        <v>78</v>
      </c>
      <c r="H1639" t="e">
        <f>VLOOKUP(Tabla3[[#This Row],[DESCRIPCION MATERIAL]],'CODIGO MAT'!$C$2:$D$390,2,FALSE)</f>
        <v>#N/A</v>
      </c>
      <c r="I1639" s="64" t="s">
        <v>51</v>
      </c>
      <c r="J1639">
        <v>1</v>
      </c>
      <c r="K1639">
        <v>0</v>
      </c>
    </row>
    <row r="1640" spans="1:11" x14ac:dyDescent="0.25">
      <c r="A1640" t="s">
        <v>1509</v>
      </c>
      <c r="B1640" t="s">
        <v>521</v>
      </c>
      <c r="C1640" t="s">
        <v>1510</v>
      </c>
      <c r="D1640" t="s">
        <v>51</v>
      </c>
      <c r="E1640" s="8" t="s">
        <v>378</v>
      </c>
      <c r="F1640">
        <v>1</v>
      </c>
      <c r="G1640" t="s">
        <v>396</v>
      </c>
      <c r="H1640" t="str">
        <f>VLOOKUP(Tabla3[[#This Row],[DESCRIPCION MATERIAL]],'CODIGO MAT'!$C$2:$D$390,2,FALSE)</f>
        <v>AVI0000115</v>
      </c>
      <c r="J1640">
        <v>1</v>
      </c>
      <c r="K1640">
        <v>0</v>
      </c>
    </row>
    <row r="1641" spans="1:11" x14ac:dyDescent="0.25">
      <c r="A1641" t="s">
        <v>1509</v>
      </c>
      <c r="B1641" t="s">
        <v>521</v>
      </c>
      <c r="C1641" t="s">
        <v>1510</v>
      </c>
      <c r="D1641" t="s">
        <v>51</v>
      </c>
      <c r="E1641" s="8" t="s">
        <v>326</v>
      </c>
      <c r="F1641">
        <v>4.67</v>
      </c>
      <c r="G1641" t="s">
        <v>78</v>
      </c>
      <c r="H1641" t="str">
        <f>VLOOKUP(Tabla3[[#This Row],[DESCRIPCION MATERIAL]],'CODIGO MAT'!$C$2:$D$390,2,FALSE)</f>
        <v>AVI0000064</v>
      </c>
      <c r="J1641">
        <v>1</v>
      </c>
      <c r="K1641">
        <v>0</v>
      </c>
    </row>
    <row r="1642" spans="1:11" x14ac:dyDescent="0.25">
      <c r="A1642" t="s">
        <v>1511</v>
      </c>
      <c r="B1642" t="s">
        <v>521</v>
      </c>
      <c r="C1642" t="s">
        <v>1512</v>
      </c>
      <c r="D1642" t="s">
        <v>50</v>
      </c>
      <c r="E1642" s="8" t="s">
        <v>195</v>
      </c>
      <c r="F1642">
        <v>0.115</v>
      </c>
      <c r="G1642" t="s">
        <v>78</v>
      </c>
      <c r="H1642" t="str">
        <f>VLOOKUP(Tabla3[[#This Row],[DESCRIPCION MATERIAL]],'CODIGO MAT'!$C$2:$D$390,2,FALSE)</f>
        <v>TEL0000122</v>
      </c>
      <c r="J1642">
        <v>1</v>
      </c>
      <c r="K1642">
        <v>0</v>
      </c>
    </row>
    <row r="1643" spans="1:11" x14ac:dyDescent="0.25">
      <c r="A1643" t="s">
        <v>1511</v>
      </c>
      <c r="B1643" t="s">
        <v>521</v>
      </c>
      <c r="C1643" t="s">
        <v>1512</v>
      </c>
      <c r="D1643" t="s">
        <v>50</v>
      </c>
      <c r="E1643" s="8" t="s">
        <v>1351</v>
      </c>
      <c r="F1643">
        <v>0.18099999999999999</v>
      </c>
      <c r="G1643" t="s">
        <v>78</v>
      </c>
      <c r="H1643" t="e">
        <f>VLOOKUP(Tabla3[[#This Row],[DESCRIPCION MATERIAL]],'CODIGO MAT'!$C$2:$D$390,2,FALSE)</f>
        <v>#N/A</v>
      </c>
      <c r="I1643" s="64" t="s">
        <v>50</v>
      </c>
      <c r="J1643">
        <v>1</v>
      </c>
      <c r="K1643">
        <v>0</v>
      </c>
    </row>
    <row r="1644" spans="1:11" x14ac:dyDescent="0.25">
      <c r="A1644" t="s">
        <v>1511</v>
      </c>
      <c r="B1644" t="s">
        <v>521</v>
      </c>
      <c r="C1644" t="s">
        <v>1512</v>
      </c>
      <c r="D1644" t="s">
        <v>50</v>
      </c>
      <c r="E1644" s="8" t="s">
        <v>1244</v>
      </c>
      <c r="F1644">
        <v>0.86</v>
      </c>
      <c r="G1644" t="s">
        <v>78</v>
      </c>
      <c r="H1644" t="e">
        <f>VLOOKUP(Tabla3[[#This Row],[DESCRIPCION MATERIAL]],'CODIGO MAT'!$C$2:$D$390,2,FALSE)</f>
        <v>#N/A</v>
      </c>
      <c r="I1644" s="64" t="s">
        <v>50</v>
      </c>
      <c r="J1644">
        <v>1</v>
      </c>
      <c r="K1644">
        <v>0</v>
      </c>
    </row>
    <row r="1645" spans="1:11" x14ac:dyDescent="0.25">
      <c r="A1645" t="s">
        <v>1511</v>
      </c>
      <c r="B1645" t="s">
        <v>521</v>
      </c>
      <c r="C1645" t="s">
        <v>1512</v>
      </c>
      <c r="D1645" t="s">
        <v>50</v>
      </c>
      <c r="E1645" s="8" t="s">
        <v>234</v>
      </c>
      <c r="F1645">
        <v>7.6999999999999999E-2</v>
      </c>
      <c r="G1645" t="s">
        <v>78</v>
      </c>
      <c r="H1645" t="str">
        <f>VLOOKUP(Tabla3[[#This Row],[DESCRIPCION MATERIAL]],'CODIGO MAT'!$C$2:$D$390,2,FALSE)</f>
        <v>TEL0000162</v>
      </c>
      <c r="J1645">
        <v>1</v>
      </c>
      <c r="K1645">
        <v>0</v>
      </c>
    </row>
    <row r="1646" spans="1:11" x14ac:dyDescent="0.25">
      <c r="A1646" t="s">
        <v>1511</v>
      </c>
      <c r="B1646" t="s">
        <v>521</v>
      </c>
      <c r="C1646" t="s">
        <v>1512</v>
      </c>
      <c r="D1646" t="s">
        <v>50</v>
      </c>
      <c r="E1646" s="8" t="s">
        <v>1212</v>
      </c>
      <c r="F1646">
        <v>0.51500000000000001</v>
      </c>
      <c r="G1646" t="s">
        <v>78</v>
      </c>
      <c r="H1646" t="e">
        <f>VLOOKUP(Tabla3[[#This Row],[DESCRIPCION MATERIAL]],'CODIGO MAT'!$C$2:$D$390,2,FALSE)</f>
        <v>#N/A</v>
      </c>
      <c r="I1646" s="64" t="s">
        <v>50</v>
      </c>
      <c r="J1646">
        <v>1</v>
      </c>
      <c r="K1646">
        <v>0</v>
      </c>
    </row>
    <row r="1647" spans="1:11" x14ac:dyDescent="0.25">
      <c r="A1647" t="s">
        <v>1511</v>
      </c>
      <c r="B1647" t="s">
        <v>521</v>
      </c>
      <c r="C1647" t="s">
        <v>1512</v>
      </c>
      <c r="D1647" t="s">
        <v>50</v>
      </c>
      <c r="E1647" s="8" t="s">
        <v>1226</v>
      </c>
      <c r="F1647">
        <v>0.41499999999999998</v>
      </c>
      <c r="G1647" t="s">
        <v>78</v>
      </c>
      <c r="H1647" t="e">
        <f>VLOOKUP(Tabla3[[#This Row],[DESCRIPCION MATERIAL]],'CODIGO MAT'!$C$2:$D$390,2,FALSE)</f>
        <v>#N/A</v>
      </c>
      <c r="I1647" s="64" t="s">
        <v>50</v>
      </c>
      <c r="J1647">
        <v>1</v>
      </c>
      <c r="K1647">
        <v>0</v>
      </c>
    </row>
    <row r="1648" spans="1:11" x14ac:dyDescent="0.25">
      <c r="A1648" t="s">
        <v>1511</v>
      </c>
      <c r="B1648" t="s">
        <v>521</v>
      </c>
      <c r="C1648" t="s">
        <v>1512</v>
      </c>
      <c r="D1648" t="s">
        <v>50</v>
      </c>
      <c r="E1648" s="8" t="s">
        <v>1241</v>
      </c>
      <c r="F1648">
        <v>0.41499999999999998</v>
      </c>
      <c r="G1648" t="s">
        <v>78</v>
      </c>
      <c r="H1648" t="e">
        <f>VLOOKUP(Tabla3[[#This Row],[DESCRIPCION MATERIAL]],'CODIGO MAT'!$C$2:$D$390,2,FALSE)</f>
        <v>#N/A</v>
      </c>
      <c r="I1648" s="64" t="s">
        <v>50</v>
      </c>
      <c r="J1648">
        <v>1</v>
      </c>
      <c r="K1648">
        <v>0</v>
      </c>
    </row>
    <row r="1649" spans="1:11" x14ac:dyDescent="0.25">
      <c r="A1649" t="s">
        <v>1511</v>
      </c>
      <c r="B1649" t="s">
        <v>521</v>
      </c>
      <c r="C1649" t="s">
        <v>1512</v>
      </c>
      <c r="D1649" t="s">
        <v>50</v>
      </c>
      <c r="E1649" s="8" t="s">
        <v>1257</v>
      </c>
      <c r="F1649">
        <v>0.36</v>
      </c>
      <c r="G1649" t="s">
        <v>78</v>
      </c>
      <c r="H1649" t="e">
        <f>VLOOKUP(Tabla3[[#This Row],[DESCRIPCION MATERIAL]],'CODIGO MAT'!$C$2:$D$390,2,FALSE)</f>
        <v>#N/A</v>
      </c>
      <c r="I1649" s="64" t="s">
        <v>50</v>
      </c>
      <c r="J1649">
        <v>1</v>
      </c>
      <c r="K1649">
        <v>0</v>
      </c>
    </row>
    <row r="1650" spans="1:11" x14ac:dyDescent="0.25">
      <c r="A1650" t="s">
        <v>1511</v>
      </c>
      <c r="B1650" t="s">
        <v>521</v>
      </c>
      <c r="C1650" t="s">
        <v>1512</v>
      </c>
      <c r="D1650" t="s">
        <v>50</v>
      </c>
      <c r="E1650" s="8" t="s">
        <v>192</v>
      </c>
      <c r="F1650">
        <v>2.5999999999999999E-2</v>
      </c>
      <c r="G1650" t="s">
        <v>78</v>
      </c>
      <c r="H1650" t="str">
        <f>VLOOKUP(Tabla3[[#This Row],[DESCRIPCION MATERIAL]],'CODIGO MAT'!$C$2:$D$390,2,FALSE)</f>
        <v>TEL0000119</v>
      </c>
      <c r="J1650">
        <v>1</v>
      </c>
      <c r="K1650">
        <v>0</v>
      </c>
    </row>
    <row r="1651" spans="1:11" x14ac:dyDescent="0.25">
      <c r="A1651" t="s">
        <v>1511</v>
      </c>
      <c r="B1651" t="s">
        <v>521</v>
      </c>
      <c r="C1651" t="s">
        <v>1512</v>
      </c>
      <c r="D1651" t="s">
        <v>51</v>
      </c>
      <c r="E1651" s="8" t="s">
        <v>379</v>
      </c>
      <c r="F1651">
        <v>1</v>
      </c>
      <c r="G1651" t="s">
        <v>396</v>
      </c>
      <c r="H1651" t="str">
        <f>VLOOKUP(Tabla3[[#This Row],[DESCRIPCION MATERIAL]],'CODIGO MAT'!$C$2:$D$390,2,FALSE)</f>
        <v>AVI0000116</v>
      </c>
      <c r="J1651">
        <v>1</v>
      </c>
      <c r="K1651">
        <v>0</v>
      </c>
    </row>
    <row r="1652" spans="1:11" x14ac:dyDescent="0.25">
      <c r="A1652" t="s">
        <v>1511</v>
      </c>
      <c r="B1652" t="s">
        <v>521</v>
      </c>
      <c r="C1652" t="s">
        <v>1512</v>
      </c>
      <c r="D1652" t="s">
        <v>51</v>
      </c>
      <c r="E1652" s="8" t="s">
        <v>354</v>
      </c>
      <c r="F1652">
        <v>1.67</v>
      </c>
      <c r="G1652" t="s">
        <v>78</v>
      </c>
      <c r="H1652" t="str">
        <f>VLOOKUP(Tabla3[[#This Row],[DESCRIPCION MATERIAL]],'CODIGO MAT'!$C$2:$D$390,2,FALSE)</f>
        <v>AVI0000092</v>
      </c>
      <c r="J1652">
        <v>1</v>
      </c>
      <c r="K1652">
        <v>0</v>
      </c>
    </row>
    <row r="1653" spans="1:11" x14ac:dyDescent="0.25">
      <c r="A1653" t="s">
        <v>1511</v>
      </c>
      <c r="B1653" t="s">
        <v>521</v>
      </c>
      <c r="C1653" t="s">
        <v>1512</v>
      </c>
      <c r="D1653" t="s">
        <v>51</v>
      </c>
      <c r="E1653" s="8" t="s">
        <v>1333</v>
      </c>
      <c r="F1653">
        <v>0.36</v>
      </c>
      <c r="G1653" t="s">
        <v>78</v>
      </c>
      <c r="H1653" t="e">
        <f>VLOOKUP(Tabla3[[#This Row],[DESCRIPCION MATERIAL]],'CODIGO MAT'!$C$2:$D$390,2,FALSE)</f>
        <v>#N/A</v>
      </c>
      <c r="I1653" s="64" t="s">
        <v>51</v>
      </c>
    </row>
    <row r="1654" spans="1:11" x14ac:dyDescent="0.25">
      <c r="A1654" t="s">
        <v>1513</v>
      </c>
      <c r="B1654" t="s">
        <v>521</v>
      </c>
      <c r="C1654" t="s">
        <v>1514</v>
      </c>
      <c r="D1654" t="s">
        <v>50</v>
      </c>
      <c r="E1654" s="8" t="s">
        <v>197</v>
      </c>
      <c r="F1654">
        <v>1.7999999999999999E-2</v>
      </c>
      <c r="G1654" t="s">
        <v>78</v>
      </c>
      <c r="H1654" t="str">
        <f>VLOOKUP(Tabla3[[#This Row],[DESCRIPCION MATERIAL]],'CODIGO MAT'!$C$2:$D$390,2,FALSE)</f>
        <v>TEL0000124</v>
      </c>
      <c r="J1654">
        <v>1</v>
      </c>
      <c r="K1654">
        <v>0</v>
      </c>
    </row>
    <row r="1655" spans="1:11" x14ac:dyDescent="0.25">
      <c r="A1655" t="s">
        <v>1513</v>
      </c>
      <c r="B1655" t="s">
        <v>521</v>
      </c>
      <c r="C1655" t="s">
        <v>1514</v>
      </c>
      <c r="D1655" t="s">
        <v>50</v>
      </c>
      <c r="E1655" s="8" t="s">
        <v>196</v>
      </c>
      <c r="F1655">
        <v>6.3E-2</v>
      </c>
      <c r="G1655" t="s">
        <v>78</v>
      </c>
      <c r="H1655" t="str">
        <f>VLOOKUP(Tabla3[[#This Row],[DESCRIPCION MATERIAL]],'CODIGO MAT'!$C$2:$D$390,2,FALSE)</f>
        <v>TEL0000123</v>
      </c>
      <c r="J1655">
        <v>1</v>
      </c>
      <c r="K1655">
        <v>0</v>
      </c>
    </row>
    <row r="1656" spans="1:11" x14ac:dyDescent="0.25">
      <c r="A1656" t="s">
        <v>1513</v>
      </c>
      <c r="B1656" t="s">
        <v>521</v>
      </c>
      <c r="C1656" t="s">
        <v>1514</v>
      </c>
      <c r="D1656" t="s">
        <v>50</v>
      </c>
      <c r="E1656" s="8" t="s">
        <v>177</v>
      </c>
      <c r="F1656">
        <v>0.14299999999999999</v>
      </c>
      <c r="G1656" t="s">
        <v>78</v>
      </c>
      <c r="H1656" t="str">
        <f>VLOOKUP(Tabla3[[#This Row],[DESCRIPCION MATERIAL]],'CODIGO MAT'!$C$2:$D$390,2,FALSE)</f>
        <v>TEL0000104</v>
      </c>
      <c r="J1656">
        <v>1</v>
      </c>
      <c r="K1656">
        <v>0</v>
      </c>
    </row>
    <row r="1657" spans="1:11" x14ac:dyDescent="0.25">
      <c r="A1657" t="s">
        <v>1513</v>
      </c>
      <c r="B1657" t="s">
        <v>521</v>
      </c>
      <c r="C1657" t="s">
        <v>1514</v>
      </c>
      <c r="D1657" t="s">
        <v>50</v>
      </c>
      <c r="E1657" s="8" t="s">
        <v>1360</v>
      </c>
      <c r="F1657">
        <v>5.1999999999999998E-2</v>
      </c>
      <c r="G1657" t="s">
        <v>78</v>
      </c>
      <c r="H1657" t="e">
        <f>VLOOKUP(Tabla3[[#This Row],[DESCRIPCION MATERIAL]],'CODIGO MAT'!$C$2:$D$390,2,FALSE)</f>
        <v>#N/A</v>
      </c>
      <c r="I1657" s="64" t="s">
        <v>50</v>
      </c>
      <c r="J1657">
        <v>1</v>
      </c>
      <c r="K1657">
        <v>0</v>
      </c>
    </row>
    <row r="1658" spans="1:11" x14ac:dyDescent="0.25">
      <c r="A1658" t="s">
        <v>1513</v>
      </c>
      <c r="B1658" t="s">
        <v>521</v>
      </c>
      <c r="C1658" t="s">
        <v>1514</v>
      </c>
      <c r="D1658" t="s">
        <v>50</v>
      </c>
      <c r="E1658" s="8" t="s">
        <v>1314</v>
      </c>
      <c r="F1658">
        <v>0.08</v>
      </c>
      <c r="G1658" t="s">
        <v>78</v>
      </c>
      <c r="H1658" t="e">
        <f>VLOOKUP(Tabla3[[#This Row],[DESCRIPCION MATERIAL]],'CODIGO MAT'!$C$2:$D$390,2,FALSE)</f>
        <v>#N/A</v>
      </c>
      <c r="I1658" s="64" t="s">
        <v>50</v>
      </c>
      <c r="J1658">
        <v>1</v>
      </c>
      <c r="K1658">
        <v>0</v>
      </c>
    </row>
    <row r="1659" spans="1:11" x14ac:dyDescent="0.25">
      <c r="A1659" t="s">
        <v>1513</v>
      </c>
      <c r="B1659" t="s">
        <v>521</v>
      </c>
      <c r="C1659" t="s">
        <v>1514</v>
      </c>
      <c r="D1659" t="s">
        <v>50</v>
      </c>
      <c r="E1659" s="8" t="s">
        <v>1515</v>
      </c>
      <c r="F1659">
        <v>0.45400000000000001</v>
      </c>
      <c r="G1659" t="s">
        <v>78</v>
      </c>
      <c r="H1659" t="e">
        <f>VLOOKUP(Tabla3[[#This Row],[DESCRIPCION MATERIAL]],'CODIGO MAT'!$C$2:$D$390,2,FALSE)</f>
        <v>#N/A</v>
      </c>
      <c r="I1659" s="64" t="s">
        <v>50</v>
      </c>
      <c r="J1659">
        <v>1</v>
      </c>
      <c r="K1659">
        <v>0</v>
      </c>
    </row>
    <row r="1660" spans="1:11" x14ac:dyDescent="0.25">
      <c r="A1660" t="s">
        <v>1513</v>
      </c>
      <c r="B1660" t="s">
        <v>521</v>
      </c>
      <c r="C1660" t="s">
        <v>1514</v>
      </c>
      <c r="D1660" t="s">
        <v>50</v>
      </c>
      <c r="E1660" s="8" t="s">
        <v>1211</v>
      </c>
      <c r="F1660">
        <v>0.90700000000000003</v>
      </c>
      <c r="G1660" t="s">
        <v>78</v>
      </c>
      <c r="H1660" t="e">
        <f>VLOOKUP(Tabla3[[#This Row],[DESCRIPCION MATERIAL]],'CODIGO MAT'!$C$2:$D$390,2,FALSE)</f>
        <v>#N/A</v>
      </c>
      <c r="I1660" s="64" t="s">
        <v>50</v>
      </c>
      <c r="J1660">
        <v>1</v>
      </c>
      <c r="K1660">
        <v>0</v>
      </c>
    </row>
    <row r="1661" spans="1:11" x14ac:dyDescent="0.25">
      <c r="A1661" t="s">
        <v>1513</v>
      </c>
      <c r="B1661" t="s">
        <v>521</v>
      </c>
      <c r="C1661" t="s">
        <v>1514</v>
      </c>
      <c r="D1661" t="s">
        <v>50</v>
      </c>
      <c r="E1661" s="8" t="s">
        <v>1240</v>
      </c>
      <c r="F1661">
        <v>0.311</v>
      </c>
      <c r="G1661" t="s">
        <v>78</v>
      </c>
      <c r="H1661" t="e">
        <f>VLOOKUP(Tabla3[[#This Row],[DESCRIPCION MATERIAL]],'CODIGO MAT'!$C$2:$D$390,2,FALSE)</f>
        <v>#N/A</v>
      </c>
      <c r="I1661" s="64" t="s">
        <v>50</v>
      </c>
      <c r="J1661">
        <v>1</v>
      </c>
      <c r="K1661">
        <v>0</v>
      </c>
    </row>
    <row r="1662" spans="1:11" x14ac:dyDescent="0.25">
      <c r="A1662" t="s">
        <v>1513</v>
      </c>
      <c r="B1662" t="s">
        <v>521</v>
      </c>
      <c r="C1662" t="s">
        <v>1514</v>
      </c>
      <c r="D1662" t="s">
        <v>50</v>
      </c>
      <c r="E1662" s="8" t="s">
        <v>1241</v>
      </c>
      <c r="F1662">
        <v>0.255</v>
      </c>
      <c r="G1662" t="s">
        <v>78</v>
      </c>
      <c r="H1662" t="e">
        <f>VLOOKUP(Tabla3[[#This Row],[DESCRIPCION MATERIAL]],'CODIGO MAT'!$C$2:$D$390,2,FALSE)</f>
        <v>#N/A</v>
      </c>
      <c r="I1662" s="64" t="s">
        <v>50</v>
      </c>
      <c r="J1662">
        <v>1</v>
      </c>
      <c r="K1662">
        <v>0</v>
      </c>
    </row>
    <row r="1663" spans="1:11" x14ac:dyDescent="0.25">
      <c r="A1663" t="s">
        <v>1513</v>
      </c>
      <c r="B1663" t="s">
        <v>521</v>
      </c>
      <c r="C1663" t="s">
        <v>1514</v>
      </c>
      <c r="D1663" t="s">
        <v>51</v>
      </c>
      <c r="E1663" s="8" t="s">
        <v>1516</v>
      </c>
      <c r="F1663">
        <v>0.05</v>
      </c>
      <c r="G1663" t="s">
        <v>78</v>
      </c>
      <c r="H1663" t="e">
        <f>VLOOKUP(Tabla3[[#This Row],[DESCRIPCION MATERIAL]],'CODIGO MAT'!$C$2:$D$390,2,FALSE)</f>
        <v>#N/A</v>
      </c>
      <c r="I1663" s="64" t="s">
        <v>51</v>
      </c>
      <c r="J1663">
        <v>1</v>
      </c>
      <c r="K1663">
        <v>0</v>
      </c>
    </row>
    <row r="1664" spans="1:11" x14ac:dyDescent="0.25">
      <c r="A1664" t="s">
        <v>1513</v>
      </c>
      <c r="B1664" t="s">
        <v>521</v>
      </c>
      <c r="C1664" t="s">
        <v>1514</v>
      </c>
      <c r="D1664" t="s">
        <v>51</v>
      </c>
      <c r="E1664" s="8" t="s">
        <v>331</v>
      </c>
      <c r="F1664">
        <v>0.2</v>
      </c>
      <c r="G1664" t="s">
        <v>78</v>
      </c>
      <c r="H1664" t="str">
        <f>VLOOKUP(Tabla3[[#This Row],[DESCRIPCION MATERIAL]],'CODIGO MAT'!$C$2:$D$390,2,FALSE)</f>
        <v>AVI0000069</v>
      </c>
      <c r="J1664">
        <v>1</v>
      </c>
      <c r="K1664">
        <v>0</v>
      </c>
    </row>
    <row r="1665" spans="1:11" x14ac:dyDescent="0.25">
      <c r="A1665" t="s">
        <v>1513</v>
      </c>
      <c r="B1665" t="s">
        <v>521</v>
      </c>
      <c r="C1665" t="s">
        <v>1514</v>
      </c>
      <c r="D1665" t="s">
        <v>51</v>
      </c>
      <c r="E1665" s="8" t="s">
        <v>378</v>
      </c>
      <c r="F1665">
        <v>1</v>
      </c>
      <c r="G1665" t="s">
        <v>396</v>
      </c>
      <c r="H1665" t="str">
        <f>VLOOKUP(Tabla3[[#This Row],[DESCRIPCION MATERIAL]],'CODIGO MAT'!$C$2:$D$390,2,FALSE)</f>
        <v>AVI0000115</v>
      </c>
      <c r="J1665">
        <v>1</v>
      </c>
      <c r="K1665">
        <v>0</v>
      </c>
    </row>
    <row r="1666" spans="1:11" x14ac:dyDescent="0.25">
      <c r="A1666" t="s">
        <v>1513</v>
      </c>
      <c r="B1666" t="s">
        <v>521</v>
      </c>
      <c r="C1666" t="s">
        <v>1514</v>
      </c>
      <c r="D1666" t="s">
        <v>51</v>
      </c>
      <c r="E1666" s="8" t="s">
        <v>262</v>
      </c>
      <c r="F1666">
        <v>1</v>
      </c>
      <c r="G1666" t="s">
        <v>396</v>
      </c>
      <c r="H1666" t="str">
        <f>VLOOKUP(Tabla3[[#This Row],[DESCRIPCION MATERIAL]],'CODIGO MAT'!$C$2:$D$390,2,FALSE)</f>
        <v>AVI0000003</v>
      </c>
    </row>
    <row r="1667" spans="1:11" x14ac:dyDescent="0.25">
      <c r="A1667" t="s">
        <v>1517</v>
      </c>
      <c r="B1667" t="s">
        <v>521</v>
      </c>
      <c r="C1667" t="s">
        <v>1518</v>
      </c>
      <c r="D1667" t="s">
        <v>50</v>
      </c>
      <c r="E1667" s="8" t="s">
        <v>118</v>
      </c>
      <c r="F1667">
        <v>0.60599999999999998</v>
      </c>
      <c r="G1667" t="s">
        <v>78</v>
      </c>
      <c r="H1667" t="str">
        <f>VLOOKUP(Tabla3[[#This Row],[DESCRIPCION MATERIAL]],'CODIGO MAT'!$C$2:$D$390,2,FALSE)</f>
        <v>TEL0000045</v>
      </c>
      <c r="J1667">
        <v>1</v>
      </c>
      <c r="K1667">
        <v>0</v>
      </c>
    </row>
    <row r="1668" spans="1:11" x14ac:dyDescent="0.25">
      <c r="A1668" t="s">
        <v>1517</v>
      </c>
      <c r="B1668" t="s">
        <v>521</v>
      </c>
      <c r="C1668" t="s">
        <v>1518</v>
      </c>
      <c r="D1668" t="s">
        <v>50</v>
      </c>
      <c r="E1668" s="8" t="s">
        <v>12</v>
      </c>
      <c r="F1668">
        <v>0.71399999999999997</v>
      </c>
      <c r="G1668" t="s">
        <v>78</v>
      </c>
      <c r="H1668" t="str">
        <f>VLOOKUP(Tabla3[[#This Row],[DESCRIPCION MATERIAL]],'CODIGO MAT'!$C$2:$D$390,2,FALSE)</f>
        <v>TEL0000040</v>
      </c>
      <c r="J1668">
        <v>1</v>
      </c>
      <c r="K1668">
        <v>0</v>
      </c>
    </row>
    <row r="1669" spans="1:11" x14ac:dyDescent="0.25">
      <c r="A1669" t="s">
        <v>1517</v>
      </c>
      <c r="B1669" t="s">
        <v>521</v>
      </c>
      <c r="C1669" t="s">
        <v>1518</v>
      </c>
      <c r="D1669" t="s">
        <v>50</v>
      </c>
      <c r="E1669" s="8" t="s">
        <v>33</v>
      </c>
      <c r="F1669">
        <v>0.155</v>
      </c>
      <c r="G1669" t="s">
        <v>78</v>
      </c>
      <c r="H1669" t="str">
        <f>VLOOKUP(Tabla3[[#This Row],[DESCRIPCION MATERIAL]],'CODIGO MAT'!$C$2:$D$390,2,FALSE)</f>
        <v>TEL0000043</v>
      </c>
      <c r="J1669">
        <v>1</v>
      </c>
      <c r="K1669">
        <v>0</v>
      </c>
    </row>
    <row r="1670" spans="1:11" x14ac:dyDescent="0.25">
      <c r="A1670" t="s">
        <v>1517</v>
      </c>
      <c r="B1670" t="s">
        <v>521</v>
      </c>
      <c r="C1670" t="s">
        <v>1518</v>
      </c>
      <c r="D1670" t="s">
        <v>50</v>
      </c>
      <c r="E1670" s="8" t="s">
        <v>204</v>
      </c>
      <c r="F1670">
        <v>0.13400000000000001</v>
      </c>
      <c r="G1670" t="s">
        <v>78</v>
      </c>
      <c r="H1670" t="str">
        <f>VLOOKUP(Tabla3[[#This Row],[DESCRIPCION MATERIAL]],'CODIGO MAT'!$C$2:$D$390,2,FALSE)</f>
        <v>TEL0000131</v>
      </c>
      <c r="J1670">
        <v>1</v>
      </c>
      <c r="K1670">
        <v>0</v>
      </c>
    </row>
    <row r="1671" spans="1:11" x14ac:dyDescent="0.25">
      <c r="A1671" t="s">
        <v>1517</v>
      </c>
      <c r="B1671" t="s">
        <v>521</v>
      </c>
      <c r="C1671" t="s">
        <v>1518</v>
      </c>
      <c r="D1671" t="s">
        <v>50</v>
      </c>
      <c r="E1671" s="8" t="s">
        <v>111</v>
      </c>
      <c r="F1671">
        <v>0.121</v>
      </c>
      <c r="G1671" t="s">
        <v>78</v>
      </c>
      <c r="H1671" t="str">
        <f>VLOOKUP(Tabla3[[#This Row],[DESCRIPCION MATERIAL]],'CODIGO MAT'!$C$2:$D$390,2,FALSE)</f>
        <v>TEL0000034</v>
      </c>
      <c r="J1671">
        <v>1</v>
      </c>
      <c r="K1671">
        <v>0</v>
      </c>
    </row>
    <row r="1672" spans="1:11" x14ac:dyDescent="0.25">
      <c r="A1672" t="s">
        <v>1517</v>
      </c>
      <c r="B1672" t="s">
        <v>521</v>
      </c>
      <c r="C1672" t="s">
        <v>1518</v>
      </c>
      <c r="D1672" t="s">
        <v>50</v>
      </c>
      <c r="E1672" s="8" t="s">
        <v>1244</v>
      </c>
      <c r="F1672">
        <v>0.50800000000000001</v>
      </c>
      <c r="G1672" t="s">
        <v>78</v>
      </c>
      <c r="H1672" t="e">
        <f>VLOOKUP(Tabla3[[#This Row],[DESCRIPCION MATERIAL]],'CODIGO MAT'!$C$2:$D$390,2,FALSE)</f>
        <v>#N/A</v>
      </c>
      <c r="I1672" s="64" t="s">
        <v>50</v>
      </c>
      <c r="J1672">
        <v>1</v>
      </c>
      <c r="K1672">
        <v>0</v>
      </c>
    </row>
    <row r="1673" spans="1:11" x14ac:dyDescent="0.25">
      <c r="A1673" t="s">
        <v>1517</v>
      </c>
      <c r="B1673" t="s">
        <v>521</v>
      </c>
      <c r="C1673" t="s">
        <v>1518</v>
      </c>
      <c r="D1673" t="s">
        <v>50</v>
      </c>
      <c r="E1673" s="8" t="s">
        <v>1232</v>
      </c>
      <c r="F1673">
        <v>0.432</v>
      </c>
      <c r="G1673" t="s">
        <v>78</v>
      </c>
      <c r="H1673" t="e">
        <f>VLOOKUP(Tabla3[[#This Row],[DESCRIPCION MATERIAL]],'CODIGO MAT'!$C$2:$D$390,2,FALSE)</f>
        <v>#N/A</v>
      </c>
      <c r="I1673" s="64" t="s">
        <v>50</v>
      </c>
      <c r="J1673">
        <v>1</v>
      </c>
      <c r="K1673">
        <v>0</v>
      </c>
    </row>
    <row r="1674" spans="1:11" x14ac:dyDescent="0.25">
      <c r="A1674" t="s">
        <v>1517</v>
      </c>
      <c r="B1674" t="s">
        <v>521</v>
      </c>
      <c r="C1674" t="s">
        <v>1518</v>
      </c>
      <c r="D1674" t="s">
        <v>50</v>
      </c>
      <c r="E1674" s="8" t="s">
        <v>11</v>
      </c>
      <c r="F1674">
        <v>3.7999999999999999E-2</v>
      </c>
      <c r="G1674" t="s">
        <v>78</v>
      </c>
      <c r="H1674" t="str">
        <f>VLOOKUP(Tabla3[[#This Row],[DESCRIPCION MATERIAL]],'CODIGO MAT'!$C$2:$D$390,2,FALSE)</f>
        <v>TEL0000149</v>
      </c>
      <c r="J1674">
        <v>1</v>
      </c>
      <c r="K1674">
        <v>0</v>
      </c>
    </row>
    <row r="1675" spans="1:11" x14ac:dyDescent="0.25">
      <c r="A1675" t="s">
        <v>1517</v>
      </c>
      <c r="B1675" t="s">
        <v>521</v>
      </c>
      <c r="C1675" t="s">
        <v>1518</v>
      </c>
      <c r="D1675" t="s">
        <v>50</v>
      </c>
      <c r="E1675" s="8" t="s">
        <v>1264</v>
      </c>
      <c r="F1675">
        <v>0</v>
      </c>
      <c r="G1675" t="s">
        <v>78</v>
      </c>
      <c r="H1675" t="e">
        <f>VLOOKUP(Tabla3[[#This Row],[DESCRIPCION MATERIAL]],'CODIGO MAT'!$C$2:$D$390,2,FALSE)</f>
        <v>#N/A</v>
      </c>
      <c r="I1675" s="64" t="s">
        <v>50</v>
      </c>
      <c r="J1675">
        <v>1</v>
      </c>
      <c r="K1675">
        <v>0</v>
      </c>
    </row>
    <row r="1676" spans="1:11" x14ac:dyDescent="0.25">
      <c r="A1676" t="s">
        <v>1517</v>
      </c>
      <c r="B1676" t="s">
        <v>521</v>
      </c>
      <c r="C1676" t="s">
        <v>1518</v>
      </c>
      <c r="D1676" t="s">
        <v>51</v>
      </c>
      <c r="E1676" s="8" t="s">
        <v>387</v>
      </c>
      <c r="F1676">
        <v>4</v>
      </c>
      <c r="G1676" t="s">
        <v>396</v>
      </c>
      <c r="H1676" t="str">
        <f>VLOOKUP(Tabla3[[#This Row],[DESCRIPCION MATERIAL]],'CODIGO MAT'!$C$2:$D$390,2,FALSE)</f>
        <v>AVI0000122</v>
      </c>
    </row>
    <row r="1677" spans="1:11" x14ac:dyDescent="0.25">
      <c r="A1677" t="s">
        <v>1517</v>
      </c>
      <c r="B1677" t="s">
        <v>521</v>
      </c>
      <c r="C1677" t="s">
        <v>1518</v>
      </c>
      <c r="D1677" t="s">
        <v>51</v>
      </c>
      <c r="E1677" s="8" t="s">
        <v>1272</v>
      </c>
      <c r="F1677">
        <v>0.4</v>
      </c>
      <c r="G1677" t="s">
        <v>78</v>
      </c>
      <c r="H1677" t="e">
        <f>VLOOKUP(Tabla3[[#This Row],[DESCRIPCION MATERIAL]],'CODIGO MAT'!$C$2:$D$390,2,FALSE)</f>
        <v>#N/A</v>
      </c>
      <c r="I1677" s="64" t="s">
        <v>51</v>
      </c>
      <c r="J1677">
        <v>1</v>
      </c>
      <c r="K1677">
        <v>0</v>
      </c>
    </row>
    <row r="1678" spans="1:11" x14ac:dyDescent="0.25">
      <c r="A1678" t="s">
        <v>1517</v>
      </c>
      <c r="B1678" t="s">
        <v>521</v>
      </c>
      <c r="C1678" t="s">
        <v>1518</v>
      </c>
      <c r="D1678" t="s">
        <v>51</v>
      </c>
      <c r="E1678" s="8" t="s">
        <v>342</v>
      </c>
      <c r="F1678">
        <v>0.59</v>
      </c>
      <c r="G1678" t="s">
        <v>78</v>
      </c>
      <c r="H1678" t="str">
        <f>VLOOKUP(Tabla3[[#This Row],[DESCRIPCION MATERIAL]],'CODIGO MAT'!$C$2:$D$390,2,FALSE)</f>
        <v>AVI0000080</v>
      </c>
    </row>
    <row r="1679" spans="1:11" x14ac:dyDescent="0.25">
      <c r="A1679" t="s">
        <v>1517</v>
      </c>
      <c r="B1679" t="s">
        <v>521</v>
      </c>
      <c r="C1679" t="s">
        <v>1518</v>
      </c>
      <c r="D1679" t="s">
        <v>50</v>
      </c>
      <c r="E1679" s="8" t="s">
        <v>111</v>
      </c>
      <c r="F1679">
        <v>0.125</v>
      </c>
      <c r="G1679" t="s">
        <v>78</v>
      </c>
      <c r="H1679" t="str">
        <f>VLOOKUP(Tabla3[[#This Row],[DESCRIPCION MATERIAL]],'CODIGO MAT'!$C$2:$D$390,2,FALSE)</f>
        <v>TEL0000034</v>
      </c>
      <c r="J1679">
        <v>1</v>
      </c>
      <c r="K1679">
        <v>0</v>
      </c>
    </row>
    <row r="1680" spans="1:11" x14ac:dyDescent="0.25">
      <c r="A1680" t="s">
        <v>1520</v>
      </c>
      <c r="B1680" t="s">
        <v>521</v>
      </c>
      <c r="C1680" t="s">
        <v>1519</v>
      </c>
      <c r="D1680" t="s">
        <v>50</v>
      </c>
      <c r="E1680" s="8" t="s">
        <v>92</v>
      </c>
      <c r="F1680">
        <v>0.51700000000000002</v>
      </c>
      <c r="G1680" t="s">
        <v>78</v>
      </c>
      <c r="H1680" t="str">
        <f>VLOOKUP(Tabla3[[#This Row],[DESCRIPCION MATERIAL]],'CODIGO MAT'!$C$2:$D$390,2,FALSE)</f>
        <v>TEL0000015</v>
      </c>
      <c r="J1680">
        <v>1</v>
      </c>
      <c r="K1680">
        <v>0</v>
      </c>
    </row>
    <row r="1681" spans="1:11" x14ac:dyDescent="0.25">
      <c r="A1681" t="s">
        <v>1520</v>
      </c>
      <c r="B1681" t="s">
        <v>521</v>
      </c>
      <c r="C1681" t="s">
        <v>1519</v>
      </c>
      <c r="D1681" t="s">
        <v>50</v>
      </c>
      <c r="E1681" s="8" t="s">
        <v>88</v>
      </c>
      <c r="F1681">
        <v>0.29799999999999999</v>
      </c>
      <c r="G1681" t="s">
        <v>78</v>
      </c>
      <c r="H1681" t="str">
        <f>VLOOKUP(Tabla3[[#This Row],[DESCRIPCION MATERIAL]],'CODIGO MAT'!$C$2:$D$390,2,FALSE)</f>
        <v>TEL0000011</v>
      </c>
      <c r="J1681">
        <v>1</v>
      </c>
      <c r="K1681">
        <v>0</v>
      </c>
    </row>
    <row r="1682" spans="1:11" x14ac:dyDescent="0.25">
      <c r="A1682" t="s">
        <v>1520</v>
      </c>
      <c r="B1682" t="s">
        <v>521</v>
      </c>
      <c r="C1682" t="s">
        <v>1519</v>
      </c>
      <c r="D1682" t="s">
        <v>50</v>
      </c>
      <c r="E1682" s="8" t="s">
        <v>226</v>
      </c>
      <c r="F1682">
        <v>0.20599999999999999</v>
      </c>
      <c r="G1682" t="s">
        <v>78</v>
      </c>
      <c r="H1682" t="str">
        <f>VLOOKUP(Tabla3[[#This Row],[DESCRIPCION MATERIAL]],'CODIGO MAT'!$C$2:$D$390,2,FALSE)</f>
        <v>TEL0000154</v>
      </c>
      <c r="J1682">
        <v>1</v>
      </c>
      <c r="K1682">
        <v>0</v>
      </c>
    </row>
    <row r="1683" spans="1:11" x14ac:dyDescent="0.25">
      <c r="A1683" t="s">
        <v>1520</v>
      </c>
      <c r="B1683" t="s">
        <v>521</v>
      </c>
      <c r="C1683" t="s">
        <v>1519</v>
      </c>
      <c r="D1683" t="s">
        <v>50</v>
      </c>
      <c r="E1683" s="8" t="s">
        <v>1521</v>
      </c>
      <c r="F1683">
        <v>2.5000000000000001E-2</v>
      </c>
      <c r="G1683" t="s">
        <v>78</v>
      </c>
      <c r="H1683" t="e">
        <f>VLOOKUP(Tabla3[[#This Row],[DESCRIPCION MATERIAL]],'CODIGO MAT'!$C$2:$D$390,2,FALSE)</f>
        <v>#N/A</v>
      </c>
      <c r="I1683" s="64" t="s">
        <v>50</v>
      </c>
      <c r="J1683">
        <v>1</v>
      </c>
      <c r="K1683">
        <v>0</v>
      </c>
    </row>
    <row r="1684" spans="1:11" x14ac:dyDescent="0.25">
      <c r="A1684" t="s">
        <v>1520</v>
      </c>
      <c r="B1684" t="s">
        <v>521</v>
      </c>
      <c r="C1684" t="s">
        <v>1519</v>
      </c>
      <c r="D1684" t="s">
        <v>50</v>
      </c>
      <c r="E1684" s="8" t="s">
        <v>611</v>
      </c>
      <c r="F1684">
        <v>2.9000000000000001E-2</v>
      </c>
      <c r="G1684" t="s">
        <v>78</v>
      </c>
      <c r="H1684" t="str">
        <f>VLOOKUP(Tabla3[[#This Row],[DESCRIPCION MATERIAL]],'CODIGO MAT'!$C$2:$D$390,2,FALSE)</f>
        <v>TEL0000192</v>
      </c>
      <c r="J1684">
        <v>1</v>
      </c>
      <c r="K1684">
        <v>0</v>
      </c>
    </row>
    <row r="1685" spans="1:11" x14ac:dyDescent="0.25">
      <c r="A1685" t="s">
        <v>1520</v>
      </c>
      <c r="B1685" t="s">
        <v>521</v>
      </c>
      <c r="C1685" t="s">
        <v>1519</v>
      </c>
      <c r="D1685" t="s">
        <v>50</v>
      </c>
      <c r="E1685" s="8" t="s">
        <v>233</v>
      </c>
      <c r="F1685">
        <v>2.1999999999999999E-2</v>
      </c>
      <c r="G1685" t="s">
        <v>78</v>
      </c>
      <c r="H1685" t="str">
        <f>VLOOKUP(Tabla3[[#This Row],[DESCRIPCION MATERIAL]],'CODIGO MAT'!$C$2:$D$390,2,FALSE)</f>
        <v>TEL0000161</v>
      </c>
      <c r="J1685">
        <v>1</v>
      </c>
      <c r="K1685">
        <v>0</v>
      </c>
    </row>
    <row r="1686" spans="1:11" x14ac:dyDescent="0.25">
      <c r="A1686" t="s">
        <v>1520</v>
      </c>
      <c r="B1686" t="s">
        <v>521</v>
      </c>
      <c r="C1686" t="s">
        <v>1519</v>
      </c>
      <c r="D1686" t="s">
        <v>50</v>
      </c>
      <c r="E1686" s="8" t="s">
        <v>232</v>
      </c>
      <c r="F1686">
        <v>0</v>
      </c>
      <c r="G1686" t="s">
        <v>78</v>
      </c>
      <c r="H1686" t="str">
        <f>VLOOKUP(Tabla3[[#This Row],[DESCRIPCION MATERIAL]],'CODIGO MAT'!$C$2:$D$390,2,FALSE)</f>
        <v>TEL0000160</v>
      </c>
      <c r="J1686">
        <v>1</v>
      </c>
      <c r="K1686">
        <v>0</v>
      </c>
    </row>
    <row r="1687" spans="1:11" x14ac:dyDescent="0.25">
      <c r="A1687" t="s">
        <v>1520</v>
      </c>
      <c r="B1687" t="s">
        <v>521</v>
      </c>
      <c r="C1687" t="s">
        <v>1519</v>
      </c>
      <c r="D1687" t="s">
        <v>50</v>
      </c>
      <c r="E1687" s="8" t="s">
        <v>92</v>
      </c>
      <c r="F1687">
        <v>0</v>
      </c>
      <c r="G1687" t="s">
        <v>78</v>
      </c>
      <c r="H1687" t="str">
        <f>VLOOKUP(Tabla3[[#This Row],[DESCRIPCION MATERIAL]],'CODIGO MAT'!$C$2:$D$390,2,FALSE)</f>
        <v>TEL0000015</v>
      </c>
      <c r="J1687">
        <v>1</v>
      </c>
      <c r="K1687">
        <v>0</v>
      </c>
    </row>
    <row r="1688" spans="1:11" x14ac:dyDescent="0.25">
      <c r="A1688" t="s">
        <v>1520</v>
      </c>
      <c r="B1688" t="s">
        <v>521</v>
      </c>
      <c r="C1688" t="s">
        <v>1519</v>
      </c>
      <c r="D1688" t="s">
        <v>51</v>
      </c>
      <c r="E1688" s="8" t="s">
        <v>430</v>
      </c>
      <c r="F1688">
        <v>3.45</v>
      </c>
      <c r="G1688" t="s">
        <v>78</v>
      </c>
      <c r="H1688" t="str">
        <f>VLOOKUP(Tabla3[[#This Row],[DESCRIPCION MATERIAL]],'CODIGO MAT'!$C$2:$D$390,2,FALSE)</f>
        <v>AVI0000142</v>
      </c>
      <c r="J1688">
        <v>1</v>
      </c>
      <c r="K1688">
        <v>0</v>
      </c>
    </row>
    <row r="1689" spans="1:11" x14ac:dyDescent="0.25">
      <c r="A1689" t="s">
        <v>1520</v>
      </c>
      <c r="B1689" t="s">
        <v>521</v>
      </c>
      <c r="C1689" t="s">
        <v>1519</v>
      </c>
      <c r="D1689" t="s">
        <v>51</v>
      </c>
      <c r="E1689" s="8" t="s">
        <v>164</v>
      </c>
      <c r="F1689">
        <v>1.6E-2</v>
      </c>
      <c r="G1689" t="s">
        <v>78</v>
      </c>
      <c r="H1689" t="str">
        <f>VLOOKUP(Tabla3[[#This Row],[DESCRIPCION MATERIAL]],'CODIGO MAT'!$C$2:$D$390,2,FALSE)</f>
        <v>TEL0000091</v>
      </c>
      <c r="J1689">
        <v>1</v>
      </c>
      <c r="K1689">
        <v>0</v>
      </c>
    </row>
    <row r="1690" spans="1:11" x14ac:dyDescent="0.25">
      <c r="A1690" t="s">
        <v>1520</v>
      </c>
      <c r="B1690" t="s">
        <v>521</v>
      </c>
      <c r="C1690" t="s">
        <v>1519</v>
      </c>
      <c r="D1690" t="s">
        <v>51</v>
      </c>
      <c r="E1690" s="8" t="s">
        <v>1522</v>
      </c>
      <c r="F1690">
        <v>4</v>
      </c>
      <c r="G1690" t="s">
        <v>396</v>
      </c>
      <c r="H1690" t="e">
        <f>VLOOKUP(Tabla3[[#This Row],[DESCRIPCION MATERIAL]],'CODIGO MAT'!$C$2:$D$390,2,FALSE)</f>
        <v>#N/A</v>
      </c>
      <c r="I1690" s="64" t="s">
        <v>51</v>
      </c>
      <c r="J1690">
        <v>1</v>
      </c>
      <c r="K1690">
        <v>0</v>
      </c>
    </row>
    <row r="1691" spans="1:11" x14ac:dyDescent="0.25">
      <c r="A1691" t="s">
        <v>1520</v>
      </c>
      <c r="B1691" t="s">
        <v>521</v>
      </c>
      <c r="C1691" t="s">
        <v>1519</v>
      </c>
      <c r="D1691" t="s">
        <v>51</v>
      </c>
      <c r="E1691" s="8" t="s">
        <v>1523</v>
      </c>
      <c r="F1691">
        <v>1.9</v>
      </c>
      <c r="G1691" t="s">
        <v>78</v>
      </c>
      <c r="H1691" t="e">
        <f>VLOOKUP(Tabla3[[#This Row],[DESCRIPCION MATERIAL]],'CODIGO MAT'!$C$2:$D$390,2,FALSE)</f>
        <v>#N/A</v>
      </c>
      <c r="I1691" s="64" t="s">
        <v>51</v>
      </c>
    </row>
    <row r="1692" spans="1:11" x14ac:dyDescent="0.25">
      <c r="A1692" t="s">
        <v>1520</v>
      </c>
      <c r="B1692" t="s">
        <v>521</v>
      </c>
      <c r="C1692" t="s">
        <v>1519</v>
      </c>
      <c r="D1692" t="s">
        <v>51</v>
      </c>
      <c r="E1692" s="8" t="s">
        <v>1524</v>
      </c>
      <c r="F1692">
        <v>7</v>
      </c>
      <c r="G1692" t="s">
        <v>396</v>
      </c>
      <c r="H1692" t="e">
        <f>VLOOKUP(Tabla3[[#This Row],[DESCRIPCION MATERIAL]],'CODIGO MAT'!$C$2:$D$390,2,FALSE)</f>
        <v>#N/A</v>
      </c>
      <c r="I1692" s="64" t="s">
        <v>51</v>
      </c>
    </row>
    <row r="1693" spans="1:11" x14ac:dyDescent="0.25">
      <c r="A1693" t="s">
        <v>1520</v>
      </c>
      <c r="B1693" t="s">
        <v>521</v>
      </c>
      <c r="C1693" t="s">
        <v>1519</v>
      </c>
      <c r="D1693" t="s">
        <v>51</v>
      </c>
      <c r="E1693" s="8" t="s">
        <v>1525</v>
      </c>
      <c r="F1693">
        <v>7</v>
      </c>
      <c r="G1693" t="s">
        <v>396</v>
      </c>
      <c r="H1693" t="e">
        <f>VLOOKUP(Tabla3[[#This Row],[DESCRIPCION MATERIAL]],'CODIGO MAT'!$C$2:$D$390,2,FALSE)</f>
        <v>#N/A</v>
      </c>
      <c r="I1693" s="64" t="s">
        <v>51</v>
      </c>
    </row>
    <row r="1694" spans="1:11" x14ac:dyDescent="0.25">
      <c r="A1694" t="s">
        <v>1520</v>
      </c>
      <c r="B1694" t="s">
        <v>521</v>
      </c>
      <c r="C1694" t="s">
        <v>1519</v>
      </c>
      <c r="D1694" t="s">
        <v>51</v>
      </c>
      <c r="E1694" s="8" t="s">
        <v>67</v>
      </c>
      <c r="F1694">
        <v>0</v>
      </c>
      <c r="G1694" t="s">
        <v>78</v>
      </c>
      <c r="H1694" t="str">
        <f>VLOOKUP(Tabla3[[#This Row],[DESCRIPCION MATERIAL]],'CODIGO MAT'!$C$2:$D$390,2,FALSE)</f>
        <v>AVI0000007</v>
      </c>
    </row>
    <row r="1695" spans="1:11" x14ac:dyDescent="0.25">
      <c r="A1695" t="s">
        <v>1530</v>
      </c>
      <c r="B1695" t="s">
        <v>521</v>
      </c>
      <c r="C1695" t="s">
        <v>1531</v>
      </c>
      <c r="D1695" t="s">
        <v>50</v>
      </c>
      <c r="E1695" s="8" t="s">
        <v>92</v>
      </c>
      <c r="F1695">
        <v>9.6000000000000002E-2</v>
      </c>
      <c r="G1695" t="s">
        <v>78</v>
      </c>
      <c r="H1695" t="str">
        <f>VLOOKUP(Tabla3[[#This Row],[DESCRIPCION MATERIAL]],'CODIGO MAT'!$C$2:$D$390,2,FALSE)</f>
        <v>TEL0000015</v>
      </c>
      <c r="J1695">
        <v>1</v>
      </c>
      <c r="K1695">
        <v>0</v>
      </c>
    </row>
    <row r="1696" spans="1:11" x14ac:dyDescent="0.25">
      <c r="A1696" t="s">
        <v>1530</v>
      </c>
      <c r="B1696" t="s">
        <v>521</v>
      </c>
      <c r="C1696" t="s">
        <v>1531</v>
      </c>
      <c r="D1696" t="s">
        <v>50</v>
      </c>
      <c r="E1696" s="8" t="s">
        <v>88</v>
      </c>
      <c r="F1696">
        <v>0.42299999999999999</v>
      </c>
      <c r="G1696" t="s">
        <v>78</v>
      </c>
      <c r="H1696" t="str">
        <f>VLOOKUP(Tabla3[[#This Row],[DESCRIPCION MATERIAL]],'CODIGO MAT'!$C$2:$D$390,2,FALSE)</f>
        <v>TEL0000011</v>
      </c>
      <c r="J1696">
        <v>1</v>
      </c>
      <c r="K1696">
        <v>0</v>
      </c>
    </row>
    <row r="1697" spans="1:11" x14ac:dyDescent="0.25">
      <c r="A1697" t="s">
        <v>1530</v>
      </c>
      <c r="B1697" t="s">
        <v>521</v>
      </c>
      <c r="C1697" t="s">
        <v>1531</v>
      </c>
      <c r="D1697" t="s">
        <v>50</v>
      </c>
      <c r="E1697" s="8" t="s">
        <v>226</v>
      </c>
      <c r="F1697">
        <v>0.20599999999999999</v>
      </c>
      <c r="G1697" t="s">
        <v>78</v>
      </c>
      <c r="H1697" t="str">
        <f>VLOOKUP(Tabla3[[#This Row],[DESCRIPCION MATERIAL]],'CODIGO MAT'!$C$2:$D$390,2,FALSE)</f>
        <v>TEL0000154</v>
      </c>
      <c r="J1697">
        <v>1</v>
      </c>
      <c r="K1697">
        <v>0</v>
      </c>
    </row>
    <row r="1698" spans="1:11" x14ac:dyDescent="0.25">
      <c r="A1698" t="s">
        <v>1530</v>
      </c>
      <c r="B1698" t="s">
        <v>521</v>
      </c>
      <c r="C1698" t="s">
        <v>1531</v>
      </c>
      <c r="D1698" t="s">
        <v>50</v>
      </c>
      <c r="E1698" s="8" t="s">
        <v>252</v>
      </c>
      <c r="F1698">
        <v>0.218</v>
      </c>
      <c r="G1698" t="s">
        <v>78</v>
      </c>
      <c r="H1698" t="str">
        <f>VLOOKUP(Tabla3[[#This Row],[DESCRIPCION MATERIAL]],'CODIGO MAT'!$C$2:$D$390,2,FALSE)</f>
        <v>TEL0000180</v>
      </c>
      <c r="J1698">
        <v>1</v>
      </c>
      <c r="K1698">
        <v>0</v>
      </c>
    </row>
    <row r="1699" spans="1:11" x14ac:dyDescent="0.25">
      <c r="A1699" t="s">
        <v>1530</v>
      </c>
      <c r="B1699" t="s">
        <v>521</v>
      </c>
      <c r="C1699" t="s">
        <v>1531</v>
      </c>
      <c r="D1699" t="s">
        <v>50</v>
      </c>
      <c r="E1699" s="8" t="s">
        <v>96</v>
      </c>
      <c r="F1699">
        <v>0.11899999999999999</v>
      </c>
      <c r="G1699" t="s">
        <v>78</v>
      </c>
      <c r="H1699" t="str">
        <f>VLOOKUP(Tabla3[[#This Row],[DESCRIPCION MATERIAL]],'CODIGO MAT'!$C$2:$D$390,2,FALSE)</f>
        <v>TEL0000019</v>
      </c>
      <c r="J1699">
        <v>1</v>
      </c>
      <c r="K1699">
        <v>0</v>
      </c>
    </row>
    <row r="1700" spans="1:11" x14ac:dyDescent="0.25">
      <c r="A1700" t="s">
        <v>1530</v>
      </c>
      <c r="B1700" t="s">
        <v>521</v>
      </c>
      <c r="C1700" t="s">
        <v>1531</v>
      </c>
      <c r="D1700" t="s">
        <v>50</v>
      </c>
      <c r="E1700" s="8" t="s">
        <v>1521</v>
      </c>
      <c r="F1700">
        <v>2.5000000000000001E-2</v>
      </c>
      <c r="G1700" t="s">
        <v>78</v>
      </c>
      <c r="H1700" t="e">
        <f>VLOOKUP(Tabla3[[#This Row],[DESCRIPCION MATERIAL]],'CODIGO MAT'!$C$2:$D$390,2,FALSE)</f>
        <v>#N/A</v>
      </c>
      <c r="I1700" s="64" t="s">
        <v>50</v>
      </c>
      <c r="J1700">
        <v>1</v>
      </c>
      <c r="K1700">
        <v>0</v>
      </c>
    </row>
    <row r="1701" spans="1:11" x14ac:dyDescent="0.25">
      <c r="A1701" t="s">
        <v>1530</v>
      </c>
      <c r="B1701" t="s">
        <v>521</v>
      </c>
      <c r="C1701" t="s">
        <v>1531</v>
      </c>
      <c r="D1701" t="s">
        <v>50</v>
      </c>
      <c r="E1701" s="8" t="s">
        <v>104</v>
      </c>
      <c r="F1701">
        <v>1.6E-2</v>
      </c>
      <c r="G1701" t="s">
        <v>78</v>
      </c>
      <c r="H1701" t="str">
        <f>VLOOKUP(Tabla3[[#This Row],[DESCRIPCION MATERIAL]],'CODIGO MAT'!$C$2:$D$390,2,FALSE)</f>
        <v>TEL0000027</v>
      </c>
      <c r="J1701">
        <v>1</v>
      </c>
      <c r="K1701">
        <v>0</v>
      </c>
    </row>
    <row r="1702" spans="1:11" x14ac:dyDescent="0.25">
      <c r="A1702" t="s">
        <v>1530</v>
      </c>
      <c r="B1702" t="s">
        <v>521</v>
      </c>
      <c r="C1702" t="s">
        <v>1531</v>
      </c>
      <c r="D1702" t="s">
        <v>51</v>
      </c>
      <c r="E1702" s="8" t="s">
        <v>405</v>
      </c>
      <c r="F1702">
        <v>1</v>
      </c>
      <c r="G1702" t="s">
        <v>396</v>
      </c>
      <c r="H1702" t="str">
        <f>VLOOKUP(Tabla3[[#This Row],[DESCRIPCION MATERIAL]],'CODIGO MAT'!$C$2:$D$390,2,FALSE)</f>
        <v>AVI0000140</v>
      </c>
      <c r="J1702">
        <v>1</v>
      </c>
      <c r="K1702">
        <v>0</v>
      </c>
    </row>
    <row r="1703" spans="1:11" x14ac:dyDescent="0.25">
      <c r="A1703" t="s">
        <v>1530</v>
      </c>
      <c r="B1703" t="s">
        <v>521</v>
      </c>
      <c r="C1703" t="s">
        <v>1531</v>
      </c>
      <c r="D1703" t="s">
        <v>1450</v>
      </c>
      <c r="E1703" s="8" t="s">
        <v>1451</v>
      </c>
      <c r="F1703">
        <v>0</v>
      </c>
      <c r="G1703" t="s">
        <v>78</v>
      </c>
      <c r="H1703" t="e">
        <f>VLOOKUP(Tabla3[[#This Row],[DESCRIPCION MATERIAL]],'CODIGO MAT'!$C$2:$D$390,2,FALSE)</f>
        <v>#N/A</v>
      </c>
      <c r="I1703" s="64" t="s">
        <v>1450</v>
      </c>
    </row>
    <row r="1704" spans="1:11" x14ac:dyDescent="0.25">
      <c r="A1704" t="s">
        <v>1530</v>
      </c>
      <c r="B1704" t="s">
        <v>521</v>
      </c>
      <c r="C1704" t="s">
        <v>1531</v>
      </c>
      <c r="D1704" t="s">
        <v>1450</v>
      </c>
      <c r="E1704" s="8" t="s">
        <v>1452</v>
      </c>
      <c r="F1704">
        <v>0</v>
      </c>
      <c r="G1704" t="s">
        <v>448</v>
      </c>
      <c r="H1704" t="e">
        <f>VLOOKUP(Tabla3[[#This Row],[DESCRIPCION MATERIAL]],'CODIGO MAT'!$C$2:$D$390,2,FALSE)</f>
        <v>#N/A</v>
      </c>
      <c r="I1704" s="64" t="s">
        <v>1450</v>
      </c>
    </row>
    <row r="1705" spans="1:11" x14ac:dyDescent="0.25">
      <c r="A1705" t="s">
        <v>1530</v>
      </c>
      <c r="B1705" t="s">
        <v>521</v>
      </c>
      <c r="C1705" t="s">
        <v>1531</v>
      </c>
      <c r="D1705" t="s">
        <v>1450</v>
      </c>
      <c r="E1705" s="8" t="s">
        <v>1453</v>
      </c>
      <c r="F1705">
        <v>0</v>
      </c>
      <c r="G1705" t="s">
        <v>448</v>
      </c>
      <c r="H1705" t="e">
        <f>VLOOKUP(Tabla3[[#This Row],[DESCRIPCION MATERIAL]],'CODIGO MAT'!$C$2:$D$390,2,FALSE)</f>
        <v>#N/A</v>
      </c>
      <c r="I1705" s="64" t="s">
        <v>1450</v>
      </c>
    </row>
    <row r="1706" spans="1:11" x14ac:dyDescent="0.25">
      <c r="A1706" t="s">
        <v>1530</v>
      </c>
      <c r="B1706" t="s">
        <v>521</v>
      </c>
      <c r="C1706" t="s">
        <v>1531</v>
      </c>
      <c r="D1706" t="s">
        <v>1450</v>
      </c>
      <c r="E1706" s="8" t="s">
        <v>1454</v>
      </c>
      <c r="F1706">
        <v>0</v>
      </c>
      <c r="G1706" t="s">
        <v>448</v>
      </c>
      <c r="H1706" t="e">
        <f>VLOOKUP(Tabla3[[#This Row],[DESCRIPCION MATERIAL]],'CODIGO MAT'!$C$2:$D$390,2,FALSE)</f>
        <v>#N/A</v>
      </c>
      <c r="I1706" s="64" t="s">
        <v>1450</v>
      </c>
    </row>
    <row r="1707" spans="1:11" x14ac:dyDescent="0.25">
      <c r="A1707" t="s">
        <v>1530</v>
      </c>
      <c r="B1707" t="s">
        <v>521</v>
      </c>
      <c r="C1707" t="s">
        <v>1531</v>
      </c>
      <c r="D1707" t="s">
        <v>1450</v>
      </c>
      <c r="E1707" s="8" t="s">
        <v>1455</v>
      </c>
      <c r="F1707">
        <v>0</v>
      </c>
      <c r="G1707" t="s">
        <v>448</v>
      </c>
      <c r="H1707" t="e">
        <f>VLOOKUP(Tabla3[[#This Row],[DESCRIPCION MATERIAL]],'CODIGO MAT'!$C$2:$D$390,2,FALSE)</f>
        <v>#N/A</v>
      </c>
      <c r="I1707" s="64" t="s">
        <v>1450</v>
      </c>
    </row>
    <row r="1708" spans="1:11" x14ac:dyDescent="0.25">
      <c r="A1708" t="s">
        <v>1530</v>
      </c>
      <c r="B1708" t="s">
        <v>521</v>
      </c>
      <c r="C1708" t="s">
        <v>1531</v>
      </c>
      <c r="D1708" t="s">
        <v>51</v>
      </c>
      <c r="E1708" s="8" t="s">
        <v>996</v>
      </c>
      <c r="F1708">
        <v>0.2</v>
      </c>
      <c r="G1708" t="s">
        <v>78</v>
      </c>
      <c r="H1708" t="str">
        <f>VLOOKUP(Tabla3[[#This Row],[DESCRIPCION MATERIAL]],'CODIGO MAT'!$C$2:$D$390,2,FALSE)</f>
        <v>AVI0000148</v>
      </c>
      <c r="J1708">
        <v>1</v>
      </c>
      <c r="K1708">
        <v>0</v>
      </c>
    </row>
    <row r="1709" spans="1:11" x14ac:dyDescent="0.25">
      <c r="A1709" t="s">
        <v>1530</v>
      </c>
      <c r="B1709" t="s">
        <v>521</v>
      </c>
      <c r="C1709" t="s">
        <v>1531</v>
      </c>
      <c r="D1709" t="s">
        <v>51</v>
      </c>
      <c r="E1709" s="8" t="s">
        <v>1526</v>
      </c>
      <c r="F1709">
        <v>0.5</v>
      </c>
      <c r="G1709" t="s">
        <v>78</v>
      </c>
      <c r="H1709" t="e">
        <f>VLOOKUP(Tabla3[[#This Row],[DESCRIPCION MATERIAL]],'CODIGO MAT'!$C$2:$D$390,2,FALSE)</f>
        <v>#N/A</v>
      </c>
      <c r="I1709" s="64" t="s">
        <v>51</v>
      </c>
    </row>
    <row r="1710" spans="1:11" x14ac:dyDescent="0.25">
      <c r="A1710" t="s">
        <v>1530</v>
      </c>
      <c r="B1710" t="s">
        <v>521</v>
      </c>
      <c r="C1710" t="s">
        <v>1531</v>
      </c>
      <c r="D1710" t="s">
        <v>51</v>
      </c>
      <c r="E1710" s="8" t="s">
        <v>1529</v>
      </c>
      <c r="F1710">
        <v>1</v>
      </c>
      <c r="G1710" t="s">
        <v>396</v>
      </c>
      <c r="H1710" t="e">
        <f>VLOOKUP(Tabla3[[#This Row],[DESCRIPCION MATERIAL]],'CODIGO MAT'!$C$2:$D$390,2,FALSE)</f>
        <v>#N/A</v>
      </c>
      <c r="I1710" s="64" t="s">
        <v>51</v>
      </c>
    </row>
    <row r="1711" spans="1:11" x14ac:dyDescent="0.25">
      <c r="A1711" t="s">
        <v>1530</v>
      </c>
      <c r="B1711" t="s">
        <v>521</v>
      </c>
      <c r="C1711" t="s">
        <v>1531</v>
      </c>
      <c r="D1711" t="s">
        <v>51</v>
      </c>
      <c r="E1711" s="8" t="s">
        <v>1527</v>
      </c>
      <c r="F1711">
        <v>1</v>
      </c>
      <c r="G1711" t="s">
        <v>396</v>
      </c>
      <c r="H1711" t="e">
        <f>VLOOKUP(Tabla3[[#This Row],[DESCRIPCION MATERIAL]],'CODIGO MAT'!$C$2:$D$390,2,FALSE)</f>
        <v>#N/A</v>
      </c>
      <c r="I1711" s="64" t="s">
        <v>51</v>
      </c>
    </row>
    <row r="1712" spans="1:11" x14ac:dyDescent="0.25">
      <c r="A1712" t="s">
        <v>1532</v>
      </c>
      <c r="B1712" t="s">
        <v>521</v>
      </c>
      <c r="C1712" t="s">
        <v>1533</v>
      </c>
      <c r="D1712" t="s">
        <v>50</v>
      </c>
      <c r="E1712" s="8" t="s">
        <v>92</v>
      </c>
      <c r="F1712">
        <v>0.51</v>
      </c>
      <c r="G1712" t="s">
        <v>78</v>
      </c>
      <c r="H1712" t="str">
        <f>VLOOKUP(Tabla3[[#This Row],[DESCRIPCION MATERIAL]],'CODIGO MAT'!$C$2:$D$390,2,FALSE)</f>
        <v>TEL0000015</v>
      </c>
      <c r="J1712">
        <v>1</v>
      </c>
      <c r="K1712">
        <v>0</v>
      </c>
    </row>
    <row r="1713" spans="1:11" x14ac:dyDescent="0.25">
      <c r="A1713" t="s">
        <v>1532</v>
      </c>
      <c r="B1713" t="s">
        <v>521</v>
      </c>
      <c r="C1713" t="s">
        <v>1533</v>
      </c>
      <c r="D1713" t="s">
        <v>50</v>
      </c>
      <c r="E1713" s="8" t="s">
        <v>88</v>
      </c>
      <c r="F1713">
        <v>0.36499999999999999</v>
      </c>
      <c r="G1713" t="s">
        <v>78</v>
      </c>
      <c r="H1713" t="str">
        <f>VLOOKUP(Tabla3[[#This Row],[DESCRIPCION MATERIAL]],'CODIGO MAT'!$C$2:$D$390,2,FALSE)</f>
        <v>TEL0000011</v>
      </c>
      <c r="J1713">
        <v>1</v>
      </c>
      <c r="K1713">
        <v>0</v>
      </c>
    </row>
    <row r="1714" spans="1:11" x14ac:dyDescent="0.25">
      <c r="A1714" t="s">
        <v>1532</v>
      </c>
      <c r="B1714" t="s">
        <v>521</v>
      </c>
      <c r="C1714" t="s">
        <v>1533</v>
      </c>
      <c r="D1714" t="s">
        <v>50</v>
      </c>
      <c r="E1714" s="8" t="s">
        <v>232</v>
      </c>
      <c r="F1714">
        <v>0.27200000000000002</v>
      </c>
      <c r="G1714" t="s">
        <v>78</v>
      </c>
      <c r="H1714" t="str">
        <f>VLOOKUP(Tabla3[[#This Row],[DESCRIPCION MATERIAL]],'CODIGO MAT'!$C$2:$D$390,2,FALSE)</f>
        <v>TEL0000160</v>
      </c>
      <c r="J1714">
        <v>1</v>
      </c>
      <c r="K1714">
        <v>0</v>
      </c>
    </row>
    <row r="1715" spans="1:11" x14ac:dyDescent="0.25">
      <c r="A1715" t="s">
        <v>1532</v>
      </c>
      <c r="B1715" t="s">
        <v>521</v>
      </c>
      <c r="C1715" t="s">
        <v>1533</v>
      </c>
      <c r="D1715" t="s">
        <v>50</v>
      </c>
      <c r="E1715" s="8" t="s">
        <v>102</v>
      </c>
      <c r="F1715">
        <v>2.3E-2</v>
      </c>
      <c r="G1715" t="s">
        <v>78</v>
      </c>
      <c r="H1715" t="str">
        <f>VLOOKUP(Tabla3[[#This Row],[DESCRIPCION MATERIAL]],'CODIGO MAT'!$C$2:$D$390,2,FALSE)</f>
        <v>TEL0000025</v>
      </c>
      <c r="J1715">
        <v>1</v>
      </c>
      <c r="K1715">
        <v>0</v>
      </c>
    </row>
    <row r="1716" spans="1:11" x14ac:dyDescent="0.25">
      <c r="A1716" t="s">
        <v>1532</v>
      </c>
      <c r="B1716" t="s">
        <v>521</v>
      </c>
      <c r="C1716" t="s">
        <v>1533</v>
      </c>
      <c r="D1716" t="s">
        <v>50</v>
      </c>
      <c r="E1716" s="8" t="s">
        <v>611</v>
      </c>
      <c r="F1716">
        <v>2.5999999999999999E-2</v>
      </c>
      <c r="G1716" t="s">
        <v>78</v>
      </c>
      <c r="H1716" t="str">
        <f>VLOOKUP(Tabla3[[#This Row],[DESCRIPCION MATERIAL]],'CODIGO MAT'!$C$2:$D$390,2,FALSE)</f>
        <v>TEL0000192</v>
      </c>
      <c r="J1716">
        <v>1</v>
      </c>
      <c r="K1716">
        <v>0</v>
      </c>
    </row>
    <row r="1717" spans="1:11" x14ac:dyDescent="0.25">
      <c r="A1717" t="s">
        <v>1532</v>
      </c>
      <c r="B1717" t="s">
        <v>521</v>
      </c>
      <c r="C1717" t="s">
        <v>1533</v>
      </c>
      <c r="D1717" t="s">
        <v>50</v>
      </c>
      <c r="E1717" s="8" t="s">
        <v>226</v>
      </c>
      <c r="F1717">
        <v>0.02</v>
      </c>
      <c r="G1717" t="s">
        <v>78</v>
      </c>
      <c r="H1717" t="str">
        <f>VLOOKUP(Tabla3[[#This Row],[DESCRIPCION MATERIAL]],'CODIGO MAT'!$C$2:$D$390,2,FALSE)</f>
        <v>TEL0000154</v>
      </c>
      <c r="J1717">
        <v>1</v>
      </c>
      <c r="K1717">
        <v>0</v>
      </c>
    </row>
    <row r="1718" spans="1:11" x14ac:dyDescent="0.25">
      <c r="A1718" t="s">
        <v>1532</v>
      </c>
      <c r="B1718" t="s">
        <v>521</v>
      </c>
      <c r="C1718" t="s">
        <v>1533</v>
      </c>
      <c r="D1718" t="s">
        <v>50</v>
      </c>
      <c r="E1718" s="8" t="s">
        <v>233</v>
      </c>
      <c r="F1718">
        <v>2.1999999999999999E-2</v>
      </c>
      <c r="G1718" t="s">
        <v>78</v>
      </c>
      <c r="H1718" t="str">
        <f>VLOOKUP(Tabla3[[#This Row],[DESCRIPCION MATERIAL]],'CODIGO MAT'!$C$2:$D$390,2,FALSE)</f>
        <v>TEL0000161</v>
      </c>
      <c r="J1718">
        <v>1</v>
      </c>
      <c r="K1718">
        <v>0</v>
      </c>
    </row>
    <row r="1719" spans="1:11" x14ac:dyDescent="0.25">
      <c r="A1719" t="s">
        <v>1532</v>
      </c>
      <c r="B1719" t="s">
        <v>521</v>
      </c>
      <c r="C1719" t="s">
        <v>1533</v>
      </c>
      <c r="D1719" t="s">
        <v>51</v>
      </c>
      <c r="E1719" s="8" t="s">
        <v>1534</v>
      </c>
      <c r="F1719">
        <v>0.09</v>
      </c>
      <c r="G1719" t="s">
        <v>78</v>
      </c>
      <c r="H1719" t="e">
        <f>VLOOKUP(Tabla3[[#This Row],[DESCRIPCION MATERIAL]],'CODIGO MAT'!$C$2:$D$390,2,FALSE)</f>
        <v>#N/A</v>
      </c>
      <c r="I1719" s="64" t="s">
        <v>51</v>
      </c>
    </row>
    <row r="1720" spans="1:11" x14ac:dyDescent="0.25">
      <c r="A1720" t="s">
        <v>1532</v>
      </c>
      <c r="B1720" t="s">
        <v>521</v>
      </c>
      <c r="C1720" t="s">
        <v>1533</v>
      </c>
      <c r="D1720" t="s">
        <v>51</v>
      </c>
      <c r="E1720" s="8" t="s">
        <v>430</v>
      </c>
      <c r="F1720">
        <v>3.95</v>
      </c>
      <c r="G1720" t="s">
        <v>78</v>
      </c>
      <c r="H1720" t="str">
        <f>VLOOKUP(Tabla3[[#This Row],[DESCRIPCION MATERIAL]],'CODIGO MAT'!$C$2:$D$390,2,FALSE)</f>
        <v>AVI0000142</v>
      </c>
    </row>
    <row r="1721" spans="1:11" x14ac:dyDescent="0.25">
      <c r="A1721" t="s">
        <v>1532</v>
      </c>
      <c r="B1721" t="s">
        <v>521</v>
      </c>
      <c r="C1721" t="s">
        <v>1533</v>
      </c>
      <c r="D1721" t="s">
        <v>51</v>
      </c>
      <c r="E1721" s="8" t="s">
        <v>613</v>
      </c>
      <c r="F1721">
        <v>0.8</v>
      </c>
      <c r="G1721" t="s">
        <v>78</v>
      </c>
      <c r="H1721" t="str">
        <f>VLOOKUP(Tabla3[[#This Row],[DESCRIPCION MATERIAL]],'CODIGO MAT'!$C$2:$D$390,2,FALSE)</f>
        <v>AVI0000144</v>
      </c>
    </row>
    <row r="1722" spans="1:11" x14ac:dyDescent="0.25">
      <c r="A1722" t="s">
        <v>1532</v>
      </c>
      <c r="B1722" t="s">
        <v>521</v>
      </c>
      <c r="C1722" t="s">
        <v>1533</v>
      </c>
      <c r="D1722" t="s">
        <v>51</v>
      </c>
      <c r="E1722" s="8" t="s">
        <v>1523</v>
      </c>
      <c r="F1722">
        <v>0.7</v>
      </c>
      <c r="G1722" t="s">
        <v>78</v>
      </c>
      <c r="H1722" t="e">
        <f>VLOOKUP(Tabla3[[#This Row],[DESCRIPCION MATERIAL]],'CODIGO MAT'!$C$2:$D$390,2,FALSE)</f>
        <v>#N/A</v>
      </c>
      <c r="I1722" s="64" t="s">
        <v>51</v>
      </c>
    </row>
    <row r="1723" spans="1:11" x14ac:dyDescent="0.25">
      <c r="A1723" t="s">
        <v>1532</v>
      </c>
      <c r="B1723" t="s">
        <v>521</v>
      </c>
      <c r="C1723" t="s">
        <v>1533</v>
      </c>
      <c r="D1723" t="s">
        <v>51</v>
      </c>
      <c r="E1723" s="8" t="s">
        <v>1524</v>
      </c>
      <c r="F1723">
        <v>8</v>
      </c>
      <c r="G1723" t="s">
        <v>78</v>
      </c>
      <c r="H1723" t="e">
        <f>VLOOKUP(Tabla3[[#This Row],[DESCRIPCION MATERIAL]],'CODIGO MAT'!$C$2:$D$390,2,FALSE)</f>
        <v>#N/A</v>
      </c>
      <c r="I1723" s="64" t="s">
        <v>51</v>
      </c>
    </row>
    <row r="1724" spans="1:11" x14ac:dyDescent="0.25">
      <c r="A1724" t="s">
        <v>1532</v>
      </c>
      <c r="B1724" t="s">
        <v>521</v>
      </c>
      <c r="C1724" t="s">
        <v>1533</v>
      </c>
      <c r="D1724" t="s">
        <v>51</v>
      </c>
      <c r="E1724" s="8" t="s">
        <v>1525</v>
      </c>
      <c r="F1724">
        <v>8</v>
      </c>
      <c r="G1724" t="s">
        <v>78</v>
      </c>
      <c r="H1724" t="e">
        <f>VLOOKUP(Tabla3[[#This Row],[DESCRIPCION MATERIAL]],'CODIGO MAT'!$C$2:$D$390,2,FALSE)</f>
        <v>#N/A</v>
      </c>
      <c r="I1724" s="64" t="s">
        <v>51</v>
      </c>
      <c r="J1724">
        <v>1</v>
      </c>
      <c r="K1724">
        <v>0</v>
      </c>
    </row>
    <row r="1725" spans="1:11" x14ac:dyDescent="0.25">
      <c r="A1725" t="s">
        <v>1530</v>
      </c>
      <c r="B1725" t="s">
        <v>521</v>
      </c>
      <c r="C1725" t="s">
        <v>1536</v>
      </c>
      <c r="D1725" t="s">
        <v>50</v>
      </c>
      <c r="E1725" s="8" t="s">
        <v>88</v>
      </c>
      <c r="F1725">
        <v>0.55000000000000004</v>
      </c>
      <c r="G1725" t="s">
        <v>78</v>
      </c>
      <c r="H1725" t="str">
        <f>VLOOKUP(Tabla3[[#This Row],[DESCRIPCION MATERIAL]],'CODIGO MAT'!$C$2:$D$390,2,FALSE)</f>
        <v>TEL0000011</v>
      </c>
      <c r="J1725">
        <v>1</v>
      </c>
      <c r="K1725">
        <v>0</v>
      </c>
    </row>
    <row r="1726" spans="1:11" x14ac:dyDescent="0.25">
      <c r="A1726" t="s">
        <v>1530</v>
      </c>
      <c r="B1726" t="s">
        <v>521</v>
      </c>
      <c r="C1726" t="s">
        <v>1536</v>
      </c>
      <c r="D1726" t="s">
        <v>50</v>
      </c>
      <c r="E1726" s="8" t="s">
        <v>81</v>
      </c>
      <c r="F1726">
        <v>0.185</v>
      </c>
      <c r="G1726" t="s">
        <v>78</v>
      </c>
      <c r="H1726" t="str">
        <f>VLOOKUP(Tabla3[[#This Row],[DESCRIPCION MATERIAL]],'CODIGO MAT'!$C$2:$D$390,2,FALSE)</f>
        <v>TEL0000004</v>
      </c>
      <c r="J1726">
        <v>1</v>
      </c>
      <c r="K1726">
        <v>0</v>
      </c>
    </row>
    <row r="1727" spans="1:11" x14ac:dyDescent="0.25">
      <c r="A1727" t="s">
        <v>1530</v>
      </c>
      <c r="B1727" t="s">
        <v>521</v>
      </c>
      <c r="C1727" t="s">
        <v>1536</v>
      </c>
      <c r="D1727" t="s">
        <v>50</v>
      </c>
      <c r="E1727" s="8" t="s">
        <v>92</v>
      </c>
      <c r="F1727">
        <v>5.7000000000000002E-2</v>
      </c>
      <c r="G1727" t="s">
        <v>78</v>
      </c>
      <c r="H1727" t="str">
        <f>VLOOKUP(Tabla3[[#This Row],[DESCRIPCION MATERIAL]],'CODIGO MAT'!$C$2:$D$390,2,FALSE)</f>
        <v>TEL0000015</v>
      </c>
      <c r="J1727">
        <v>1</v>
      </c>
      <c r="K1727">
        <v>0</v>
      </c>
    </row>
    <row r="1728" spans="1:11" x14ac:dyDescent="0.25">
      <c r="A1728" t="s">
        <v>1530</v>
      </c>
      <c r="B1728" t="s">
        <v>521</v>
      </c>
      <c r="C1728" t="s">
        <v>1536</v>
      </c>
      <c r="D1728" t="s">
        <v>50</v>
      </c>
      <c r="E1728" s="8" t="s">
        <v>104</v>
      </c>
      <c r="F1728">
        <v>3.7999999999999999E-2</v>
      </c>
      <c r="G1728" t="s">
        <v>78</v>
      </c>
      <c r="H1728" t="str">
        <f>VLOOKUP(Tabla3[[#This Row],[DESCRIPCION MATERIAL]],'CODIGO MAT'!$C$2:$D$390,2,FALSE)</f>
        <v>TEL0000027</v>
      </c>
      <c r="J1728">
        <v>1</v>
      </c>
      <c r="K1728">
        <v>0</v>
      </c>
    </row>
    <row r="1729" spans="1:11" x14ac:dyDescent="0.25">
      <c r="A1729" t="s">
        <v>1530</v>
      </c>
      <c r="B1729" t="s">
        <v>521</v>
      </c>
      <c r="C1729" t="s">
        <v>1536</v>
      </c>
      <c r="D1729" t="s">
        <v>50</v>
      </c>
      <c r="E1729" s="8" t="s">
        <v>229</v>
      </c>
      <c r="F1729">
        <v>5.1999999999999998E-2</v>
      </c>
      <c r="G1729" t="s">
        <v>78</v>
      </c>
      <c r="H1729" t="str">
        <f>VLOOKUP(Tabla3[[#This Row],[DESCRIPCION MATERIAL]],'CODIGO MAT'!$C$2:$D$390,2,FALSE)</f>
        <v>TEL0000157</v>
      </c>
      <c r="J1729">
        <v>1</v>
      </c>
      <c r="K1729">
        <v>0</v>
      </c>
    </row>
    <row r="1730" spans="1:11" x14ac:dyDescent="0.25">
      <c r="A1730" t="s">
        <v>1530</v>
      </c>
      <c r="B1730" t="s">
        <v>521</v>
      </c>
      <c r="C1730" t="s">
        <v>1536</v>
      </c>
      <c r="D1730" t="s">
        <v>50</v>
      </c>
      <c r="E1730" s="8" t="s">
        <v>232</v>
      </c>
      <c r="F1730">
        <v>3.2000000000000001E-2</v>
      </c>
      <c r="G1730" t="s">
        <v>78</v>
      </c>
      <c r="H1730" t="str">
        <f>VLOOKUP(Tabla3[[#This Row],[DESCRIPCION MATERIAL]],'CODIGO MAT'!$C$2:$D$390,2,FALSE)</f>
        <v>TEL0000160</v>
      </c>
      <c r="J1730">
        <v>1</v>
      </c>
      <c r="K1730">
        <v>0</v>
      </c>
    </row>
    <row r="1731" spans="1:11" x14ac:dyDescent="0.25">
      <c r="A1731" t="s">
        <v>1530</v>
      </c>
      <c r="B1731" t="s">
        <v>521</v>
      </c>
      <c r="C1731" t="s">
        <v>1536</v>
      </c>
      <c r="D1731" t="s">
        <v>50</v>
      </c>
      <c r="E1731" s="8" t="s">
        <v>239</v>
      </c>
      <c r="F1731">
        <v>8.4000000000000005E-2</v>
      </c>
      <c r="G1731" t="s">
        <v>78</v>
      </c>
      <c r="H1731" t="str">
        <f>VLOOKUP(Tabla3[[#This Row],[DESCRIPCION MATERIAL]],'CODIGO MAT'!$C$2:$D$390,2,FALSE)</f>
        <v>TEL0000167</v>
      </c>
      <c r="J1731">
        <v>1</v>
      </c>
      <c r="K1731">
        <v>0</v>
      </c>
    </row>
    <row r="1732" spans="1:11" x14ac:dyDescent="0.25">
      <c r="A1732" t="s">
        <v>1530</v>
      </c>
      <c r="B1732" t="s">
        <v>521</v>
      </c>
      <c r="C1732" t="s">
        <v>1536</v>
      </c>
      <c r="D1732" t="s">
        <v>51</v>
      </c>
      <c r="E1732" s="8" t="s">
        <v>405</v>
      </c>
      <c r="F1732">
        <v>1</v>
      </c>
      <c r="G1732" t="s">
        <v>78</v>
      </c>
      <c r="H1732" t="str">
        <f>VLOOKUP(Tabla3[[#This Row],[DESCRIPCION MATERIAL]],'CODIGO MAT'!$C$2:$D$390,2,FALSE)</f>
        <v>AVI0000140</v>
      </c>
      <c r="J1732">
        <v>1</v>
      </c>
      <c r="K1732">
        <v>0</v>
      </c>
    </row>
    <row r="1733" spans="1:11" x14ac:dyDescent="0.25">
      <c r="A1733" t="s">
        <v>1530</v>
      </c>
      <c r="B1733" t="s">
        <v>521</v>
      </c>
      <c r="C1733" t="s">
        <v>1536</v>
      </c>
      <c r="D1733" t="s">
        <v>51</v>
      </c>
      <c r="E1733" s="8" t="s">
        <v>996</v>
      </c>
      <c r="F1733">
        <v>0.5</v>
      </c>
      <c r="G1733" t="s">
        <v>78</v>
      </c>
      <c r="H1733" t="str">
        <f>VLOOKUP(Tabla3[[#This Row],[DESCRIPCION MATERIAL]],'CODIGO MAT'!$C$2:$D$390,2,FALSE)</f>
        <v>AVI0000148</v>
      </c>
      <c r="J1733">
        <v>1</v>
      </c>
      <c r="K1733">
        <v>0</v>
      </c>
    </row>
    <row r="1734" spans="1:11" x14ac:dyDescent="0.25">
      <c r="A1734" t="s">
        <v>1530</v>
      </c>
      <c r="B1734" t="s">
        <v>521</v>
      </c>
      <c r="C1734" t="s">
        <v>1536</v>
      </c>
      <c r="D1734" t="s">
        <v>1450</v>
      </c>
      <c r="E1734" s="8" t="s">
        <v>1451</v>
      </c>
      <c r="F1734">
        <v>0</v>
      </c>
      <c r="G1734" t="s">
        <v>78</v>
      </c>
      <c r="H1734" t="e">
        <f>VLOOKUP(Tabla3[[#This Row],[DESCRIPCION MATERIAL]],'CODIGO MAT'!$C$2:$D$390,2,FALSE)</f>
        <v>#N/A</v>
      </c>
      <c r="I1734" s="64" t="s">
        <v>1450</v>
      </c>
    </row>
    <row r="1735" spans="1:11" x14ac:dyDescent="0.25">
      <c r="A1735" t="s">
        <v>1530</v>
      </c>
      <c r="B1735" t="s">
        <v>521</v>
      </c>
      <c r="C1735" t="s">
        <v>1536</v>
      </c>
      <c r="D1735" t="s">
        <v>1450</v>
      </c>
      <c r="E1735" s="8" t="s">
        <v>1452</v>
      </c>
      <c r="F1735">
        <v>0</v>
      </c>
      <c r="G1735" t="s">
        <v>448</v>
      </c>
      <c r="H1735" t="e">
        <f>VLOOKUP(Tabla3[[#This Row],[DESCRIPCION MATERIAL]],'CODIGO MAT'!$C$2:$D$390,2,FALSE)</f>
        <v>#N/A</v>
      </c>
      <c r="I1735" s="64" t="s">
        <v>1450</v>
      </c>
    </row>
    <row r="1736" spans="1:11" x14ac:dyDescent="0.25">
      <c r="A1736" t="s">
        <v>1530</v>
      </c>
      <c r="B1736" t="s">
        <v>521</v>
      </c>
      <c r="C1736" t="s">
        <v>1536</v>
      </c>
      <c r="D1736" t="s">
        <v>1450</v>
      </c>
      <c r="E1736" s="8" t="s">
        <v>1453</v>
      </c>
      <c r="F1736">
        <v>0</v>
      </c>
      <c r="G1736" t="s">
        <v>448</v>
      </c>
      <c r="H1736" t="e">
        <f>VLOOKUP(Tabla3[[#This Row],[DESCRIPCION MATERIAL]],'CODIGO MAT'!$C$2:$D$390,2,FALSE)</f>
        <v>#N/A</v>
      </c>
      <c r="I1736" s="64" t="s">
        <v>1450</v>
      </c>
    </row>
    <row r="1737" spans="1:11" x14ac:dyDescent="0.25">
      <c r="A1737" t="s">
        <v>1530</v>
      </c>
      <c r="B1737" t="s">
        <v>521</v>
      </c>
      <c r="C1737" t="s">
        <v>1536</v>
      </c>
      <c r="D1737" t="s">
        <v>1450</v>
      </c>
      <c r="E1737" s="8" t="s">
        <v>1454</v>
      </c>
      <c r="F1737">
        <v>0</v>
      </c>
      <c r="G1737" t="s">
        <v>448</v>
      </c>
      <c r="H1737" t="e">
        <f>VLOOKUP(Tabla3[[#This Row],[DESCRIPCION MATERIAL]],'CODIGO MAT'!$C$2:$D$390,2,FALSE)</f>
        <v>#N/A</v>
      </c>
      <c r="I1737" s="64" t="s">
        <v>1450</v>
      </c>
    </row>
    <row r="1738" spans="1:11" x14ac:dyDescent="0.25">
      <c r="A1738" t="s">
        <v>1530</v>
      </c>
      <c r="B1738" t="s">
        <v>521</v>
      </c>
      <c r="C1738" t="s">
        <v>1536</v>
      </c>
      <c r="D1738" t="s">
        <v>1450</v>
      </c>
      <c r="E1738" s="8" t="s">
        <v>1455</v>
      </c>
      <c r="F1738">
        <v>0</v>
      </c>
      <c r="G1738" t="s">
        <v>448</v>
      </c>
      <c r="H1738" t="e">
        <f>VLOOKUP(Tabla3[[#This Row],[DESCRIPCION MATERIAL]],'CODIGO MAT'!$C$2:$D$390,2,FALSE)</f>
        <v>#N/A</v>
      </c>
      <c r="I1738" s="64" t="s">
        <v>1450</v>
      </c>
    </row>
    <row r="1739" spans="1:11" x14ac:dyDescent="0.25">
      <c r="A1739" t="s">
        <v>1537</v>
      </c>
      <c r="B1739" t="s">
        <v>521</v>
      </c>
      <c r="C1739" t="s">
        <v>1538</v>
      </c>
      <c r="D1739" t="s">
        <v>50</v>
      </c>
      <c r="E1739" s="8" t="s">
        <v>92</v>
      </c>
      <c r="F1739">
        <v>0.498</v>
      </c>
      <c r="G1739" t="s">
        <v>78</v>
      </c>
      <c r="H1739" t="str">
        <f>VLOOKUP(Tabla3[[#This Row],[DESCRIPCION MATERIAL]],'CODIGO MAT'!$C$2:$D$390,2,FALSE)</f>
        <v>TEL0000015</v>
      </c>
      <c r="J1739">
        <v>1</v>
      </c>
      <c r="K1739">
        <v>0</v>
      </c>
    </row>
    <row r="1740" spans="1:11" x14ac:dyDescent="0.25">
      <c r="A1740" t="s">
        <v>1537</v>
      </c>
      <c r="B1740" t="s">
        <v>521</v>
      </c>
      <c r="C1740" t="s">
        <v>1538</v>
      </c>
      <c r="D1740" t="s">
        <v>50</v>
      </c>
      <c r="E1740" s="8" t="s">
        <v>88</v>
      </c>
      <c r="F1740">
        <v>0.24099999999999999</v>
      </c>
      <c r="G1740" t="s">
        <v>78</v>
      </c>
      <c r="H1740" t="str">
        <f>VLOOKUP(Tabla3[[#This Row],[DESCRIPCION MATERIAL]],'CODIGO MAT'!$C$2:$D$390,2,FALSE)</f>
        <v>TEL0000011</v>
      </c>
      <c r="J1740">
        <v>1</v>
      </c>
      <c r="K1740">
        <v>0</v>
      </c>
    </row>
    <row r="1741" spans="1:11" x14ac:dyDescent="0.25">
      <c r="A1741" t="s">
        <v>1537</v>
      </c>
      <c r="B1741" t="s">
        <v>521</v>
      </c>
      <c r="C1741" t="s">
        <v>1538</v>
      </c>
      <c r="D1741" t="s">
        <v>50</v>
      </c>
      <c r="E1741" s="8" t="s">
        <v>232</v>
      </c>
      <c r="F1741">
        <v>0.17199999999999999</v>
      </c>
      <c r="G1741" t="s">
        <v>78</v>
      </c>
      <c r="H1741" t="str">
        <f>VLOOKUP(Tabla3[[#This Row],[DESCRIPCION MATERIAL]],'CODIGO MAT'!$C$2:$D$390,2,FALSE)</f>
        <v>TEL0000160</v>
      </c>
      <c r="J1741">
        <v>1</v>
      </c>
      <c r="K1741">
        <v>0</v>
      </c>
    </row>
    <row r="1742" spans="1:11" x14ac:dyDescent="0.25">
      <c r="A1742" t="s">
        <v>1537</v>
      </c>
      <c r="B1742" t="s">
        <v>521</v>
      </c>
      <c r="C1742" t="s">
        <v>1538</v>
      </c>
      <c r="D1742" t="s">
        <v>50</v>
      </c>
      <c r="E1742" s="8" t="s">
        <v>175</v>
      </c>
      <c r="F1742">
        <v>0</v>
      </c>
      <c r="G1742" t="s">
        <v>78</v>
      </c>
      <c r="H1742" t="str">
        <f>VLOOKUP(Tabla3[[#This Row],[DESCRIPCION MATERIAL]],'CODIGO MAT'!$C$2:$D$390,2,FALSE)</f>
        <v>TEL0000102</v>
      </c>
      <c r="J1742">
        <v>1</v>
      </c>
      <c r="K1742">
        <v>0</v>
      </c>
    </row>
    <row r="1743" spans="1:11" x14ac:dyDescent="0.25">
      <c r="A1743" t="s">
        <v>1537</v>
      </c>
      <c r="B1743" t="s">
        <v>521</v>
      </c>
      <c r="C1743" t="s">
        <v>1538</v>
      </c>
      <c r="D1743" t="s">
        <v>50</v>
      </c>
      <c r="E1743" s="8" t="s">
        <v>102</v>
      </c>
      <c r="F1743">
        <v>0.48</v>
      </c>
      <c r="G1743" t="s">
        <v>78</v>
      </c>
      <c r="H1743" t="str">
        <f>VLOOKUP(Tabla3[[#This Row],[DESCRIPCION MATERIAL]],'CODIGO MAT'!$C$2:$D$390,2,FALSE)</f>
        <v>TEL0000025</v>
      </c>
      <c r="J1743">
        <v>1</v>
      </c>
      <c r="K1743">
        <v>0</v>
      </c>
    </row>
    <row r="1744" spans="1:11" x14ac:dyDescent="0.25">
      <c r="A1744" t="s">
        <v>1537</v>
      </c>
      <c r="B1744" t="s">
        <v>521</v>
      </c>
      <c r="C1744" t="s">
        <v>1538</v>
      </c>
      <c r="D1744" t="s">
        <v>50</v>
      </c>
      <c r="E1744" s="8" t="s">
        <v>226</v>
      </c>
      <c r="F1744">
        <v>0.42</v>
      </c>
      <c r="G1744" t="s">
        <v>78</v>
      </c>
      <c r="H1744" t="str">
        <f>VLOOKUP(Tabla3[[#This Row],[DESCRIPCION MATERIAL]],'CODIGO MAT'!$C$2:$D$390,2,FALSE)</f>
        <v>TEL0000154</v>
      </c>
      <c r="J1744">
        <v>1</v>
      </c>
      <c r="K1744">
        <v>0</v>
      </c>
    </row>
    <row r="1745" spans="1:11" x14ac:dyDescent="0.25">
      <c r="A1745" t="s">
        <v>1537</v>
      </c>
      <c r="B1745" t="s">
        <v>521</v>
      </c>
      <c r="C1745" t="s">
        <v>1538</v>
      </c>
      <c r="D1745" t="s">
        <v>51</v>
      </c>
      <c r="E1745" s="8" t="s">
        <v>383</v>
      </c>
      <c r="F1745">
        <v>0.2</v>
      </c>
      <c r="G1745" t="s">
        <v>78</v>
      </c>
      <c r="H1745" t="str">
        <f>VLOOKUP(Tabla3[[#This Row],[DESCRIPCION MATERIAL]],'CODIGO MAT'!$C$2:$D$390,2,FALSE)</f>
        <v>AVI0000119</v>
      </c>
      <c r="J1745">
        <v>1</v>
      </c>
      <c r="K1745">
        <v>0</v>
      </c>
    </row>
    <row r="1746" spans="1:11" x14ac:dyDescent="0.25">
      <c r="A1746" t="s">
        <v>1537</v>
      </c>
      <c r="B1746" t="s">
        <v>521</v>
      </c>
      <c r="C1746" t="s">
        <v>1538</v>
      </c>
      <c r="D1746" t="s">
        <v>51</v>
      </c>
      <c r="E1746" s="8" t="s">
        <v>1539</v>
      </c>
      <c r="F1746">
        <v>1</v>
      </c>
      <c r="G1746" t="s">
        <v>78</v>
      </c>
      <c r="H1746" t="e">
        <f>VLOOKUP(Tabla3[[#This Row],[DESCRIPCION MATERIAL]],'CODIGO MAT'!$C$2:$D$390,2,FALSE)</f>
        <v>#N/A</v>
      </c>
      <c r="I1746" s="64" t="s">
        <v>51</v>
      </c>
      <c r="J1746">
        <v>1</v>
      </c>
      <c r="K1746">
        <v>0</v>
      </c>
    </row>
    <row r="1747" spans="1:11" x14ac:dyDescent="0.25">
      <c r="A1747" t="s">
        <v>1537</v>
      </c>
      <c r="B1747" t="s">
        <v>521</v>
      </c>
      <c r="C1747" t="s">
        <v>1538</v>
      </c>
      <c r="D1747" t="s">
        <v>51</v>
      </c>
      <c r="E1747" s="8" t="s">
        <v>430</v>
      </c>
      <c r="F1747">
        <v>0</v>
      </c>
      <c r="G1747" t="s">
        <v>78</v>
      </c>
      <c r="H1747" t="str">
        <f>VLOOKUP(Tabla3[[#This Row],[DESCRIPCION MATERIAL]],'CODIGO MAT'!$C$2:$D$390,2,FALSE)</f>
        <v>AVI0000142</v>
      </c>
      <c r="J1747">
        <v>1</v>
      </c>
      <c r="K1747">
        <v>0</v>
      </c>
    </row>
    <row r="1748" spans="1:11" x14ac:dyDescent="0.25">
      <c r="A1748" t="s">
        <v>1537</v>
      </c>
      <c r="B1748" t="s">
        <v>521</v>
      </c>
      <c r="C1748" t="s">
        <v>1538</v>
      </c>
      <c r="D1748" t="s">
        <v>51</v>
      </c>
      <c r="E1748" s="8" t="s">
        <v>1523</v>
      </c>
      <c r="F1748">
        <v>0</v>
      </c>
      <c r="G1748" t="s">
        <v>78</v>
      </c>
      <c r="H1748" t="e">
        <f>VLOOKUP(Tabla3[[#This Row],[DESCRIPCION MATERIAL]],'CODIGO MAT'!$C$2:$D$390,2,FALSE)</f>
        <v>#N/A</v>
      </c>
      <c r="I1748" s="64" t="s">
        <v>51</v>
      </c>
    </row>
    <row r="1749" spans="1:11" x14ac:dyDescent="0.25">
      <c r="A1749" t="s">
        <v>1537</v>
      </c>
      <c r="B1749" t="s">
        <v>521</v>
      </c>
      <c r="C1749" t="s">
        <v>1538</v>
      </c>
      <c r="D1749" t="s">
        <v>51</v>
      </c>
      <c r="E1749" s="8" t="s">
        <v>1525</v>
      </c>
      <c r="F1749">
        <v>0</v>
      </c>
      <c r="G1749" t="s">
        <v>78</v>
      </c>
      <c r="H1749" t="e">
        <f>VLOOKUP(Tabla3[[#This Row],[DESCRIPCION MATERIAL]],'CODIGO MAT'!$C$2:$D$390,2,FALSE)</f>
        <v>#N/A</v>
      </c>
      <c r="I1749" s="64" t="s">
        <v>51</v>
      </c>
    </row>
    <row r="1750" spans="1:11" x14ac:dyDescent="0.25">
      <c r="A1750" t="s">
        <v>1537</v>
      </c>
      <c r="B1750" t="s">
        <v>521</v>
      </c>
      <c r="C1750" t="s">
        <v>1538</v>
      </c>
      <c r="D1750" t="s">
        <v>51</v>
      </c>
      <c r="E1750" s="8" t="s">
        <v>1524</v>
      </c>
      <c r="F1750">
        <v>0</v>
      </c>
      <c r="G1750" t="s">
        <v>78</v>
      </c>
      <c r="H1750" t="e">
        <f>VLOOKUP(Tabla3[[#This Row],[DESCRIPCION MATERIAL]],'CODIGO MAT'!$C$2:$D$390,2,FALSE)</f>
        <v>#N/A</v>
      </c>
      <c r="I1750" s="64" t="s">
        <v>51</v>
      </c>
      <c r="J1750">
        <v>1</v>
      </c>
      <c r="K1750">
        <v>0</v>
      </c>
    </row>
    <row r="1751" spans="1:11" x14ac:dyDescent="0.25">
      <c r="A1751" t="s">
        <v>1540</v>
      </c>
      <c r="B1751" t="s">
        <v>521</v>
      </c>
      <c r="C1751" t="s">
        <v>1542</v>
      </c>
      <c r="D1751" t="s">
        <v>50</v>
      </c>
      <c r="E1751" s="8" t="s">
        <v>99</v>
      </c>
      <c r="F1751">
        <v>0.27</v>
      </c>
      <c r="G1751" t="s">
        <v>78</v>
      </c>
      <c r="H1751" t="str">
        <f>VLOOKUP(Tabla3[[#This Row],[DESCRIPCION MATERIAL]],'CODIGO MAT'!$C$2:$D$390,2,FALSE)</f>
        <v>TEL0000022</v>
      </c>
      <c r="J1751">
        <v>1</v>
      </c>
      <c r="K1751">
        <v>0</v>
      </c>
    </row>
    <row r="1752" spans="1:11" x14ac:dyDescent="0.25">
      <c r="A1752" t="s">
        <v>1540</v>
      </c>
      <c r="B1752" t="s">
        <v>521</v>
      </c>
      <c r="C1752" t="s">
        <v>1542</v>
      </c>
      <c r="D1752" t="s">
        <v>50</v>
      </c>
      <c r="E1752" s="8" t="s">
        <v>1544</v>
      </c>
      <c r="F1752">
        <v>0.30499999999999999</v>
      </c>
      <c r="G1752" t="s">
        <v>78</v>
      </c>
      <c r="H1752" t="e">
        <f>VLOOKUP(Tabla3[[#This Row],[DESCRIPCION MATERIAL]],'CODIGO MAT'!$C$2:$D$390,2,FALSE)</f>
        <v>#N/A</v>
      </c>
      <c r="I1752" s="64" t="s">
        <v>50</v>
      </c>
      <c r="J1752">
        <v>1</v>
      </c>
      <c r="K1752">
        <v>0</v>
      </c>
    </row>
    <row r="1753" spans="1:11" x14ac:dyDescent="0.25">
      <c r="A1753" t="s">
        <v>1540</v>
      </c>
      <c r="B1753" t="s">
        <v>521</v>
      </c>
      <c r="C1753" t="s">
        <v>1542</v>
      </c>
      <c r="D1753" t="s">
        <v>50</v>
      </c>
      <c r="E1753" s="8" t="s">
        <v>1545</v>
      </c>
      <c r="F1753">
        <v>0.01</v>
      </c>
      <c r="G1753" t="s">
        <v>78</v>
      </c>
      <c r="H1753" t="e">
        <f>VLOOKUP(Tabla3[[#This Row],[DESCRIPCION MATERIAL]],'CODIGO MAT'!$C$2:$D$390,2,FALSE)</f>
        <v>#N/A</v>
      </c>
      <c r="I1753" s="64" t="s">
        <v>50</v>
      </c>
      <c r="J1753">
        <v>1</v>
      </c>
      <c r="K1753">
        <v>0</v>
      </c>
    </row>
    <row r="1754" spans="1:11" x14ac:dyDescent="0.25">
      <c r="A1754" t="s">
        <v>1540</v>
      </c>
      <c r="B1754" t="s">
        <v>521</v>
      </c>
      <c r="C1754" t="s">
        <v>1542</v>
      </c>
      <c r="D1754" t="s">
        <v>51</v>
      </c>
      <c r="E1754" s="8" t="s">
        <v>1541</v>
      </c>
      <c r="F1754">
        <v>1</v>
      </c>
      <c r="G1754" t="s">
        <v>78</v>
      </c>
      <c r="H1754" t="e">
        <f>VLOOKUP(Tabla3[[#This Row],[DESCRIPCION MATERIAL]],'CODIGO MAT'!$C$2:$D$390,2,FALSE)</f>
        <v>#N/A</v>
      </c>
      <c r="I1754" s="64" t="s">
        <v>51</v>
      </c>
      <c r="J1754">
        <v>1</v>
      </c>
      <c r="K1754">
        <v>0</v>
      </c>
    </row>
    <row r="1755" spans="1:11" x14ac:dyDescent="0.25">
      <c r="A1755" t="s">
        <v>1540</v>
      </c>
      <c r="B1755" t="s">
        <v>521</v>
      </c>
      <c r="C1755" t="s">
        <v>1542</v>
      </c>
      <c r="D1755" t="s">
        <v>51</v>
      </c>
      <c r="E1755" s="8"/>
      <c r="F1755">
        <v>0</v>
      </c>
      <c r="G1755" t="s">
        <v>78</v>
      </c>
      <c r="H1755" t="e">
        <f>VLOOKUP(Tabla3[[#This Row],[DESCRIPCION MATERIAL]],'CODIGO MAT'!$C$2:$D$390,2,FALSE)</f>
        <v>#N/A</v>
      </c>
      <c r="I1755" s="64" t="s">
        <v>51</v>
      </c>
    </row>
    <row r="1756" spans="1:11" x14ac:dyDescent="0.25">
      <c r="A1756" t="s">
        <v>1546</v>
      </c>
      <c r="B1756" t="s">
        <v>521</v>
      </c>
      <c r="C1756" t="s">
        <v>1547</v>
      </c>
      <c r="D1756" t="s">
        <v>50</v>
      </c>
      <c r="E1756" s="8" t="s">
        <v>92</v>
      </c>
      <c r="F1756">
        <v>0.9</v>
      </c>
      <c r="G1756" t="s">
        <v>78</v>
      </c>
      <c r="H1756" t="str">
        <f>VLOOKUP(Tabla3[[#This Row],[DESCRIPCION MATERIAL]],'CODIGO MAT'!$C$2:$D$390,2,FALSE)</f>
        <v>TEL0000015</v>
      </c>
      <c r="J1756">
        <v>1</v>
      </c>
      <c r="K1756">
        <v>0</v>
      </c>
    </row>
    <row r="1757" spans="1:11" x14ac:dyDescent="0.25">
      <c r="A1757" t="s">
        <v>1546</v>
      </c>
      <c r="B1757" t="s">
        <v>521</v>
      </c>
      <c r="C1757" t="s">
        <v>1547</v>
      </c>
      <c r="D1757" t="s">
        <v>50</v>
      </c>
      <c r="E1757" s="8" t="s">
        <v>118</v>
      </c>
      <c r="F1757">
        <v>0.60599999999999998</v>
      </c>
      <c r="G1757" t="s">
        <v>78</v>
      </c>
      <c r="H1757" t="str">
        <f>VLOOKUP(Tabla3[[#This Row],[DESCRIPCION MATERIAL]],'CODIGO MAT'!$C$2:$D$390,2,FALSE)</f>
        <v>TEL0000045</v>
      </c>
      <c r="J1757">
        <v>1</v>
      </c>
      <c r="K1757">
        <v>0</v>
      </c>
    </row>
    <row r="1758" spans="1:11" x14ac:dyDescent="0.25">
      <c r="A1758" t="s">
        <v>1546</v>
      </c>
      <c r="B1758" t="s">
        <v>521</v>
      </c>
      <c r="C1758" t="s">
        <v>1547</v>
      </c>
      <c r="D1758" t="s">
        <v>50</v>
      </c>
      <c r="E1758" s="8" t="s">
        <v>192</v>
      </c>
      <c r="F1758">
        <v>0.128</v>
      </c>
      <c r="G1758" t="s">
        <v>78</v>
      </c>
      <c r="H1758" t="str">
        <f>VLOOKUP(Tabla3[[#This Row],[DESCRIPCION MATERIAL]],'CODIGO MAT'!$C$2:$D$390,2,FALSE)</f>
        <v>TEL0000119</v>
      </c>
      <c r="J1758">
        <v>1</v>
      </c>
      <c r="K1758">
        <v>0</v>
      </c>
    </row>
    <row r="1759" spans="1:11" x14ac:dyDescent="0.25">
      <c r="A1759" t="s">
        <v>1546</v>
      </c>
      <c r="B1759" t="s">
        <v>521</v>
      </c>
      <c r="C1759" t="s">
        <v>1547</v>
      </c>
      <c r="D1759" t="s">
        <v>51</v>
      </c>
      <c r="E1759" s="8" t="s">
        <v>425</v>
      </c>
      <c r="F1759">
        <v>0</v>
      </c>
      <c r="G1759" t="s">
        <v>410</v>
      </c>
      <c r="H1759" t="str">
        <f>VLOOKUP(Tabla3[[#This Row],[DESCRIPCION MATERIAL]],'CODIGO MAT'!$C$2:$D$390,2,FALSE)</f>
        <v>INS0000015</v>
      </c>
    </row>
    <row r="1760" spans="1:11" x14ac:dyDescent="0.25">
      <c r="A1760" t="s">
        <v>1546</v>
      </c>
      <c r="B1760" t="s">
        <v>521</v>
      </c>
      <c r="C1760" t="s">
        <v>1547</v>
      </c>
      <c r="D1760" t="s">
        <v>51</v>
      </c>
      <c r="E1760" s="8" t="s">
        <v>323</v>
      </c>
      <c r="F1760">
        <v>1</v>
      </c>
      <c r="G1760" t="s">
        <v>78</v>
      </c>
      <c r="H1760" t="str">
        <f>VLOOKUP(Tabla3[[#This Row],[DESCRIPCION MATERIAL]],'CODIGO MAT'!$C$2:$D$390,2,FALSE)</f>
        <v>AVI0000061</v>
      </c>
    </row>
    <row r="1761" spans="1:11" x14ac:dyDescent="0.25">
      <c r="A1761" t="s">
        <v>1546</v>
      </c>
      <c r="B1761" t="s">
        <v>521</v>
      </c>
      <c r="C1761" t="s">
        <v>1547</v>
      </c>
      <c r="D1761" t="s">
        <v>51</v>
      </c>
      <c r="E1761" s="8" t="s">
        <v>1549</v>
      </c>
      <c r="F1761">
        <v>0</v>
      </c>
      <c r="G1761" t="s">
        <v>410</v>
      </c>
      <c r="H1761" t="e">
        <f>VLOOKUP(Tabla3[[#This Row],[DESCRIPCION MATERIAL]],'CODIGO MAT'!$C$2:$D$390,2,FALSE)</f>
        <v>#N/A</v>
      </c>
      <c r="I1761" s="64" t="s">
        <v>51</v>
      </c>
    </row>
    <row r="1762" spans="1:11" x14ac:dyDescent="0.25">
      <c r="A1762" t="s">
        <v>1546</v>
      </c>
      <c r="B1762" t="s">
        <v>521</v>
      </c>
      <c r="C1762" t="s">
        <v>1547</v>
      </c>
      <c r="D1762" t="s">
        <v>51</v>
      </c>
      <c r="E1762" s="8" t="s">
        <v>1550</v>
      </c>
      <c r="F1762">
        <v>8</v>
      </c>
      <c r="G1762" t="s">
        <v>396</v>
      </c>
      <c r="H1762" t="e">
        <f>VLOOKUP(Tabla3[[#This Row],[DESCRIPCION MATERIAL]],'CODIGO MAT'!$C$2:$D$390,2,FALSE)</f>
        <v>#N/A</v>
      </c>
      <c r="I1762" s="64" t="s">
        <v>51</v>
      </c>
    </row>
    <row r="1763" spans="1:11" x14ac:dyDescent="0.25">
      <c r="A1763" t="s">
        <v>1546</v>
      </c>
      <c r="B1763" t="s">
        <v>521</v>
      </c>
      <c r="C1763" t="s">
        <v>1547</v>
      </c>
      <c r="D1763" t="s">
        <v>51</v>
      </c>
      <c r="E1763" s="8" t="s">
        <v>324</v>
      </c>
      <c r="F1763">
        <v>2</v>
      </c>
      <c r="G1763" t="s">
        <v>78</v>
      </c>
      <c r="H1763" t="str">
        <f>VLOOKUP(Tabla3[[#This Row],[DESCRIPCION MATERIAL]],'CODIGO MAT'!$C$2:$D$390,2,FALSE)</f>
        <v>AVI0000062</v>
      </c>
    </row>
    <row r="1764" spans="1:11" x14ac:dyDescent="0.25">
      <c r="A1764" t="s">
        <v>1546</v>
      </c>
      <c r="B1764" t="s">
        <v>521</v>
      </c>
      <c r="C1764" t="s">
        <v>1547</v>
      </c>
      <c r="D1764" t="s">
        <v>51</v>
      </c>
      <c r="E1764" s="8" t="s">
        <v>1527</v>
      </c>
      <c r="F1764">
        <v>4</v>
      </c>
      <c r="G1764" t="s">
        <v>396</v>
      </c>
      <c r="H1764" t="e">
        <f>VLOOKUP(Tabla3[[#This Row],[DESCRIPCION MATERIAL]],'CODIGO MAT'!$C$2:$D$390,2,FALSE)</f>
        <v>#N/A</v>
      </c>
      <c r="I1764" s="64" t="s">
        <v>51</v>
      </c>
    </row>
    <row r="1765" spans="1:11" x14ac:dyDescent="0.25">
      <c r="A1765" t="s">
        <v>1546</v>
      </c>
      <c r="B1765" t="s">
        <v>521</v>
      </c>
      <c r="C1765" t="s">
        <v>1547</v>
      </c>
      <c r="D1765" t="s">
        <v>51</v>
      </c>
      <c r="E1765" s="8" t="s">
        <v>1526</v>
      </c>
      <c r="F1765">
        <v>1.5</v>
      </c>
      <c r="G1765" t="s">
        <v>78</v>
      </c>
      <c r="H1765" t="e">
        <f>VLOOKUP(Tabla3[[#This Row],[DESCRIPCION MATERIAL]],'CODIGO MAT'!$C$2:$D$390,2,FALSE)</f>
        <v>#N/A</v>
      </c>
      <c r="I1765" s="64" t="s">
        <v>51</v>
      </c>
    </row>
    <row r="1766" spans="1:11" x14ac:dyDescent="0.25">
      <c r="A1766" t="s">
        <v>1546</v>
      </c>
      <c r="B1766" t="s">
        <v>521</v>
      </c>
      <c r="C1766" t="s">
        <v>1547</v>
      </c>
      <c r="D1766" t="s">
        <v>51</v>
      </c>
      <c r="E1766" s="8" t="s">
        <v>1528</v>
      </c>
      <c r="F1766">
        <v>2</v>
      </c>
      <c r="G1766" t="s">
        <v>396</v>
      </c>
      <c r="H1766" t="e">
        <f>VLOOKUP(Tabla3[[#This Row],[DESCRIPCION MATERIAL]],'CODIGO MAT'!$C$2:$D$390,2,FALSE)</f>
        <v>#N/A</v>
      </c>
      <c r="I1766" s="64" t="s">
        <v>51</v>
      </c>
    </row>
    <row r="1767" spans="1:11" x14ac:dyDescent="0.25">
      <c r="A1767" t="s">
        <v>1546</v>
      </c>
      <c r="B1767" t="s">
        <v>521</v>
      </c>
      <c r="C1767" t="s">
        <v>1547</v>
      </c>
      <c r="D1767" t="s">
        <v>51</v>
      </c>
      <c r="E1767" s="8" t="s">
        <v>1529</v>
      </c>
      <c r="F1767">
        <v>6</v>
      </c>
      <c r="G1767" t="s">
        <v>396</v>
      </c>
      <c r="H1767" t="e">
        <f>VLOOKUP(Tabla3[[#This Row],[DESCRIPCION MATERIAL]],'CODIGO MAT'!$C$2:$D$390,2,FALSE)</f>
        <v>#N/A</v>
      </c>
      <c r="I1767" s="64" t="s">
        <v>51</v>
      </c>
    </row>
    <row r="1768" spans="1:11" x14ac:dyDescent="0.25">
      <c r="A1768" t="s">
        <v>1551</v>
      </c>
      <c r="B1768" t="s">
        <v>521</v>
      </c>
      <c r="C1768" t="s">
        <v>1552</v>
      </c>
      <c r="D1768" t="s">
        <v>50</v>
      </c>
      <c r="E1768" s="8" t="s">
        <v>1553</v>
      </c>
      <c r="F1768">
        <v>0.90800000000000003</v>
      </c>
      <c r="G1768" t="s">
        <v>78</v>
      </c>
      <c r="H1768" t="e">
        <f>VLOOKUP(Tabla3[[#This Row],[DESCRIPCION MATERIAL]],'CODIGO MAT'!$C$2:$D$390,2,FALSE)</f>
        <v>#N/A</v>
      </c>
      <c r="I1768" s="64" t="s">
        <v>50</v>
      </c>
      <c r="J1768">
        <v>1</v>
      </c>
      <c r="K1768">
        <v>0</v>
      </c>
    </row>
    <row r="1769" spans="1:11" x14ac:dyDescent="0.25">
      <c r="A1769" t="s">
        <v>1551</v>
      </c>
      <c r="B1769" t="s">
        <v>521</v>
      </c>
      <c r="C1769" t="s">
        <v>1552</v>
      </c>
      <c r="D1769" t="s">
        <v>50</v>
      </c>
      <c r="E1769" s="8" t="s">
        <v>1211</v>
      </c>
      <c r="F1769">
        <v>0.26100000000000001</v>
      </c>
      <c r="G1769" t="s">
        <v>78</v>
      </c>
      <c r="H1769" t="e">
        <f>VLOOKUP(Tabla3[[#This Row],[DESCRIPCION MATERIAL]],'CODIGO MAT'!$C$2:$D$390,2,FALSE)</f>
        <v>#N/A</v>
      </c>
      <c r="I1769" s="64" t="s">
        <v>50</v>
      </c>
      <c r="J1769">
        <v>1</v>
      </c>
      <c r="K1769">
        <v>0</v>
      </c>
    </row>
    <row r="1770" spans="1:11" x14ac:dyDescent="0.25">
      <c r="A1770" t="s">
        <v>1551</v>
      </c>
      <c r="B1770" t="s">
        <v>521</v>
      </c>
      <c r="C1770" t="s">
        <v>1552</v>
      </c>
      <c r="D1770" t="s">
        <v>50</v>
      </c>
      <c r="E1770" s="8" t="s">
        <v>1256</v>
      </c>
      <c r="F1770">
        <v>0.314</v>
      </c>
      <c r="G1770" t="s">
        <v>78</v>
      </c>
      <c r="H1770" t="e">
        <f>VLOOKUP(Tabla3[[#This Row],[DESCRIPCION MATERIAL]],'CODIGO MAT'!$C$2:$D$390,2,FALSE)</f>
        <v>#N/A</v>
      </c>
      <c r="I1770" s="64" t="s">
        <v>50</v>
      </c>
      <c r="J1770">
        <v>1</v>
      </c>
      <c r="K1770">
        <v>0</v>
      </c>
    </row>
    <row r="1771" spans="1:11" x14ac:dyDescent="0.25">
      <c r="A1771" t="s">
        <v>1551</v>
      </c>
      <c r="B1771" t="s">
        <v>521</v>
      </c>
      <c r="C1771" t="s">
        <v>1552</v>
      </c>
      <c r="D1771" t="s">
        <v>50</v>
      </c>
      <c r="E1771" s="8" t="s">
        <v>11</v>
      </c>
      <c r="F1771">
        <v>4.1000000000000002E-2</v>
      </c>
      <c r="G1771" t="s">
        <v>78</v>
      </c>
      <c r="H1771" t="str">
        <f>VLOOKUP(Tabla3[[#This Row],[DESCRIPCION MATERIAL]],'CODIGO MAT'!$C$2:$D$390,2,FALSE)</f>
        <v>TEL0000149</v>
      </c>
      <c r="J1771">
        <v>1</v>
      </c>
      <c r="K1771">
        <v>0</v>
      </c>
    </row>
    <row r="1772" spans="1:11" x14ac:dyDescent="0.25">
      <c r="A1772" t="s">
        <v>1551</v>
      </c>
      <c r="B1772" t="s">
        <v>521</v>
      </c>
      <c r="C1772" t="s">
        <v>1552</v>
      </c>
      <c r="D1772" t="s">
        <v>50</v>
      </c>
      <c r="E1772" s="8" t="s">
        <v>231</v>
      </c>
      <c r="F1772">
        <v>3.2000000000000001E-2</v>
      </c>
      <c r="G1772" t="s">
        <v>78</v>
      </c>
      <c r="H1772" t="str">
        <f>VLOOKUP(Tabla3[[#This Row],[DESCRIPCION MATERIAL]],'CODIGO MAT'!$C$2:$D$390,2,FALSE)</f>
        <v>TEL0000159</v>
      </c>
      <c r="J1772">
        <v>1</v>
      </c>
      <c r="K1772">
        <v>0</v>
      </c>
    </row>
    <row r="1773" spans="1:11" x14ac:dyDescent="0.25">
      <c r="A1773" t="s">
        <v>1551</v>
      </c>
      <c r="B1773" t="s">
        <v>521</v>
      </c>
      <c r="C1773" t="s">
        <v>1552</v>
      </c>
      <c r="D1773" t="s">
        <v>50</v>
      </c>
      <c r="E1773" s="8" t="s">
        <v>230</v>
      </c>
      <c r="F1773">
        <v>0.26</v>
      </c>
      <c r="G1773" t="s">
        <v>78</v>
      </c>
      <c r="H1773" t="str">
        <f>VLOOKUP(Tabla3[[#This Row],[DESCRIPCION MATERIAL]],'CODIGO MAT'!$C$2:$D$390,2,FALSE)</f>
        <v>TEL0000158</v>
      </c>
      <c r="J1773">
        <v>1</v>
      </c>
      <c r="K1773">
        <v>0</v>
      </c>
    </row>
    <row r="1774" spans="1:11" x14ac:dyDescent="0.25">
      <c r="A1774" t="s">
        <v>1551</v>
      </c>
      <c r="B1774" t="s">
        <v>521</v>
      </c>
      <c r="C1774" t="s">
        <v>1552</v>
      </c>
      <c r="D1774" t="s">
        <v>50</v>
      </c>
      <c r="E1774" s="8" t="s">
        <v>196</v>
      </c>
      <c r="F1774">
        <v>1.4E-2</v>
      </c>
      <c r="G1774" t="s">
        <v>78</v>
      </c>
      <c r="H1774" t="str">
        <f>VLOOKUP(Tabla3[[#This Row],[DESCRIPCION MATERIAL]],'CODIGO MAT'!$C$2:$D$390,2,FALSE)</f>
        <v>TEL0000123</v>
      </c>
      <c r="J1774">
        <v>1</v>
      </c>
      <c r="K1774">
        <v>0</v>
      </c>
    </row>
    <row r="1775" spans="1:11" x14ac:dyDescent="0.25">
      <c r="A1775" t="s">
        <v>1551</v>
      </c>
      <c r="B1775" t="s">
        <v>521</v>
      </c>
      <c r="C1775" t="s">
        <v>1552</v>
      </c>
      <c r="D1775" t="s">
        <v>51</v>
      </c>
      <c r="E1775" s="8" t="s">
        <v>1554</v>
      </c>
      <c r="F1775">
        <v>0.36</v>
      </c>
      <c r="G1775" t="s">
        <v>78</v>
      </c>
      <c r="H1775" t="e">
        <f>VLOOKUP(Tabla3[[#This Row],[DESCRIPCION MATERIAL]],'CODIGO MAT'!$C$2:$D$390,2,FALSE)</f>
        <v>#N/A</v>
      </c>
      <c r="I1775" s="64" t="s">
        <v>51</v>
      </c>
    </row>
    <row r="1776" spans="1:11" x14ac:dyDescent="0.25">
      <c r="A1776" t="s">
        <v>1551</v>
      </c>
      <c r="B1776" t="s">
        <v>521</v>
      </c>
      <c r="C1776" t="s">
        <v>1552</v>
      </c>
      <c r="D1776" t="s">
        <v>51</v>
      </c>
      <c r="E1776" s="8" t="s">
        <v>1555</v>
      </c>
      <c r="F1776">
        <v>1</v>
      </c>
      <c r="G1776" t="s">
        <v>396</v>
      </c>
      <c r="H1776" t="e">
        <f>VLOOKUP(Tabla3[[#This Row],[DESCRIPCION MATERIAL]],'CODIGO MAT'!$C$2:$D$390,2,FALSE)</f>
        <v>#N/A</v>
      </c>
      <c r="I1776" s="64" t="s">
        <v>51</v>
      </c>
    </row>
    <row r="1777" spans="1:11" x14ac:dyDescent="0.25">
      <c r="A1777" t="s">
        <v>1551</v>
      </c>
      <c r="B1777" t="s">
        <v>521</v>
      </c>
      <c r="C1777" t="s">
        <v>1552</v>
      </c>
      <c r="D1777" t="s">
        <v>51</v>
      </c>
      <c r="E1777" s="8" t="s">
        <v>996</v>
      </c>
      <c r="F1777">
        <v>0.4</v>
      </c>
      <c r="G1777" t="s">
        <v>78</v>
      </c>
      <c r="H1777" t="str">
        <f>VLOOKUP(Tabla3[[#This Row],[DESCRIPCION MATERIAL]],'CODIGO MAT'!$C$2:$D$390,2,FALSE)</f>
        <v>AVI0000148</v>
      </c>
      <c r="J1777">
        <v>1</v>
      </c>
      <c r="K1777">
        <v>0</v>
      </c>
    </row>
    <row r="1778" spans="1:11" x14ac:dyDescent="0.25">
      <c r="A1778" t="s">
        <v>1561</v>
      </c>
      <c r="B1778" t="s">
        <v>521</v>
      </c>
      <c r="C1778" t="s">
        <v>1556</v>
      </c>
      <c r="D1778" t="s">
        <v>50</v>
      </c>
      <c r="E1778" s="8" t="s">
        <v>1237</v>
      </c>
      <c r="F1778">
        <v>0.16900000000000001</v>
      </c>
      <c r="G1778" t="s">
        <v>78</v>
      </c>
      <c r="H1778" t="e">
        <f>VLOOKUP(Tabla3[[#This Row],[DESCRIPCION MATERIAL]],'CODIGO MAT'!$C$2:$D$390,2,FALSE)</f>
        <v>#N/A</v>
      </c>
      <c r="I1778" s="64" t="s">
        <v>50</v>
      </c>
      <c r="J1778">
        <v>1</v>
      </c>
      <c r="K1778">
        <v>0</v>
      </c>
    </row>
    <row r="1779" spans="1:11" x14ac:dyDescent="0.25">
      <c r="A1779" t="s">
        <v>1561</v>
      </c>
      <c r="B1779" t="s">
        <v>521</v>
      </c>
      <c r="C1779" t="s">
        <v>1556</v>
      </c>
      <c r="D1779" t="s">
        <v>50</v>
      </c>
      <c r="E1779" s="8" t="s">
        <v>1350</v>
      </c>
      <c r="F1779">
        <v>0.129</v>
      </c>
      <c r="G1779" t="s">
        <v>78</v>
      </c>
      <c r="H1779" t="e">
        <f>VLOOKUP(Tabla3[[#This Row],[DESCRIPCION MATERIAL]],'CODIGO MAT'!$C$2:$D$390,2,FALSE)</f>
        <v>#N/A</v>
      </c>
      <c r="I1779" s="64" t="s">
        <v>50</v>
      </c>
      <c r="J1779">
        <v>1</v>
      </c>
      <c r="K1779">
        <v>0</v>
      </c>
    </row>
    <row r="1780" spans="1:11" x14ac:dyDescent="0.25">
      <c r="A1780" t="s">
        <v>1561</v>
      </c>
      <c r="B1780" t="s">
        <v>521</v>
      </c>
      <c r="C1780" t="s">
        <v>1556</v>
      </c>
      <c r="D1780" t="s">
        <v>50</v>
      </c>
      <c r="E1780" s="8" t="s">
        <v>1557</v>
      </c>
      <c r="F1780">
        <v>7.4999999999999997E-2</v>
      </c>
      <c r="G1780" t="s">
        <v>78</v>
      </c>
      <c r="H1780" t="e">
        <f>VLOOKUP(Tabla3[[#This Row],[DESCRIPCION MATERIAL]],'CODIGO MAT'!$C$2:$D$390,2,FALSE)</f>
        <v>#N/A</v>
      </c>
      <c r="I1780" s="64" t="s">
        <v>50</v>
      </c>
      <c r="J1780">
        <v>1</v>
      </c>
      <c r="K1780">
        <v>0</v>
      </c>
    </row>
    <row r="1781" spans="1:11" x14ac:dyDescent="0.25">
      <c r="A1781" t="s">
        <v>1561</v>
      </c>
      <c r="B1781" t="s">
        <v>521</v>
      </c>
      <c r="C1781" t="s">
        <v>1556</v>
      </c>
      <c r="D1781" t="s">
        <v>50</v>
      </c>
      <c r="E1781" s="8" t="s">
        <v>231</v>
      </c>
      <c r="F1781">
        <v>4.3999999999999997E-2</v>
      </c>
      <c r="G1781" t="s">
        <v>78</v>
      </c>
      <c r="H1781" t="str">
        <f>VLOOKUP(Tabla3[[#This Row],[DESCRIPCION MATERIAL]],'CODIGO MAT'!$C$2:$D$390,2,FALSE)</f>
        <v>TEL0000159</v>
      </c>
      <c r="J1781">
        <v>1</v>
      </c>
      <c r="K1781">
        <v>0</v>
      </c>
    </row>
    <row r="1782" spans="1:11" x14ac:dyDescent="0.25">
      <c r="A1782" t="s">
        <v>1561</v>
      </c>
      <c r="B1782" t="s">
        <v>521</v>
      </c>
      <c r="C1782" t="s">
        <v>1556</v>
      </c>
      <c r="D1782" t="s">
        <v>50</v>
      </c>
      <c r="E1782" s="8" t="s">
        <v>175</v>
      </c>
      <c r="F1782">
        <v>3.9E-2</v>
      </c>
      <c r="G1782" t="s">
        <v>78</v>
      </c>
      <c r="H1782" t="str">
        <f>VLOOKUP(Tabla3[[#This Row],[DESCRIPCION MATERIAL]],'CODIGO MAT'!$C$2:$D$390,2,FALSE)</f>
        <v>TEL0000102</v>
      </c>
      <c r="J1782">
        <v>1</v>
      </c>
      <c r="K1782">
        <v>0</v>
      </c>
    </row>
    <row r="1783" spans="1:11" x14ac:dyDescent="0.25">
      <c r="A1783" t="s">
        <v>1561</v>
      </c>
      <c r="B1783" t="s">
        <v>521</v>
      </c>
      <c r="C1783" t="s">
        <v>1556</v>
      </c>
      <c r="D1783" t="s">
        <v>50</v>
      </c>
      <c r="E1783" s="8" t="s">
        <v>1240</v>
      </c>
      <c r="F1783">
        <v>0.42299999999999999</v>
      </c>
      <c r="G1783" t="s">
        <v>78</v>
      </c>
      <c r="H1783" t="e">
        <f>VLOOKUP(Tabla3[[#This Row],[DESCRIPCION MATERIAL]],'CODIGO MAT'!$C$2:$D$390,2,FALSE)</f>
        <v>#N/A</v>
      </c>
      <c r="I1783" s="64" t="s">
        <v>50</v>
      </c>
      <c r="J1783">
        <v>1</v>
      </c>
      <c r="K1783">
        <v>0</v>
      </c>
    </row>
    <row r="1784" spans="1:11" x14ac:dyDescent="0.25">
      <c r="A1784" t="s">
        <v>1561</v>
      </c>
      <c r="B1784" t="s">
        <v>521</v>
      </c>
      <c r="C1784" t="s">
        <v>1556</v>
      </c>
      <c r="D1784" t="s">
        <v>50</v>
      </c>
      <c r="E1784" s="8" t="s">
        <v>1225</v>
      </c>
      <c r="F1784">
        <v>0.28899999999999998</v>
      </c>
      <c r="G1784" t="s">
        <v>78</v>
      </c>
      <c r="H1784" t="e">
        <f>VLOOKUP(Tabla3[[#This Row],[DESCRIPCION MATERIAL]],'CODIGO MAT'!$C$2:$D$390,2,FALSE)</f>
        <v>#N/A</v>
      </c>
      <c r="I1784" s="64" t="s">
        <v>50</v>
      </c>
      <c r="J1784">
        <v>1</v>
      </c>
      <c r="K1784">
        <v>0</v>
      </c>
    </row>
    <row r="1785" spans="1:11" x14ac:dyDescent="0.25">
      <c r="A1785" t="s">
        <v>1561</v>
      </c>
      <c r="B1785" t="s">
        <v>521</v>
      </c>
      <c r="C1785" t="s">
        <v>1556</v>
      </c>
      <c r="D1785" t="s">
        <v>50</v>
      </c>
      <c r="E1785" s="8" t="s">
        <v>1211</v>
      </c>
      <c r="F1785">
        <v>0.57599999999999996</v>
      </c>
      <c r="G1785" t="s">
        <v>78</v>
      </c>
      <c r="H1785" t="e">
        <f>VLOOKUP(Tabla3[[#This Row],[DESCRIPCION MATERIAL]],'CODIGO MAT'!$C$2:$D$390,2,FALSE)</f>
        <v>#N/A</v>
      </c>
      <c r="I1785" s="64" t="s">
        <v>50</v>
      </c>
      <c r="J1785">
        <v>1</v>
      </c>
      <c r="K1785">
        <v>0</v>
      </c>
    </row>
    <row r="1786" spans="1:11" x14ac:dyDescent="0.25">
      <c r="A1786" t="s">
        <v>1561</v>
      </c>
      <c r="B1786" t="s">
        <v>521</v>
      </c>
      <c r="C1786" t="s">
        <v>1556</v>
      </c>
      <c r="D1786" t="s">
        <v>51</v>
      </c>
      <c r="E1786" s="8" t="s">
        <v>1558</v>
      </c>
      <c r="F1786">
        <v>2</v>
      </c>
      <c r="G1786" t="s">
        <v>78</v>
      </c>
      <c r="H1786" t="e">
        <f>VLOOKUP(Tabla3[[#This Row],[DESCRIPCION MATERIAL]],'CODIGO MAT'!$C$2:$D$390,2,FALSE)</f>
        <v>#N/A</v>
      </c>
      <c r="I1786" s="64" t="s">
        <v>51</v>
      </c>
      <c r="J1786">
        <v>1</v>
      </c>
      <c r="K1786">
        <v>0</v>
      </c>
    </row>
    <row r="1787" spans="1:11" x14ac:dyDescent="0.25">
      <c r="A1787" t="s">
        <v>1561</v>
      </c>
      <c r="B1787" t="s">
        <v>521</v>
      </c>
      <c r="C1787" t="s">
        <v>1556</v>
      </c>
      <c r="D1787" t="s">
        <v>51</v>
      </c>
      <c r="E1787" s="8" t="s">
        <v>1559</v>
      </c>
      <c r="F1787">
        <v>2</v>
      </c>
      <c r="G1787" t="s">
        <v>78</v>
      </c>
      <c r="H1787" t="e">
        <f>VLOOKUP(Tabla3[[#This Row],[DESCRIPCION MATERIAL]],'CODIGO MAT'!$C$2:$D$390,2,FALSE)</f>
        <v>#N/A</v>
      </c>
      <c r="I1787" s="64" t="s">
        <v>51</v>
      </c>
      <c r="J1787">
        <v>1</v>
      </c>
      <c r="K1787">
        <v>0</v>
      </c>
    </row>
    <row r="1788" spans="1:11" x14ac:dyDescent="0.25">
      <c r="A1788" t="s">
        <v>1561</v>
      </c>
      <c r="B1788" t="s">
        <v>521</v>
      </c>
      <c r="C1788" t="s">
        <v>1556</v>
      </c>
      <c r="D1788" t="s">
        <v>51</v>
      </c>
      <c r="E1788" s="8" t="s">
        <v>1560</v>
      </c>
      <c r="F1788">
        <v>2</v>
      </c>
      <c r="G1788" t="s">
        <v>78</v>
      </c>
      <c r="H1788" t="e">
        <f>VLOOKUP(Tabla3[[#This Row],[DESCRIPCION MATERIAL]],'CODIGO MAT'!$C$2:$D$390,2,FALSE)</f>
        <v>#N/A</v>
      </c>
      <c r="I1788" s="64" t="s">
        <v>51</v>
      </c>
      <c r="J1788">
        <v>1</v>
      </c>
      <c r="K1788">
        <v>0</v>
      </c>
    </row>
    <row r="1789" spans="1:11" x14ac:dyDescent="0.25">
      <c r="A1789" t="s">
        <v>1561</v>
      </c>
      <c r="B1789" t="s">
        <v>521</v>
      </c>
      <c r="C1789" t="s">
        <v>1556</v>
      </c>
      <c r="D1789" t="s">
        <v>51</v>
      </c>
      <c r="E1789" s="8" t="s">
        <v>378</v>
      </c>
      <c r="F1789">
        <v>1</v>
      </c>
      <c r="G1789" t="s">
        <v>396</v>
      </c>
      <c r="H1789" t="str">
        <f>VLOOKUP(Tabla3[[#This Row],[DESCRIPCION MATERIAL]],'CODIGO MAT'!$C$2:$D$390,2,FALSE)</f>
        <v>AVI0000115</v>
      </c>
      <c r="J1789">
        <v>1</v>
      </c>
      <c r="K1789">
        <v>0</v>
      </c>
    </row>
    <row r="1790" spans="1:11" x14ac:dyDescent="0.25">
      <c r="A1790" t="s">
        <v>1562</v>
      </c>
      <c r="B1790" t="s">
        <v>1563</v>
      </c>
      <c r="C1790" t="s">
        <v>1564</v>
      </c>
      <c r="D1790" t="s">
        <v>50</v>
      </c>
      <c r="E1790" s="8" t="s">
        <v>146</v>
      </c>
      <c r="F1790">
        <v>0.125</v>
      </c>
      <c r="G1790" t="s">
        <v>78</v>
      </c>
      <c r="H1790" t="str">
        <f>VLOOKUP(Tabla3[[#This Row],[DESCRIPCION MATERIAL]],'CODIGO MAT'!$C$2:$D$390,2,FALSE)</f>
        <v>TEL0000073</v>
      </c>
      <c r="J1790">
        <v>1</v>
      </c>
      <c r="K1790">
        <v>0</v>
      </c>
    </row>
    <row r="1791" spans="1:11" x14ac:dyDescent="0.25">
      <c r="A1791" t="s">
        <v>1562</v>
      </c>
      <c r="B1791" t="s">
        <v>1563</v>
      </c>
      <c r="C1791" t="s">
        <v>1564</v>
      </c>
      <c r="D1791" t="s">
        <v>50</v>
      </c>
      <c r="E1791" s="8" t="s">
        <v>147</v>
      </c>
      <c r="F1791">
        <v>4.5999999999999999E-2</v>
      </c>
      <c r="G1791" t="s">
        <v>78</v>
      </c>
      <c r="H1791" t="str">
        <f>VLOOKUP(Tabla3[[#This Row],[DESCRIPCION MATERIAL]],'CODIGO MAT'!$C$2:$D$390,2,FALSE)</f>
        <v>TEL0000074</v>
      </c>
      <c r="J1791">
        <v>1</v>
      </c>
      <c r="K1791">
        <v>0</v>
      </c>
    </row>
    <row r="1792" spans="1:11" x14ac:dyDescent="0.25">
      <c r="A1792" t="s">
        <v>1562</v>
      </c>
      <c r="B1792" t="s">
        <v>1563</v>
      </c>
      <c r="C1792" t="s">
        <v>1564</v>
      </c>
      <c r="D1792" t="s">
        <v>50</v>
      </c>
      <c r="E1792" s="8" t="s">
        <v>1249</v>
      </c>
      <c r="F1792">
        <v>0.48499999999999999</v>
      </c>
      <c r="G1792" t="s">
        <v>78</v>
      </c>
      <c r="H1792" t="e">
        <f>VLOOKUP(Tabla3[[#This Row],[DESCRIPCION MATERIAL]],'CODIGO MAT'!$C$2:$D$390,2,FALSE)</f>
        <v>#N/A</v>
      </c>
      <c r="I1792" s="64" t="s">
        <v>50</v>
      </c>
      <c r="J1792">
        <v>1</v>
      </c>
      <c r="K1792">
        <v>0</v>
      </c>
    </row>
    <row r="1793" spans="1:11" x14ac:dyDescent="0.25">
      <c r="A1793" t="s">
        <v>1562</v>
      </c>
      <c r="B1793" t="s">
        <v>1563</v>
      </c>
      <c r="C1793" t="s">
        <v>1564</v>
      </c>
      <c r="D1793" t="s">
        <v>50</v>
      </c>
      <c r="E1793" s="8" t="s">
        <v>1210</v>
      </c>
      <c r="F1793">
        <v>0.33100000000000002</v>
      </c>
      <c r="G1793" t="s">
        <v>78</v>
      </c>
      <c r="H1793" t="e">
        <f>VLOOKUP(Tabla3[[#This Row],[DESCRIPCION MATERIAL]],'CODIGO MAT'!$C$2:$D$390,2,FALSE)</f>
        <v>#N/A</v>
      </c>
      <c r="I1793" s="64" t="s">
        <v>50</v>
      </c>
      <c r="J1793">
        <v>1</v>
      </c>
      <c r="K1793">
        <v>0</v>
      </c>
    </row>
    <row r="1794" spans="1:11" x14ac:dyDescent="0.25">
      <c r="A1794" t="s">
        <v>1562</v>
      </c>
      <c r="B1794" t="s">
        <v>1563</v>
      </c>
      <c r="C1794" t="s">
        <v>1564</v>
      </c>
      <c r="D1794" t="s">
        <v>50</v>
      </c>
      <c r="E1794" s="8" t="s">
        <v>1224</v>
      </c>
      <c r="F1794">
        <v>0.33100000000000002</v>
      </c>
      <c r="G1794" t="s">
        <v>78</v>
      </c>
      <c r="H1794" t="e">
        <f>VLOOKUP(Tabla3[[#This Row],[DESCRIPCION MATERIAL]],'CODIGO MAT'!$C$2:$D$390,2,FALSE)</f>
        <v>#N/A</v>
      </c>
      <c r="I1794" s="64" t="s">
        <v>50</v>
      </c>
      <c r="J1794">
        <v>1</v>
      </c>
      <c r="K1794">
        <v>0</v>
      </c>
    </row>
    <row r="1795" spans="1:11" x14ac:dyDescent="0.25">
      <c r="A1795" t="s">
        <v>1562</v>
      </c>
      <c r="B1795" t="s">
        <v>1563</v>
      </c>
      <c r="C1795" t="s">
        <v>1564</v>
      </c>
      <c r="D1795" t="s">
        <v>50</v>
      </c>
      <c r="E1795" s="8" t="s">
        <v>1256</v>
      </c>
      <c r="F1795">
        <v>0.17100000000000001</v>
      </c>
      <c r="G1795" t="s">
        <v>78</v>
      </c>
      <c r="H1795" t="e">
        <f>VLOOKUP(Tabla3[[#This Row],[DESCRIPCION MATERIAL]],'CODIGO MAT'!$C$2:$D$390,2,FALSE)</f>
        <v>#N/A</v>
      </c>
      <c r="I1795" s="64" t="s">
        <v>50</v>
      </c>
      <c r="J1795">
        <v>1</v>
      </c>
      <c r="K1795">
        <v>0</v>
      </c>
    </row>
    <row r="1796" spans="1:11" x14ac:dyDescent="0.25">
      <c r="A1796" t="s">
        <v>1562</v>
      </c>
      <c r="B1796" t="s">
        <v>1563</v>
      </c>
      <c r="C1796" t="s">
        <v>1564</v>
      </c>
      <c r="D1796" t="s">
        <v>50</v>
      </c>
      <c r="E1796" s="8" t="s">
        <v>1231</v>
      </c>
      <c r="F1796">
        <v>0.214</v>
      </c>
      <c r="G1796" t="s">
        <v>78</v>
      </c>
      <c r="H1796" t="e">
        <f>VLOOKUP(Tabla3[[#This Row],[DESCRIPCION MATERIAL]],'CODIGO MAT'!$C$2:$D$390,2,FALSE)</f>
        <v>#N/A</v>
      </c>
      <c r="I1796" s="64" t="s">
        <v>50</v>
      </c>
      <c r="J1796">
        <v>1</v>
      </c>
      <c r="K1796">
        <v>0</v>
      </c>
    </row>
    <row r="1797" spans="1:11" x14ac:dyDescent="0.25">
      <c r="A1797" t="s">
        <v>1562</v>
      </c>
      <c r="B1797" t="s">
        <v>1563</v>
      </c>
      <c r="C1797" t="s">
        <v>1564</v>
      </c>
      <c r="D1797" t="s">
        <v>50</v>
      </c>
      <c r="E1797" s="8" t="s">
        <v>11</v>
      </c>
      <c r="F1797">
        <v>2.8000000000000001E-2</v>
      </c>
      <c r="G1797" t="s">
        <v>78</v>
      </c>
      <c r="H1797" t="str">
        <f>VLOOKUP(Tabla3[[#This Row],[DESCRIPCION MATERIAL]],'CODIGO MAT'!$C$2:$D$390,2,FALSE)</f>
        <v>TEL0000149</v>
      </c>
      <c r="J1797">
        <v>1</v>
      </c>
      <c r="K1797">
        <v>0</v>
      </c>
    </row>
    <row r="1798" spans="1:11" x14ac:dyDescent="0.25">
      <c r="A1798" t="s">
        <v>1562</v>
      </c>
      <c r="B1798" t="s">
        <v>1563</v>
      </c>
      <c r="C1798" t="s">
        <v>1564</v>
      </c>
      <c r="D1798" t="s">
        <v>51</v>
      </c>
      <c r="E1798" s="8" t="s">
        <v>379</v>
      </c>
      <c r="F1798">
        <v>1</v>
      </c>
      <c r="G1798" t="s">
        <v>396</v>
      </c>
      <c r="H1798" t="str">
        <f>VLOOKUP(Tabla3[[#This Row],[DESCRIPCION MATERIAL]],'CODIGO MAT'!$C$2:$D$390,2,FALSE)</f>
        <v>AVI0000116</v>
      </c>
      <c r="J1798">
        <v>1</v>
      </c>
      <c r="K1798">
        <v>0</v>
      </c>
    </row>
    <row r="1799" spans="1:11" x14ac:dyDescent="0.25">
      <c r="A1799" t="s">
        <v>1562</v>
      </c>
      <c r="B1799" t="s">
        <v>1563</v>
      </c>
      <c r="C1799" t="s">
        <v>1564</v>
      </c>
      <c r="D1799" t="s">
        <v>51</v>
      </c>
      <c r="E1799" s="8" t="s">
        <v>331</v>
      </c>
      <c r="F1799">
        <v>6.25</v>
      </c>
      <c r="G1799" t="s">
        <v>78</v>
      </c>
      <c r="H1799" t="str">
        <f>VLOOKUP(Tabla3[[#This Row],[DESCRIPCION MATERIAL]],'CODIGO MAT'!$C$2:$D$390,2,FALSE)</f>
        <v>AVI0000069</v>
      </c>
      <c r="J1799">
        <v>1</v>
      </c>
      <c r="K1799">
        <v>0</v>
      </c>
    </row>
    <row r="1800" spans="1:11" x14ac:dyDescent="0.25">
      <c r="A1800" t="s">
        <v>1565</v>
      </c>
      <c r="B1800" t="s">
        <v>21</v>
      </c>
      <c r="C1800" t="s">
        <v>1566</v>
      </c>
      <c r="D1800" t="s">
        <v>50</v>
      </c>
      <c r="E1800" s="8" t="s">
        <v>13</v>
      </c>
      <c r="F1800">
        <v>0.60399999999999998</v>
      </c>
      <c r="G1800" t="s">
        <v>78</v>
      </c>
      <c r="H1800" t="str">
        <f>VLOOKUP(Tabla3[[#This Row],[DESCRIPCION MATERIAL]],'CODIGO MAT'!$C$2:$D$390,2,FALSE)</f>
        <v>TEL0000042</v>
      </c>
      <c r="J1800">
        <v>1</v>
      </c>
      <c r="K1800">
        <v>0</v>
      </c>
    </row>
    <row r="1801" spans="1:11" x14ac:dyDescent="0.25">
      <c r="A1801" t="s">
        <v>1565</v>
      </c>
      <c r="B1801" t="s">
        <v>21</v>
      </c>
      <c r="C1801" t="s">
        <v>1566</v>
      </c>
      <c r="D1801" t="s">
        <v>50</v>
      </c>
      <c r="E1801" s="8" t="s">
        <v>33</v>
      </c>
      <c r="F1801">
        <v>0.71199999999999997</v>
      </c>
      <c r="G1801" t="s">
        <v>78</v>
      </c>
      <c r="H1801" t="str">
        <f>VLOOKUP(Tabla3[[#This Row],[DESCRIPCION MATERIAL]],'CODIGO MAT'!$C$2:$D$390,2,FALSE)</f>
        <v>TEL0000043</v>
      </c>
      <c r="J1801">
        <v>1</v>
      </c>
      <c r="K1801">
        <v>0</v>
      </c>
    </row>
    <row r="1802" spans="1:11" x14ac:dyDescent="0.25">
      <c r="A1802" t="s">
        <v>1565</v>
      </c>
      <c r="B1802" t="s">
        <v>21</v>
      </c>
      <c r="C1802" t="s">
        <v>1566</v>
      </c>
      <c r="D1802" t="s">
        <v>50</v>
      </c>
      <c r="E1802" s="8" t="s">
        <v>11</v>
      </c>
      <c r="F1802">
        <v>6.9000000000000006E-2</v>
      </c>
      <c r="G1802" t="s">
        <v>78</v>
      </c>
      <c r="H1802" t="str">
        <f>VLOOKUP(Tabla3[[#This Row],[DESCRIPCION MATERIAL]],'CODIGO MAT'!$C$2:$D$390,2,FALSE)</f>
        <v>TEL0000149</v>
      </c>
      <c r="J1802">
        <v>1</v>
      </c>
      <c r="K1802">
        <v>0</v>
      </c>
    </row>
    <row r="1803" spans="1:11" x14ac:dyDescent="0.25">
      <c r="A1803" t="s">
        <v>1565</v>
      </c>
      <c r="B1803" t="s">
        <v>21</v>
      </c>
      <c r="C1803" t="s">
        <v>1566</v>
      </c>
      <c r="D1803" t="s">
        <v>51</v>
      </c>
      <c r="E1803" s="8" t="s">
        <v>34</v>
      </c>
      <c r="F1803">
        <v>2.1</v>
      </c>
      <c r="G1803" t="s">
        <v>78</v>
      </c>
      <c r="H1803" t="str">
        <f>VLOOKUP(Tabla3[[#This Row],[DESCRIPCION MATERIAL]],'CODIGO MAT'!$C$2:$D$390,2,FALSE)</f>
        <v>AVI0000034</v>
      </c>
      <c r="J1803">
        <v>1</v>
      </c>
      <c r="K1803">
        <v>0</v>
      </c>
    </row>
    <row r="1804" spans="1:11" x14ac:dyDescent="0.25">
      <c r="A1804" t="s">
        <v>1565</v>
      </c>
      <c r="B1804" t="s">
        <v>21</v>
      </c>
      <c r="C1804" t="s">
        <v>1566</v>
      </c>
      <c r="D1804" t="s">
        <v>51</v>
      </c>
      <c r="E1804" s="8" t="s">
        <v>342</v>
      </c>
      <c r="F1804">
        <v>1.55</v>
      </c>
      <c r="G1804" t="s">
        <v>78</v>
      </c>
      <c r="H1804" t="str">
        <f>VLOOKUP(Tabla3[[#This Row],[DESCRIPCION MATERIAL]],'CODIGO MAT'!$C$2:$D$390,2,FALSE)</f>
        <v>AVI0000080</v>
      </c>
      <c r="J1804">
        <v>1</v>
      </c>
      <c r="K1804">
        <v>0</v>
      </c>
    </row>
    <row r="1805" spans="1:11" x14ac:dyDescent="0.25">
      <c r="A1805" t="s">
        <v>1565</v>
      </c>
      <c r="B1805" t="s">
        <v>21</v>
      </c>
      <c r="C1805" t="s">
        <v>1566</v>
      </c>
      <c r="D1805" t="s">
        <v>50</v>
      </c>
      <c r="E1805" s="8" t="s">
        <v>186</v>
      </c>
      <c r="F1805">
        <v>4.8000000000000001E-2</v>
      </c>
      <c r="G1805" t="s">
        <v>78</v>
      </c>
      <c r="H1805" t="str">
        <f>VLOOKUP(Tabla3[[#This Row],[DESCRIPCION MATERIAL]],'CODIGO MAT'!$C$2:$D$390,2,FALSE)</f>
        <v>TEL0000113</v>
      </c>
      <c r="J1805">
        <v>1</v>
      </c>
      <c r="K1805">
        <v>0</v>
      </c>
    </row>
    <row r="1806" spans="1:11" x14ac:dyDescent="0.25">
      <c r="A1806" t="s">
        <v>1565</v>
      </c>
      <c r="B1806" t="s">
        <v>21</v>
      </c>
      <c r="C1806" t="s">
        <v>1566</v>
      </c>
      <c r="D1806" t="s">
        <v>50</v>
      </c>
      <c r="E1806" s="8" t="s">
        <v>189</v>
      </c>
      <c r="F1806">
        <v>4.7E-2</v>
      </c>
      <c r="G1806" t="s">
        <v>78</v>
      </c>
      <c r="H1806" t="str">
        <f>VLOOKUP(Tabla3[[#This Row],[DESCRIPCION MATERIAL]],'CODIGO MAT'!$C$2:$D$390,2,FALSE)</f>
        <v>TEL0000116</v>
      </c>
      <c r="J1806">
        <v>1</v>
      </c>
      <c r="K1806">
        <v>0</v>
      </c>
    </row>
    <row r="1807" spans="1:11" x14ac:dyDescent="0.25">
      <c r="A1807" t="s">
        <v>1565</v>
      </c>
      <c r="B1807" t="s">
        <v>21</v>
      </c>
      <c r="C1807" t="s">
        <v>1566</v>
      </c>
      <c r="D1807" t="s">
        <v>50</v>
      </c>
      <c r="E1807" s="8" t="s">
        <v>1264</v>
      </c>
      <c r="F1807">
        <v>1.4E-2</v>
      </c>
      <c r="G1807" t="s">
        <v>78</v>
      </c>
      <c r="H1807" t="e">
        <f>VLOOKUP(Tabla3[[#This Row],[DESCRIPCION MATERIAL]],'CODIGO MAT'!$C$2:$D$390,2,FALSE)</f>
        <v>#N/A</v>
      </c>
      <c r="I1807" s="64" t="s">
        <v>50</v>
      </c>
      <c r="J1807">
        <v>1</v>
      </c>
      <c r="K1807">
        <v>0</v>
      </c>
    </row>
    <row r="1808" spans="1:11" x14ac:dyDescent="0.25">
      <c r="A1808" t="s">
        <v>1565</v>
      </c>
      <c r="B1808" t="s">
        <v>21</v>
      </c>
      <c r="C1808" t="s">
        <v>1566</v>
      </c>
      <c r="D1808" t="s">
        <v>50</v>
      </c>
      <c r="E1808" s="8" t="s">
        <v>256</v>
      </c>
      <c r="F1808">
        <v>1.2999999999999999E-2</v>
      </c>
      <c r="G1808" t="s">
        <v>78</v>
      </c>
      <c r="H1808" t="str">
        <f>VLOOKUP(Tabla3[[#This Row],[DESCRIPCION MATERIAL]],'CODIGO MAT'!$C$2:$D$390,2,FALSE)</f>
        <v>TEL0000184</v>
      </c>
    </row>
    <row r="1809" spans="1:11" x14ac:dyDescent="0.25">
      <c r="A1809" t="s">
        <v>1565</v>
      </c>
      <c r="B1809" t="s">
        <v>21</v>
      </c>
      <c r="C1809" t="s">
        <v>1566</v>
      </c>
      <c r="D1809" t="s">
        <v>50</v>
      </c>
      <c r="E1809" s="8" t="s">
        <v>1567</v>
      </c>
      <c r="F1809">
        <v>0.01</v>
      </c>
      <c r="G1809" t="s">
        <v>78</v>
      </c>
      <c r="H1809" t="e">
        <f>VLOOKUP(Tabla3[[#This Row],[DESCRIPCION MATERIAL]],'CODIGO MAT'!$C$2:$D$390,2,FALSE)</f>
        <v>#N/A</v>
      </c>
      <c r="I1809" s="64" t="s">
        <v>50</v>
      </c>
    </row>
    <row r="1810" spans="1:11" x14ac:dyDescent="0.25">
      <c r="A1810" t="s">
        <v>1565</v>
      </c>
      <c r="B1810" t="s">
        <v>21</v>
      </c>
      <c r="C1810" t="s">
        <v>1566</v>
      </c>
      <c r="D1810" t="s">
        <v>51</v>
      </c>
      <c r="E1810" s="8" t="s">
        <v>612</v>
      </c>
      <c r="F1810">
        <v>0.35</v>
      </c>
      <c r="G1810" t="s">
        <v>78</v>
      </c>
      <c r="H1810" t="e">
        <f>VLOOKUP(Tabla3[[#This Row],[DESCRIPCION MATERIAL]],'CODIGO MAT'!$C$2:$D$390,2,FALSE)</f>
        <v>#N/A</v>
      </c>
      <c r="I1810" s="64" t="s">
        <v>51</v>
      </c>
    </row>
    <row r="1811" spans="1:11" x14ac:dyDescent="0.25">
      <c r="A1811" t="s">
        <v>1565</v>
      </c>
      <c r="B1811" t="s">
        <v>21</v>
      </c>
      <c r="C1811" t="s">
        <v>1566</v>
      </c>
      <c r="D1811" t="s">
        <v>51</v>
      </c>
      <c r="E1811" s="8" t="s">
        <v>1568</v>
      </c>
      <c r="F1811">
        <v>0.31</v>
      </c>
      <c r="G1811" t="s">
        <v>78</v>
      </c>
      <c r="H1811" t="e">
        <f>VLOOKUP(Tabla3[[#This Row],[DESCRIPCION MATERIAL]],'CODIGO MAT'!$C$2:$D$390,2,FALSE)</f>
        <v>#N/A</v>
      </c>
      <c r="I1811" s="64" t="s">
        <v>51</v>
      </c>
    </row>
    <row r="1812" spans="1:11" x14ac:dyDescent="0.25">
      <c r="A1812" t="s">
        <v>1565</v>
      </c>
      <c r="B1812" t="s">
        <v>21</v>
      </c>
      <c r="C1812" t="s">
        <v>1566</v>
      </c>
      <c r="D1812" t="s">
        <v>51</v>
      </c>
      <c r="E1812" s="8" t="s">
        <v>35</v>
      </c>
      <c r="F1812">
        <v>0.56999999999999995</v>
      </c>
      <c r="G1812" t="s">
        <v>78</v>
      </c>
      <c r="H1812" t="str">
        <f>VLOOKUP(Tabla3[[#This Row],[DESCRIPCION MATERIAL]],'CODIGO MAT'!$C$2:$D$390,2,FALSE)</f>
        <v>AVI0000031</v>
      </c>
    </row>
    <row r="1813" spans="1:11" x14ac:dyDescent="0.25">
      <c r="A1813" t="s">
        <v>1565</v>
      </c>
      <c r="B1813" t="s">
        <v>21</v>
      </c>
      <c r="C1813" t="s">
        <v>1566</v>
      </c>
      <c r="D1813" t="s">
        <v>51</v>
      </c>
      <c r="E1813" s="8" t="s">
        <v>388</v>
      </c>
      <c r="F1813">
        <v>4</v>
      </c>
      <c r="G1813" t="s">
        <v>396</v>
      </c>
      <c r="H1813" t="str">
        <f>VLOOKUP(Tabla3[[#This Row],[DESCRIPCION MATERIAL]],'CODIGO MAT'!$C$2:$D$390,2,FALSE)</f>
        <v>AVI0000123</v>
      </c>
    </row>
    <row r="1814" spans="1:11" x14ac:dyDescent="0.25">
      <c r="A1814" t="s">
        <v>1565</v>
      </c>
      <c r="B1814" t="s">
        <v>21</v>
      </c>
      <c r="C1814" t="s">
        <v>1566</v>
      </c>
      <c r="D1814" t="s">
        <v>51</v>
      </c>
      <c r="E1814" s="8" t="s">
        <v>320</v>
      </c>
      <c r="F1814">
        <v>0</v>
      </c>
      <c r="G1814" t="s">
        <v>78</v>
      </c>
      <c r="H1814" t="str">
        <f>VLOOKUP(Tabla3[[#This Row],[DESCRIPCION MATERIAL]],'CODIGO MAT'!$C$2:$D$390,2,FALSE)</f>
        <v>AVI0000059</v>
      </c>
    </row>
    <row r="1815" spans="1:11" x14ac:dyDescent="0.25">
      <c r="A1815" t="s">
        <v>1565</v>
      </c>
      <c r="B1815" t="s">
        <v>21</v>
      </c>
      <c r="C1815" t="s">
        <v>1566</v>
      </c>
      <c r="D1815" t="s">
        <v>51</v>
      </c>
      <c r="E1815" s="8" t="s">
        <v>36</v>
      </c>
      <c r="F1815">
        <v>0</v>
      </c>
      <c r="G1815" t="s">
        <v>396</v>
      </c>
      <c r="H1815" t="str">
        <f>VLOOKUP(Tabla3[[#This Row],[DESCRIPCION MATERIAL]],'CODIGO MAT'!$C$2:$D$390,2,FALSE)</f>
        <v>AVI0000135</v>
      </c>
    </row>
    <row r="1816" spans="1:11" x14ac:dyDescent="0.25">
      <c r="A1816" t="s">
        <v>1565</v>
      </c>
      <c r="B1816" t="s">
        <v>21</v>
      </c>
      <c r="C1816" t="s">
        <v>1566</v>
      </c>
      <c r="D1816" t="s">
        <v>51</v>
      </c>
      <c r="E1816" s="8" t="s">
        <v>329</v>
      </c>
      <c r="F1816">
        <v>0</v>
      </c>
      <c r="G1816" t="s">
        <v>78</v>
      </c>
      <c r="H1816" t="str">
        <f>VLOOKUP(Tabla3[[#This Row],[DESCRIPCION MATERIAL]],'CODIGO MAT'!$C$2:$D$390,2,FALSE)</f>
        <v>AVI0000067</v>
      </c>
    </row>
    <row r="1817" spans="1:11" x14ac:dyDescent="0.25">
      <c r="A1817" t="s">
        <v>1569</v>
      </c>
      <c r="B1817" t="s">
        <v>21</v>
      </c>
      <c r="C1817" t="s">
        <v>1570</v>
      </c>
      <c r="D1817" t="s">
        <v>50</v>
      </c>
      <c r="E1817" s="8" t="s">
        <v>13</v>
      </c>
      <c r="F1817">
        <v>0.505</v>
      </c>
      <c r="G1817" t="s">
        <v>78</v>
      </c>
      <c r="H1817" t="str">
        <f>VLOOKUP(Tabla3[[#This Row],[DESCRIPCION MATERIAL]],'CODIGO MAT'!$C$2:$D$390,2,FALSE)</f>
        <v>TEL0000042</v>
      </c>
      <c r="J1817">
        <v>1</v>
      </c>
      <c r="K1817">
        <v>0</v>
      </c>
    </row>
    <row r="1818" spans="1:11" x14ac:dyDescent="0.25">
      <c r="A1818" t="s">
        <v>1569</v>
      </c>
      <c r="B1818" t="s">
        <v>21</v>
      </c>
      <c r="C1818" t="s">
        <v>1570</v>
      </c>
      <c r="D1818" t="s">
        <v>50</v>
      </c>
      <c r="E1818" s="8" t="s">
        <v>33</v>
      </c>
      <c r="F1818">
        <v>0.65800000000000003</v>
      </c>
      <c r="G1818" t="s">
        <v>78</v>
      </c>
      <c r="H1818" t="str">
        <f>VLOOKUP(Tabla3[[#This Row],[DESCRIPCION MATERIAL]],'CODIGO MAT'!$C$2:$D$390,2,FALSE)</f>
        <v>TEL0000043</v>
      </c>
      <c r="J1818">
        <v>1</v>
      </c>
      <c r="K1818">
        <v>0</v>
      </c>
    </row>
    <row r="1819" spans="1:11" x14ac:dyDescent="0.25">
      <c r="A1819" t="s">
        <v>1569</v>
      </c>
      <c r="B1819" t="s">
        <v>21</v>
      </c>
      <c r="C1819" t="s">
        <v>1570</v>
      </c>
      <c r="D1819" t="s">
        <v>50</v>
      </c>
      <c r="E1819" s="8" t="s">
        <v>11</v>
      </c>
      <c r="F1819">
        <v>6.9000000000000006E-2</v>
      </c>
      <c r="G1819" t="s">
        <v>78</v>
      </c>
      <c r="H1819" t="str">
        <f>VLOOKUP(Tabla3[[#This Row],[DESCRIPCION MATERIAL]],'CODIGO MAT'!$C$2:$D$390,2,FALSE)</f>
        <v>TEL0000149</v>
      </c>
      <c r="J1819">
        <v>1</v>
      </c>
      <c r="K1819">
        <v>0</v>
      </c>
    </row>
    <row r="1820" spans="1:11" x14ac:dyDescent="0.25">
      <c r="A1820" t="s">
        <v>1569</v>
      </c>
      <c r="B1820" t="s">
        <v>21</v>
      </c>
      <c r="C1820" t="s">
        <v>1570</v>
      </c>
      <c r="D1820" t="s">
        <v>51</v>
      </c>
      <c r="E1820" s="8" t="s">
        <v>34</v>
      </c>
      <c r="F1820">
        <v>2.04</v>
      </c>
      <c r="G1820" t="s">
        <v>78</v>
      </c>
      <c r="H1820" t="str">
        <f>VLOOKUP(Tabla3[[#This Row],[DESCRIPCION MATERIAL]],'CODIGO MAT'!$C$2:$D$390,2,FALSE)</f>
        <v>AVI0000034</v>
      </c>
      <c r="J1820">
        <v>1</v>
      </c>
      <c r="K1820">
        <v>0</v>
      </c>
    </row>
    <row r="1821" spans="1:11" x14ac:dyDescent="0.25">
      <c r="A1821" t="s">
        <v>1569</v>
      </c>
      <c r="B1821" t="s">
        <v>21</v>
      </c>
      <c r="C1821" t="s">
        <v>1570</v>
      </c>
      <c r="D1821" t="s">
        <v>50</v>
      </c>
      <c r="E1821" s="8" t="s">
        <v>186</v>
      </c>
      <c r="F1821">
        <v>4.8000000000000001E-2</v>
      </c>
      <c r="G1821" t="s">
        <v>78</v>
      </c>
      <c r="H1821" t="str">
        <f>VLOOKUP(Tabla3[[#This Row],[DESCRIPCION MATERIAL]],'CODIGO MAT'!$C$2:$D$390,2,FALSE)</f>
        <v>TEL0000113</v>
      </c>
      <c r="J1821">
        <v>1</v>
      </c>
      <c r="K1821">
        <v>0</v>
      </c>
    </row>
    <row r="1822" spans="1:11" x14ac:dyDescent="0.25">
      <c r="A1822" t="s">
        <v>1569</v>
      </c>
      <c r="B1822" t="s">
        <v>21</v>
      </c>
      <c r="C1822" t="s">
        <v>1570</v>
      </c>
      <c r="D1822" t="s">
        <v>50</v>
      </c>
      <c r="E1822" s="8" t="s">
        <v>189</v>
      </c>
      <c r="F1822">
        <v>4.7E-2</v>
      </c>
      <c r="G1822" t="s">
        <v>78</v>
      </c>
      <c r="H1822" t="str">
        <f>VLOOKUP(Tabla3[[#This Row],[DESCRIPCION MATERIAL]],'CODIGO MAT'!$C$2:$D$390,2,FALSE)</f>
        <v>TEL0000116</v>
      </c>
      <c r="J1822">
        <v>1</v>
      </c>
      <c r="K1822">
        <v>0</v>
      </c>
    </row>
    <row r="1823" spans="1:11" x14ac:dyDescent="0.25">
      <c r="A1823" t="s">
        <v>1569</v>
      </c>
      <c r="B1823" t="s">
        <v>21</v>
      </c>
      <c r="C1823" t="s">
        <v>1570</v>
      </c>
      <c r="D1823" t="s">
        <v>50</v>
      </c>
      <c r="E1823" s="8" t="s">
        <v>1264</v>
      </c>
      <c r="F1823">
        <v>1.4E-2</v>
      </c>
      <c r="G1823" t="s">
        <v>78</v>
      </c>
      <c r="H1823" t="e">
        <f>VLOOKUP(Tabla3[[#This Row],[DESCRIPCION MATERIAL]],'CODIGO MAT'!$C$2:$D$390,2,FALSE)</f>
        <v>#N/A</v>
      </c>
      <c r="I1823" s="64" t="s">
        <v>50</v>
      </c>
      <c r="J1823">
        <v>1</v>
      </c>
      <c r="K1823">
        <v>0</v>
      </c>
    </row>
    <row r="1824" spans="1:11" x14ac:dyDescent="0.25">
      <c r="A1824" t="s">
        <v>1569</v>
      </c>
      <c r="B1824" t="s">
        <v>21</v>
      </c>
      <c r="C1824" t="s">
        <v>1570</v>
      </c>
      <c r="D1824" t="s">
        <v>50</v>
      </c>
      <c r="E1824" s="8" t="s">
        <v>256</v>
      </c>
      <c r="F1824">
        <v>1.2999999999999999E-2</v>
      </c>
      <c r="G1824" t="s">
        <v>78</v>
      </c>
      <c r="H1824" t="str">
        <f>VLOOKUP(Tabla3[[#This Row],[DESCRIPCION MATERIAL]],'CODIGO MAT'!$C$2:$D$390,2,FALSE)</f>
        <v>TEL0000184</v>
      </c>
    </row>
    <row r="1825" spans="1:11" x14ac:dyDescent="0.25">
      <c r="A1825" t="s">
        <v>1569</v>
      </c>
      <c r="B1825" t="s">
        <v>21</v>
      </c>
      <c r="C1825" t="s">
        <v>1570</v>
      </c>
      <c r="D1825" t="s">
        <v>50</v>
      </c>
      <c r="E1825" s="8" t="s">
        <v>1567</v>
      </c>
      <c r="F1825">
        <v>0.01</v>
      </c>
      <c r="G1825" t="s">
        <v>78</v>
      </c>
      <c r="H1825" t="e">
        <f>VLOOKUP(Tabla3[[#This Row],[DESCRIPCION MATERIAL]],'CODIGO MAT'!$C$2:$D$390,2,FALSE)</f>
        <v>#N/A</v>
      </c>
      <c r="I1825" s="64" t="s">
        <v>50</v>
      </c>
    </row>
    <row r="1826" spans="1:11" x14ac:dyDescent="0.25">
      <c r="A1826" t="s">
        <v>1569</v>
      </c>
      <c r="B1826" t="s">
        <v>21</v>
      </c>
      <c r="C1826" t="s">
        <v>1570</v>
      </c>
      <c r="D1826" t="s">
        <v>51</v>
      </c>
      <c r="E1826" s="8" t="s">
        <v>612</v>
      </c>
      <c r="F1826">
        <v>0.35</v>
      </c>
      <c r="G1826" t="s">
        <v>78</v>
      </c>
      <c r="H1826" t="e">
        <f>VLOOKUP(Tabla3[[#This Row],[DESCRIPCION MATERIAL]],'CODIGO MAT'!$C$2:$D$390,2,FALSE)</f>
        <v>#N/A</v>
      </c>
      <c r="I1826" s="64" t="s">
        <v>51</v>
      </c>
    </row>
    <row r="1827" spans="1:11" x14ac:dyDescent="0.25">
      <c r="A1827" t="s">
        <v>1569</v>
      </c>
      <c r="B1827" t="s">
        <v>21</v>
      </c>
      <c r="C1827" t="s">
        <v>1570</v>
      </c>
      <c r="D1827" t="s">
        <v>51</v>
      </c>
      <c r="E1827" s="8" t="s">
        <v>1568</v>
      </c>
      <c r="F1827">
        <v>0.31</v>
      </c>
      <c r="G1827" t="s">
        <v>78</v>
      </c>
      <c r="H1827" t="e">
        <f>VLOOKUP(Tabla3[[#This Row],[DESCRIPCION MATERIAL]],'CODIGO MAT'!$C$2:$D$390,2,FALSE)</f>
        <v>#N/A</v>
      </c>
      <c r="I1827" s="64" t="s">
        <v>51</v>
      </c>
    </row>
    <row r="1828" spans="1:11" x14ac:dyDescent="0.25">
      <c r="A1828" t="s">
        <v>1569</v>
      </c>
      <c r="B1828" t="s">
        <v>21</v>
      </c>
      <c r="C1828" t="s">
        <v>1570</v>
      </c>
      <c r="D1828" t="s">
        <v>51</v>
      </c>
      <c r="E1828" s="8" t="s">
        <v>35</v>
      </c>
      <c r="F1828">
        <v>0.56999999999999995</v>
      </c>
      <c r="G1828" t="s">
        <v>78</v>
      </c>
      <c r="H1828" t="str">
        <f>VLOOKUP(Tabla3[[#This Row],[DESCRIPCION MATERIAL]],'CODIGO MAT'!$C$2:$D$390,2,FALSE)</f>
        <v>AVI0000031</v>
      </c>
    </row>
    <row r="1829" spans="1:11" x14ac:dyDescent="0.25">
      <c r="A1829" t="s">
        <v>1569</v>
      </c>
      <c r="B1829" t="s">
        <v>21</v>
      </c>
      <c r="C1829" t="s">
        <v>1570</v>
      </c>
      <c r="D1829" t="s">
        <v>51</v>
      </c>
      <c r="E1829" s="8" t="s">
        <v>388</v>
      </c>
      <c r="F1829">
        <v>4</v>
      </c>
      <c r="G1829" t="s">
        <v>396</v>
      </c>
      <c r="H1829" t="str">
        <f>VLOOKUP(Tabla3[[#This Row],[DESCRIPCION MATERIAL]],'CODIGO MAT'!$C$2:$D$390,2,FALSE)</f>
        <v>AVI0000123</v>
      </c>
    </row>
    <row r="1830" spans="1:11" x14ac:dyDescent="0.25">
      <c r="A1830" t="s">
        <v>1569</v>
      </c>
      <c r="B1830" t="s">
        <v>21</v>
      </c>
      <c r="C1830" t="s">
        <v>1570</v>
      </c>
      <c r="D1830" t="s">
        <v>51</v>
      </c>
      <c r="E1830" s="8" t="s">
        <v>296</v>
      </c>
      <c r="F1830">
        <v>0.66</v>
      </c>
      <c r="G1830" t="s">
        <v>78</v>
      </c>
      <c r="H1830" t="str">
        <f>VLOOKUP(Tabla3[[#This Row],[DESCRIPCION MATERIAL]],'CODIGO MAT'!$C$2:$D$390,2,FALSE)</f>
        <v>AVI0000039</v>
      </c>
    </row>
    <row r="1831" spans="1:11" x14ac:dyDescent="0.25">
      <c r="A1831" t="s">
        <v>1569</v>
      </c>
      <c r="B1831" t="s">
        <v>21</v>
      </c>
      <c r="C1831" t="s">
        <v>1570</v>
      </c>
      <c r="D1831" t="s">
        <v>51</v>
      </c>
      <c r="E1831" s="8" t="s">
        <v>36</v>
      </c>
      <c r="F1831">
        <v>9</v>
      </c>
      <c r="G1831" t="s">
        <v>396</v>
      </c>
      <c r="H1831" t="str">
        <f>VLOOKUP(Tabla3[[#This Row],[DESCRIPCION MATERIAL]],'CODIGO MAT'!$C$2:$D$390,2,FALSE)</f>
        <v>AVI0000135</v>
      </c>
    </row>
    <row r="1832" spans="1:11" x14ac:dyDescent="0.25">
      <c r="A1832" t="s">
        <v>1569</v>
      </c>
      <c r="B1832" t="s">
        <v>21</v>
      </c>
      <c r="C1832" t="s">
        <v>1570</v>
      </c>
      <c r="D1832" t="s">
        <v>51</v>
      </c>
      <c r="E1832" s="8" t="s">
        <v>329</v>
      </c>
      <c r="F1832">
        <v>0.44</v>
      </c>
      <c r="G1832" t="s">
        <v>78</v>
      </c>
      <c r="H1832" t="str">
        <f>VLOOKUP(Tabla3[[#This Row],[DESCRIPCION MATERIAL]],'CODIGO MAT'!$C$2:$D$390,2,FALSE)</f>
        <v>AVI0000067</v>
      </c>
    </row>
    <row r="1833" spans="1:11" x14ac:dyDescent="0.25">
      <c r="A1833" t="s">
        <v>1571</v>
      </c>
      <c r="B1833" t="s">
        <v>21</v>
      </c>
      <c r="C1833" t="s">
        <v>1572</v>
      </c>
      <c r="D1833" t="s">
        <v>50</v>
      </c>
      <c r="E1833" s="8" t="s">
        <v>12</v>
      </c>
      <c r="F1833">
        <v>0.505</v>
      </c>
      <c r="G1833" t="s">
        <v>78</v>
      </c>
      <c r="H1833" t="str">
        <f>VLOOKUP(Tabla3[[#This Row],[DESCRIPCION MATERIAL]],'CODIGO MAT'!$C$2:$D$390,2,FALSE)</f>
        <v>TEL0000040</v>
      </c>
      <c r="J1833">
        <v>1</v>
      </c>
      <c r="K1833">
        <v>0</v>
      </c>
    </row>
    <row r="1834" spans="1:11" x14ac:dyDescent="0.25">
      <c r="A1834" t="s">
        <v>1571</v>
      </c>
      <c r="B1834" t="s">
        <v>21</v>
      </c>
      <c r="C1834" t="s">
        <v>1572</v>
      </c>
      <c r="D1834" t="s">
        <v>50</v>
      </c>
      <c r="E1834" s="8" t="s">
        <v>33</v>
      </c>
      <c r="F1834">
        <v>0.65800000000000003</v>
      </c>
      <c r="G1834" t="s">
        <v>78</v>
      </c>
      <c r="H1834" t="str">
        <f>VLOOKUP(Tabla3[[#This Row],[DESCRIPCION MATERIAL]],'CODIGO MAT'!$C$2:$D$390,2,FALSE)</f>
        <v>TEL0000043</v>
      </c>
      <c r="J1834">
        <v>1</v>
      </c>
      <c r="K1834">
        <v>0</v>
      </c>
    </row>
    <row r="1835" spans="1:11" x14ac:dyDescent="0.25">
      <c r="A1835" t="s">
        <v>1571</v>
      </c>
      <c r="B1835" t="s">
        <v>21</v>
      </c>
      <c r="C1835" t="s">
        <v>1572</v>
      </c>
      <c r="D1835" t="s">
        <v>50</v>
      </c>
      <c r="E1835" s="8" t="s">
        <v>11</v>
      </c>
      <c r="F1835">
        <v>5.6000000000000001E-2</v>
      </c>
      <c r="G1835" t="s">
        <v>78</v>
      </c>
      <c r="H1835" t="str">
        <f>VLOOKUP(Tabla3[[#This Row],[DESCRIPCION MATERIAL]],'CODIGO MAT'!$C$2:$D$390,2,FALSE)</f>
        <v>TEL0000149</v>
      </c>
      <c r="J1835">
        <v>1</v>
      </c>
      <c r="K1835">
        <v>0</v>
      </c>
    </row>
    <row r="1836" spans="1:11" x14ac:dyDescent="0.25">
      <c r="A1836" t="s">
        <v>1571</v>
      </c>
      <c r="B1836" t="s">
        <v>21</v>
      </c>
      <c r="C1836" t="s">
        <v>1572</v>
      </c>
      <c r="D1836" t="s">
        <v>51</v>
      </c>
      <c r="E1836" s="8" t="s">
        <v>34</v>
      </c>
      <c r="F1836">
        <v>2.3199999999999998</v>
      </c>
      <c r="G1836" t="s">
        <v>78</v>
      </c>
      <c r="H1836" t="str">
        <f>VLOOKUP(Tabla3[[#This Row],[DESCRIPCION MATERIAL]],'CODIGO MAT'!$C$2:$D$390,2,FALSE)</f>
        <v>AVI0000034</v>
      </c>
      <c r="J1836">
        <v>1</v>
      </c>
      <c r="K1836">
        <v>0</v>
      </c>
    </row>
    <row r="1837" spans="1:11" x14ac:dyDescent="0.25">
      <c r="A1837" t="s">
        <v>1571</v>
      </c>
      <c r="B1837" t="s">
        <v>21</v>
      </c>
      <c r="C1837" t="s">
        <v>1572</v>
      </c>
      <c r="D1837" t="s">
        <v>50</v>
      </c>
      <c r="E1837" s="8" t="s">
        <v>186</v>
      </c>
      <c r="F1837">
        <v>9.4E-2</v>
      </c>
      <c r="G1837" t="s">
        <v>78</v>
      </c>
      <c r="H1837" t="str">
        <f>VLOOKUP(Tabla3[[#This Row],[DESCRIPCION MATERIAL]],'CODIGO MAT'!$C$2:$D$390,2,FALSE)</f>
        <v>TEL0000113</v>
      </c>
      <c r="J1837">
        <v>1</v>
      </c>
      <c r="K1837">
        <v>0</v>
      </c>
    </row>
    <row r="1838" spans="1:11" x14ac:dyDescent="0.25">
      <c r="A1838" t="s">
        <v>1571</v>
      </c>
      <c r="B1838" t="s">
        <v>21</v>
      </c>
      <c r="C1838" t="s">
        <v>1572</v>
      </c>
      <c r="D1838" t="s">
        <v>50</v>
      </c>
      <c r="E1838" s="8" t="s">
        <v>1573</v>
      </c>
      <c r="F1838">
        <v>1.4E-2</v>
      </c>
      <c r="G1838" t="s">
        <v>78</v>
      </c>
      <c r="H1838" t="e">
        <f>VLOOKUP(Tabla3[[#This Row],[DESCRIPCION MATERIAL]],'CODIGO MAT'!$C$2:$D$390,2,FALSE)</f>
        <v>#N/A</v>
      </c>
      <c r="I1838" s="64" t="s">
        <v>50</v>
      </c>
      <c r="J1838">
        <v>1</v>
      </c>
      <c r="K1838">
        <v>0</v>
      </c>
    </row>
    <row r="1839" spans="1:11" x14ac:dyDescent="0.25">
      <c r="A1839" t="s">
        <v>1571</v>
      </c>
      <c r="B1839" t="s">
        <v>21</v>
      </c>
      <c r="C1839" t="s">
        <v>1572</v>
      </c>
      <c r="D1839" t="s">
        <v>50</v>
      </c>
      <c r="E1839" s="8" t="s">
        <v>255</v>
      </c>
      <c r="F1839">
        <v>1.2999999999999999E-2</v>
      </c>
      <c r="G1839" t="s">
        <v>78</v>
      </c>
      <c r="H1839" t="str">
        <f>VLOOKUP(Tabla3[[#This Row],[DESCRIPCION MATERIAL]],'CODIGO MAT'!$C$2:$D$390,2,FALSE)</f>
        <v>TEL0000183</v>
      </c>
    </row>
    <row r="1840" spans="1:11" x14ac:dyDescent="0.25">
      <c r="A1840" t="s">
        <v>1571</v>
      </c>
      <c r="B1840" t="s">
        <v>21</v>
      </c>
      <c r="C1840" t="s">
        <v>1572</v>
      </c>
      <c r="D1840" t="s">
        <v>50</v>
      </c>
      <c r="E1840" s="8" t="s">
        <v>1360</v>
      </c>
      <c r="F1840">
        <v>0.01</v>
      </c>
      <c r="G1840" t="s">
        <v>78</v>
      </c>
      <c r="H1840" t="e">
        <f>VLOOKUP(Tabla3[[#This Row],[DESCRIPCION MATERIAL]],'CODIGO MAT'!$C$2:$D$390,2,FALSE)</f>
        <v>#N/A</v>
      </c>
      <c r="I1840" s="64" t="s">
        <v>50</v>
      </c>
    </row>
    <row r="1841" spans="1:11" x14ac:dyDescent="0.25">
      <c r="A1841" t="s">
        <v>1571</v>
      </c>
      <c r="B1841" t="s">
        <v>21</v>
      </c>
      <c r="C1841" t="s">
        <v>1572</v>
      </c>
      <c r="D1841" t="s">
        <v>51</v>
      </c>
      <c r="E1841" s="8" t="s">
        <v>613</v>
      </c>
      <c r="F1841">
        <v>0.35</v>
      </c>
      <c r="G1841" t="s">
        <v>78</v>
      </c>
      <c r="H1841" t="str">
        <f>VLOOKUP(Tabla3[[#This Row],[DESCRIPCION MATERIAL]],'CODIGO MAT'!$C$2:$D$390,2,FALSE)</f>
        <v>AVI0000144</v>
      </c>
    </row>
    <row r="1842" spans="1:11" x14ac:dyDescent="0.25">
      <c r="A1842" t="s">
        <v>1571</v>
      </c>
      <c r="B1842" t="s">
        <v>21</v>
      </c>
      <c r="C1842" t="s">
        <v>1572</v>
      </c>
      <c r="D1842" t="s">
        <v>51</v>
      </c>
      <c r="E1842" s="8" t="s">
        <v>35</v>
      </c>
      <c r="F1842">
        <v>1.36</v>
      </c>
      <c r="G1842" t="s">
        <v>78</v>
      </c>
      <c r="H1842" t="str">
        <f>VLOOKUP(Tabla3[[#This Row],[DESCRIPCION MATERIAL]],'CODIGO MAT'!$C$2:$D$390,2,FALSE)</f>
        <v>AVI0000031</v>
      </c>
      <c r="J1842">
        <v>1</v>
      </c>
      <c r="K1842">
        <v>0.28000000000000003</v>
      </c>
    </row>
    <row r="1843" spans="1:11" x14ac:dyDescent="0.25">
      <c r="A1843" t="s">
        <v>1571</v>
      </c>
      <c r="B1843" t="s">
        <v>21</v>
      </c>
      <c r="C1843" t="s">
        <v>1572</v>
      </c>
      <c r="D1843" t="s">
        <v>51</v>
      </c>
      <c r="E1843" s="8" t="s">
        <v>388</v>
      </c>
      <c r="F1843">
        <v>4</v>
      </c>
      <c r="G1843" t="s">
        <v>78</v>
      </c>
      <c r="H1843" t="str">
        <f>VLOOKUP(Tabla3[[#This Row],[DESCRIPCION MATERIAL]],'CODIGO MAT'!$C$2:$D$390,2,FALSE)</f>
        <v>AVI0000123</v>
      </c>
    </row>
    <row r="1844" spans="1:11" x14ac:dyDescent="0.25">
      <c r="A1844" t="s">
        <v>1571</v>
      </c>
      <c r="B1844" t="s">
        <v>21</v>
      </c>
      <c r="C1844" t="s">
        <v>1572</v>
      </c>
      <c r="D1844" t="s">
        <v>51</v>
      </c>
      <c r="E1844" s="8" t="s">
        <v>296</v>
      </c>
      <c r="F1844">
        <v>0.54</v>
      </c>
      <c r="G1844" t="s">
        <v>78</v>
      </c>
      <c r="H1844" t="str">
        <f>VLOOKUP(Tabla3[[#This Row],[DESCRIPCION MATERIAL]],'CODIGO MAT'!$C$2:$D$390,2,FALSE)</f>
        <v>AVI0000039</v>
      </c>
    </row>
    <row r="1845" spans="1:11" x14ac:dyDescent="0.25">
      <c r="A1845" t="s">
        <v>1571</v>
      </c>
      <c r="B1845" t="s">
        <v>21</v>
      </c>
      <c r="C1845" t="s">
        <v>1572</v>
      </c>
      <c r="D1845" t="s">
        <v>51</v>
      </c>
      <c r="E1845" s="8" t="s">
        <v>36</v>
      </c>
      <c r="F1845">
        <v>6</v>
      </c>
      <c r="G1845" t="s">
        <v>78</v>
      </c>
      <c r="H1845" t="str">
        <f>VLOOKUP(Tabla3[[#This Row],[DESCRIPCION MATERIAL]],'CODIGO MAT'!$C$2:$D$390,2,FALSE)</f>
        <v>AVI0000135</v>
      </c>
    </row>
    <row r="1846" spans="1:11" x14ac:dyDescent="0.25">
      <c r="A1846" t="s">
        <v>1574</v>
      </c>
      <c r="B1846" t="s">
        <v>21</v>
      </c>
      <c r="C1846" t="s">
        <v>1575</v>
      </c>
      <c r="D1846" t="s">
        <v>50</v>
      </c>
      <c r="E1846" s="8" t="s">
        <v>152</v>
      </c>
      <c r="F1846">
        <v>0.78</v>
      </c>
      <c r="G1846" t="s">
        <v>78</v>
      </c>
      <c r="H1846" t="str">
        <f>VLOOKUP(Tabla3[[#This Row],[DESCRIPCION MATERIAL]],'CODIGO MAT'!$C$2:$D$390,2,FALSE)</f>
        <v>TEL0000079</v>
      </c>
      <c r="J1846">
        <v>1</v>
      </c>
      <c r="K1846">
        <v>0</v>
      </c>
    </row>
    <row r="1847" spans="1:11" x14ac:dyDescent="0.25">
      <c r="A1847" t="s">
        <v>1574</v>
      </c>
      <c r="B1847" t="s">
        <v>21</v>
      </c>
      <c r="C1847" t="s">
        <v>1575</v>
      </c>
      <c r="D1847" t="s">
        <v>50</v>
      </c>
      <c r="E1847" s="8" t="s">
        <v>11</v>
      </c>
      <c r="F1847">
        <v>0.153</v>
      </c>
      <c r="G1847" t="s">
        <v>78</v>
      </c>
      <c r="H1847" t="str">
        <f>VLOOKUP(Tabla3[[#This Row],[DESCRIPCION MATERIAL]],'CODIGO MAT'!$C$2:$D$390,2,FALSE)</f>
        <v>TEL0000149</v>
      </c>
      <c r="J1847">
        <v>1</v>
      </c>
      <c r="K1847">
        <v>0</v>
      </c>
    </row>
    <row r="1848" spans="1:11" x14ac:dyDescent="0.25">
      <c r="A1848" t="s">
        <v>1574</v>
      </c>
      <c r="B1848" t="s">
        <v>21</v>
      </c>
      <c r="C1848" t="s">
        <v>1575</v>
      </c>
      <c r="D1848" t="s">
        <v>50</v>
      </c>
      <c r="E1848" s="8" t="s">
        <v>1576</v>
      </c>
      <c r="F1848">
        <v>0.45700000000000002</v>
      </c>
      <c r="G1848" t="s">
        <v>78</v>
      </c>
      <c r="H1848" t="e">
        <f>VLOOKUP(Tabla3[[#This Row],[DESCRIPCION MATERIAL]],'CODIGO MAT'!$C$2:$D$390,2,FALSE)</f>
        <v>#N/A</v>
      </c>
      <c r="I1848" s="64" t="s">
        <v>50</v>
      </c>
      <c r="J1848">
        <v>1</v>
      </c>
      <c r="K1848">
        <v>0</v>
      </c>
    </row>
    <row r="1849" spans="1:11" x14ac:dyDescent="0.25">
      <c r="A1849" t="s">
        <v>1574</v>
      </c>
      <c r="B1849" t="s">
        <v>21</v>
      </c>
      <c r="C1849" t="s">
        <v>1575</v>
      </c>
      <c r="D1849" t="s">
        <v>50</v>
      </c>
      <c r="E1849" s="8" t="s">
        <v>378</v>
      </c>
      <c r="F1849">
        <v>1</v>
      </c>
      <c r="G1849" t="s">
        <v>396</v>
      </c>
      <c r="H1849" t="str">
        <f>VLOOKUP(Tabla3[[#This Row],[DESCRIPCION MATERIAL]],'CODIGO MAT'!$C$2:$D$390,2,FALSE)</f>
        <v>AVI0000115</v>
      </c>
      <c r="J1849">
        <v>1</v>
      </c>
      <c r="K1849">
        <v>0</v>
      </c>
    </row>
    <row r="1850" spans="1:11" x14ac:dyDescent="0.25">
      <c r="A1850" t="s">
        <v>1574</v>
      </c>
      <c r="B1850" t="s">
        <v>21</v>
      </c>
      <c r="C1850" t="s">
        <v>1575</v>
      </c>
      <c r="D1850" t="s">
        <v>50</v>
      </c>
      <c r="E1850" s="8" t="s">
        <v>1577</v>
      </c>
      <c r="F1850">
        <v>0</v>
      </c>
      <c r="G1850" t="s">
        <v>410</v>
      </c>
      <c r="H1850" t="e">
        <f>VLOOKUP(Tabla3[[#This Row],[DESCRIPCION MATERIAL]],'CODIGO MAT'!$C$2:$D$390,2,FALSE)</f>
        <v>#N/A</v>
      </c>
      <c r="I1850" s="64" t="s">
        <v>50</v>
      </c>
    </row>
    <row r="1851" spans="1:11" x14ac:dyDescent="0.25">
      <c r="A1851" t="s">
        <v>1574</v>
      </c>
      <c r="B1851" t="s">
        <v>21</v>
      </c>
      <c r="C1851" t="s">
        <v>1575</v>
      </c>
      <c r="D1851" t="s">
        <v>50</v>
      </c>
      <c r="E1851" s="8" t="s">
        <v>1578</v>
      </c>
      <c r="F1851">
        <v>2</v>
      </c>
      <c r="G1851" t="s">
        <v>396</v>
      </c>
      <c r="H1851" t="e">
        <f>VLOOKUP(Tabla3[[#This Row],[DESCRIPCION MATERIAL]],'CODIGO MAT'!$C$2:$D$390,2,FALSE)</f>
        <v>#N/A</v>
      </c>
      <c r="I1851" s="64" t="s">
        <v>50</v>
      </c>
    </row>
    <row r="1852" spans="1:11" x14ac:dyDescent="0.25">
      <c r="A1852" t="s">
        <v>1579</v>
      </c>
      <c r="B1852" t="s">
        <v>21</v>
      </c>
      <c r="C1852" t="s">
        <v>1580</v>
      </c>
      <c r="D1852" t="s">
        <v>50</v>
      </c>
      <c r="E1852" s="8" t="s">
        <v>118</v>
      </c>
      <c r="F1852">
        <v>1.107</v>
      </c>
      <c r="G1852" t="s">
        <v>78</v>
      </c>
      <c r="H1852" t="str">
        <f>VLOOKUP(Tabla3[[#This Row],[DESCRIPCION MATERIAL]],'CODIGO MAT'!$C$2:$D$390,2,FALSE)</f>
        <v>TEL0000045</v>
      </c>
      <c r="J1852">
        <v>1</v>
      </c>
      <c r="K1852">
        <v>0</v>
      </c>
    </row>
    <row r="1853" spans="1:11" x14ac:dyDescent="0.25">
      <c r="A1853" t="s">
        <v>1579</v>
      </c>
      <c r="B1853" t="s">
        <v>21</v>
      </c>
      <c r="C1853" t="s">
        <v>1580</v>
      </c>
      <c r="D1853" t="s">
        <v>50</v>
      </c>
      <c r="E1853" s="8" t="s">
        <v>12</v>
      </c>
      <c r="F1853">
        <v>4.5999999999999999E-2</v>
      </c>
      <c r="G1853" t="s">
        <v>78</v>
      </c>
      <c r="H1853" t="str">
        <f>VLOOKUP(Tabla3[[#This Row],[DESCRIPCION MATERIAL]],'CODIGO MAT'!$C$2:$D$390,2,FALSE)</f>
        <v>TEL0000040</v>
      </c>
      <c r="J1853">
        <v>1</v>
      </c>
      <c r="K1853">
        <v>0</v>
      </c>
    </row>
    <row r="1854" spans="1:11" x14ac:dyDescent="0.25">
      <c r="A1854" t="s">
        <v>1579</v>
      </c>
      <c r="B1854" t="s">
        <v>21</v>
      </c>
      <c r="C1854" t="s">
        <v>1580</v>
      </c>
      <c r="D1854" t="s">
        <v>50</v>
      </c>
      <c r="E1854" s="8" t="s">
        <v>11</v>
      </c>
      <c r="F1854">
        <v>3.6999999999999998E-2</v>
      </c>
      <c r="G1854" t="s">
        <v>78</v>
      </c>
      <c r="H1854" t="str">
        <f>VLOOKUP(Tabla3[[#This Row],[DESCRIPCION MATERIAL]],'CODIGO MAT'!$C$2:$D$390,2,FALSE)</f>
        <v>TEL0000149</v>
      </c>
      <c r="J1854">
        <v>1</v>
      </c>
      <c r="K1854">
        <v>0</v>
      </c>
    </row>
    <row r="1855" spans="1:11" x14ac:dyDescent="0.25">
      <c r="A1855" t="s">
        <v>1579</v>
      </c>
      <c r="B1855" t="s">
        <v>21</v>
      </c>
      <c r="C1855" t="s">
        <v>1580</v>
      </c>
      <c r="D1855" t="s">
        <v>50</v>
      </c>
      <c r="E1855" s="8" t="s">
        <v>164</v>
      </c>
      <c r="F1855">
        <v>0.01</v>
      </c>
      <c r="G1855" t="s">
        <v>78</v>
      </c>
      <c r="H1855" t="str">
        <f>VLOOKUP(Tabla3[[#This Row],[DESCRIPCION MATERIAL]],'CODIGO MAT'!$C$2:$D$390,2,FALSE)</f>
        <v>TEL0000091</v>
      </c>
      <c r="J1855">
        <v>1</v>
      </c>
      <c r="K1855">
        <v>0</v>
      </c>
    </row>
    <row r="1856" spans="1:11" x14ac:dyDescent="0.25">
      <c r="A1856" t="s">
        <v>1579</v>
      </c>
      <c r="B1856" t="s">
        <v>21</v>
      </c>
      <c r="C1856" t="s">
        <v>1580</v>
      </c>
      <c r="D1856" t="s">
        <v>50</v>
      </c>
      <c r="E1856" s="8" t="s">
        <v>192</v>
      </c>
      <c r="F1856">
        <v>0.22</v>
      </c>
      <c r="G1856" t="s">
        <v>78</v>
      </c>
      <c r="H1856" t="str">
        <f>VLOOKUP(Tabla3[[#This Row],[DESCRIPCION MATERIAL]],'CODIGO MAT'!$C$2:$D$390,2,FALSE)</f>
        <v>TEL0000119</v>
      </c>
      <c r="J1856">
        <v>1</v>
      </c>
      <c r="K1856">
        <v>0</v>
      </c>
    </row>
    <row r="1857" spans="1:11" x14ac:dyDescent="0.25">
      <c r="A1857" t="s">
        <v>1579</v>
      </c>
      <c r="B1857" t="s">
        <v>21</v>
      </c>
      <c r="C1857" t="s">
        <v>1580</v>
      </c>
      <c r="D1857" t="s">
        <v>51</v>
      </c>
      <c r="E1857" s="8" t="s">
        <v>1581</v>
      </c>
      <c r="F1857">
        <v>0.6</v>
      </c>
      <c r="G1857" t="s">
        <v>78</v>
      </c>
      <c r="H1857" t="e">
        <f>VLOOKUP(Tabla3[[#This Row],[DESCRIPCION MATERIAL]],'CODIGO MAT'!$C$2:$D$390,2,FALSE)</f>
        <v>#N/A</v>
      </c>
      <c r="I1857" s="64" t="s">
        <v>51</v>
      </c>
      <c r="J1857">
        <v>1</v>
      </c>
      <c r="K1857">
        <v>0</v>
      </c>
    </row>
    <row r="1858" spans="1:11" x14ac:dyDescent="0.25">
      <c r="A1858" t="s">
        <v>1579</v>
      </c>
      <c r="B1858" t="s">
        <v>21</v>
      </c>
      <c r="C1858" t="s">
        <v>1580</v>
      </c>
      <c r="D1858" t="s">
        <v>51</v>
      </c>
      <c r="E1858" s="8" t="s">
        <v>34</v>
      </c>
      <c r="F1858">
        <v>2.15</v>
      </c>
      <c r="G1858" t="s">
        <v>78</v>
      </c>
      <c r="H1858" t="str">
        <f>VLOOKUP(Tabla3[[#This Row],[DESCRIPCION MATERIAL]],'CODIGO MAT'!$C$2:$D$390,2,FALSE)</f>
        <v>AVI0000034</v>
      </c>
      <c r="J1858">
        <v>1</v>
      </c>
      <c r="K1858">
        <v>0</v>
      </c>
    </row>
    <row r="1859" spans="1:11" x14ac:dyDescent="0.25">
      <c r="A1859" t="s">
        <v>1579</v>
      </c>
      <c r="B1859" t="s">
        <v>21</v>
      </c>
      <c r="C1859" t="s">
        <v>1580</v>
      </c>
      <c r="D1859" t="s">
        <v>51</v>
      </c>
      <c r="E1859" s="8" t="s">
        <v>35</v>
      </c>
      <c r="F1859">
        <v>3.11</v>
      </c>
      <c r="G1859" t="s">
        <v>78</v>
      </c>
      <c r="H1859" t="str">
        <f>VLOOKUP(Tabla3[[#This Row],[DESCRIPCION MATERIAL]],'CODIGO MAT'!$C$2:$D$390,2,FALSE)</f>
        <v>AVI0000031</v>
      </c>
      <c r="J1859">
        <v>1</v>
      </c>
      <c r="K1859">
        <v>0.6</v>
      </c>
    </row>
    <row r="1860" spans="1:11" x14ac:dyDescent="0.25">
      <c r="A1860" t="s">
        <v>1579</v>
      </c>
      <c r="B1860" t="s">
        <v>21</v>
      </c>
      <c r="C1860" t="s">
        <v>1580</v>
      </c>
      <c r="D1860" t="s">
        <v>50</v>
      </c>
      <c r="E1860" s="8" t="s">
        <v>1231</v>
      </c>
      <c r="F1860">
        <v>0.02</v>
      </c>
      <c r="G1860" t="s">
        <v>78</v>
      </c>
      <c r="H1860" t="e">
        <f>VLOOKUP(Tabla3[[#This Row],[DESCRIPCION MATERIAL]],'CODIGO MAT'!$C$2:$D$390,2,FALSE)</f>
        <v>#N/A</v>
      </c>
      <c r="I1860" s="64" t="s">
        <v>50</v>
      </c>
      <c r="J1860">
        <v>1</v>
      </c>
      <c r="K1860">
        <v>0</v>
      </c>
    </row>
    <row r="1861" spans="1:11" x14ac:dyDescent="0.25">
      <c r="A1861" t="s">
        <v>1579</v>
      </c>
      <c r="B1861" t="s">
        <v>21</v>
      </c>
      <c r="C1861" t="s">
        <v>1580</v>
      </c>
      <c r="D1861" t="s">
        <v>51</v>
      </c>
      <c r="E1861" s="8" t="s">
        <v>1281</v>
      </c>
      <c r="F1861">
        <v>0.42</v>
      </c>
      <c r="G1861" t="s">
        <v>78</v>
      </c>
      <c r="H1861" t="e">
        <f>VLOOKUP(Tabla3[[#This Row],[DESCRIPCION MATERIAL]],'CODIGO MAT'!$C$2:$D$390,2,FALSE)</f>
        <v>#N/A</v>
      </c>
      <c r="I1861" s="64" t="s">
        <v>51</v>
      </c>
      <c r="J1861">
        <v>1</v>
      </c>
      <c r="K1861">
        <v>0</v>
      </c>
    </row>
    <row r="1862" spans="1:11" x14ac:dyDescent="0.25">
      <c r="A1862" t="s">
        <v>1579</v>
      </c>
      <c r="B1862" t="s">
        <v>21</v>
      </c>
      <c r="C1862" t="s">
        <v>1580</v>
      </c>
      <c r="D1862" t="s">
        <v>51</v>
      </c>
      <c r="E1862" s="8" t="s">
        <v>400</v>
      </c>
      <c r="F1862">
        <v>6</v>
      </c>
      <c r="G1862" t="s">
        <v>78</v>
      </c>
      <c r="H1862" t="str">
        <f>VLOOKUP(Tabla3[[#This Row],[DESCRIPCION MATERIAL]],'CODIGO MAT'!$C$2:$D$390,2,FALSE)</f>
        <v>AVI0000134</v>
      </c>
      <c r="J1862">
        <v>1</v>
      </c>
      <c r="K1862">
        <v>0</v>
      </c>
    </row>
    <row r="1863" spans="1:11" x14ac:dyDescent="0.25">
      <c r="A1863" t="s">
        <v>1582</v>
      </c>
      <c r="B1863" t="s">
        <v>21</v>
      </c>
      <c r="C1863" t="s">
        <v>1583</v>
      </c>
      <c r="D1863" t="s">
        <v>50</v>
      </c>
      <c r="E1863" s="8" t="s">
        <v>32</v>
      </c>
      <c r="F1863">
        <v>1.139</v>
      </c>
      <c r="G1863" t="s">
        <v>78</v>
      </c>
      <c r="H1863" t="str">
        <f>VLOOKUP(Tabla3[[#This Row],[DESCRIPCION MATERIAL]],'CODIGO MAT'!$C$2:$D$390,2,FALSE)</f>
        <v>TEL0000041</v>
      </c>
      <c r="J1863">
        <v>1</v>
      </c>
      <c r="K1863">
        <v>0</v>
      </c>
    </row>
    <row r="1864" spans="1:11" x14ac:dyDescent="0.25">
      <c r="A1864" t="s">
        <v>1582</v>
      </c>
      <c r="B1864" t="s">
        <v>21</v>
      </c>
      <c r="C1864" t="s">
        <v>1583</v>
      </c>
      <c r="D1864" t="s">
        <v>50</v>
      </c>
      <c r="E1864" s="8" t="s">
        <v>33</v>
      </c>
      <c r="F1864">
        <v>0.40600000000000003</v>
      </c>
      <c r="G1864" t="s">
        <v>78</v>
      </c>
      <c r="H1864" t="str">
        <f>VLOOKUP(Tabla3[[#This Row],[DESCRIPCION MATERIAL]],'CODIGO MAT'!$C$2:$D$390,2,FALSE)</f>
        <v>TEL0000043</v>
      </c>
      <c r="J1864">
        <v>1</v>
      </c>
      <c r="K1864">
        <v>0</v>
      </c>
    </row>
    <row r="1865" spans="1:11" x14ac:dyDescent="0.25">
      <c r="A1865" t="s">
        <v>1582</v>
      </c>
      <c r="B1865" t="s">
        <v>21</v>
      </c>
      <c r="C1865" t="s">
        <v>1583</v>
      </c>
      <c r="D1865" t="s">
        <v>50</v>
      </c>
      <c r="E1865" s="8" t="s">
        <v>111</v>
      </c>
      <c r="F1865">
        <v>0.253</v>
      </c>
      <c r="G1865" t="s">
        <v>78</v>
      </c>
      <c r="H1865" t="str">
        <f>VLOOKUP(Tabla3[[#This Row],[DESCRIPCION MATERIAL]],'CODIGO MAT'!$C$2:$D$390,2,FALSE)</f>
        <v>TEL0000034</v>
      </c>
      <c r="J1865">
        <v>1</v>
      </c>
      <c r="K1865">
        <v>0</v>
      </c>
    </row>
    <row r="1866" spans="1:11" x14ac:dyDescent="0.25">
      <c r="A1866" t="s">
        <v>1582</v>
      </c>
      <c r="B1866" t="s">
        <v>21</v>
      </c>
      <c r="C1866" t="s">
        <v>1583</v>
      </c>
      <c r="D1866" t="s">
        <v>50</v>
      </c>
      <c r="E1866" s="8" t="s">
        <v>175</v>
      </c>
      <c r="F1866">
        <v>6.8000000000000005E-2</v>
      </c>
      <c r="G1866" t="s">
        <v>78</v>
      </c>
      <c r="H1866" t="str">
        <f>VLOOKUP(Tabla3[[#This Row],[DESCRIPCION MATERIAL]],'CODIGO MAT'!$C$2:$D$390,2,FALSE)</f>
        <v>TEL0000102</v>
      </c>
      <c r="J1866">
        <v>1</v>
      </c>
      <c r="K1866">
        <v>0</v>
      </c>
    </row>
    <row r="1867" spans="1:11" x14ac:dyDescent="0.25">
      <c r="A1867" t="s">
        <v>1582</v>
      </c>
      <c r="B1867" t="s">
        <v>21</v>
      </c>
      <c r="C1867" t="s">
        <v>1583</v>
      </c>
      <c r="D1867" t="s">
        <v>50</v>
      </c>
      <c r="E1867" s="8" t="s">
        <v>12</v>
      </c>
      <c r="F1867">
        <v>5.8000000000000003E-2</v>
      </c>
      <c r="G1867" t="s">
        <v>78</v>
      </c>
      <c r="H1867" t="str">
        <f>VLOOKUP(Tabla3[[#This Row],[DESCRIPCION MATERIAL]],'CODIGO MAT'!$C$2:$D$390,2,FALSE)</f>
        <v>TEL0000040</v>
      </c>
      <c r="J1867">
        <v>1</v>
      </c>
      <c r="K1867">
        <v>0</v>
      </c>
    </row>
    <row r="1868" spans="1:11" x14ac:dyDescent="0.25">
      <c r="A1868" t="s">
        <v>1582</v>
      </c>
      <c r="B1868" t="s">
        <v>21</v>
      </c>
      <c r="C1868" t="s">
        <v>1583</v>
      </c>
      <c r="D1868" t="s">
        <v>50</v>
      </c>
      <c r="E1868" s="8" t="s">
        <v>34</v>
      </c>
      <c r="F1868">
        <v>2.36</v>
      </c>
      <c r="G1868" t="s">
        <v>78</v>
      </c>
      <c r="H1868" t="str">
        <f>VLOOKUP(Tabla3[[#This Row],[DESCRIPCION MATERIAL]],'CODIGO MAT'!$C$2:$D$390,2,FALSE)</f>
        <v>AVI0000034</v>
      </c>
      <c r="J1868">
        <v>1</v>
      </c>
      <c r="K1868">
        <v>0</v>
      </c>
    </row>
    <row r="1869" spans="1:11" x14ac:dyDescent="0.25">
      <c r="A1869" t="s">
        <v>1582</v>
      </c>
      <c r="B1869" t="s">
        <v>21</v>
      </c>
      <c r="C1869" t="s">
        <v>1583</v>
      </c>
      <c r="D1869" t="s">
        <v>50</v>
      </c>
      <c r="E1869" s="8" t="s">
        <v>430</v>
      </c>
      <c r="F1869">
        <v>4.5599999999999996</v>
      </c>
      <c r="G1869" t="s">
        <v>78</v>
      </c>
      <c r="H1869" t="str">
        <f>VLOOKUP(Tabla3[[#This Row],[DESCRIPCION MATERIAL]],'CODIGO MAT'!$C$2:$D$390,2,FALSE)</f>
        <v>AVI0000142</v>
      </c>
      <c r="J1869">
        <v>1</v>
      </c>
      <c r="K1869">
        <v>0</v>
      </c>
    </row>
    <row r="1870" spans="1:11" x14ac:dyDescent="0.25">
      <c r="A1870" t="s">
        <v>1582</v>
      </c>
      <c r="B1870" t="s">
        <v>21</v>
      </c>
      <c r="C1870" t="s">
        <v>1583</v>
      </c>
      <c r="D1870" t="s">
        <v>50</v>
      </c>
      <c r="E1870" s="8" t="s">
        <v>1435</v>
      </c>
      <c r="F1870">
        <v>0.03</v>
      </c>
      <c r="G1870" t="s">
        <v>78</v>
      </c>
      <c r="H1870" t="e">
        <f>VLOOKUP(Tabla3[[#This Row],[DESCRIPCION MATERIAL]],'CODIGO MAT'!$C$2:$D$390,2,FALSE)</f>
        <v>#N/A</v>
      </c>
      <c r="I1870" s="64" t="s">
        <v>50</v>
      </c>
      <c r="J1870">
        <v>1</v>
      </c>
      <c r="K1870">
        <v>0</v>
      </c>
    </row>
    <row r="1871" spans="1:11" x14ac:dyDescent="0.25">
      <c r="A1871" t="s">
        <v>1582</v>
      </c>
      <c r="B1871" t="s">
        <v>21</v>
      </c>
      <c r="C1871" t="s">
        <v>1583</v>
      </c>
      <c r="D1871" t="s">
        <v>50</v>
      </c>
      <c r="E1871" s="8" t="s">
        <v>427</v>
      </c>
      <c r="F1871">
        <v>1.9E-2</v>
      </c>
      <c r="G1871" t="s">
        <v>78</v>
      </c>
      <c r="H1871" t="str">
        <f>VLOOKUP(Tabla3[[#This Row],[DESCRIPCION MATERIAL]],'CODIGO MAT'!$C$2:$D$390,2,FALSE)</f>
        <v>AVI0000141</v>
      </c>
      <c r="J1871">
        <v>1</v>
      </c>
      <c r="K1871">
        <v>0</v>
      </c>
    </row>
    <row r="1872" spans="1:11" x14ac:dyDescent="0.25">
      <c r="A1872" t="s">
        <v>1582</v>
      </c>
      <c r="B1872" t="s">
        <v>21</v>
      </c>
      <c r="C1872" t="s">
        <v>1583</v>
      </c>
      <c r="D1872" t="s">
        <v>50</v>
      </c>
      <c r="E1872" s="8" t="s">
        <v>398</v>
      </c>
      <c r="F1872">
        <v>2</v>
      </c>
      <c r="G1872" t="s">
        <v>396</v>
      </c>
      <c r="H1872" t="str">
        <f>VLOOKUP(Tabla3[[#This Row],[DESCRIPCION MATERIAL]],'CODIGO MAT'!$C$2:$D$390,2,FALSE)</f>
        <v>AVI0000132</v>
      </c>
    </row>
    <row r="1873" spans="1:11" x14ac:dyDescent="0.25">
      <c r="A1873" t="s">
        <v>1584</v>
      </c>
      <c r="B1873" t="s">
        <v>21</v>
      </c>
      <c r="C1873" t="s">
        <v>1585</v>
      </c>
      <c r="D1873" t="s">
        <v>50</v>
      </c>
      <c r="E1873" s="8" t="s">
        <v>138</v>
      </c>
      <c r="F1873">
        <v>0.51400000000000001</v>
      </c>
      <c r="G1873" t="s">
        <v>78</v>
      </c>
      <c r="H1873" t="str">
        <f>VLOOKUP(Tabla3[[#This Row],[DESCRIPCION MATERIAL]],'CODIGO MAT'!$C$2:$D$390,2,FALSE)</f>
        <v>TEL0000065</v>
      </c>
      <c r="J1873">
        <v>1</v>
      </c>
      <c r="K1873">
        <v>0</v>
      </c>
    </row>
    <row r="1874" spans="1:11" x14ac:dyDescent="0.25">
      <c r="A1874" t="s">
        <v>1584</v>
      </c>
      <c r="B1874" t="s">
        <v>21</v>
      </c>
      <c r="C1874" t="s">
        <v>1585</v>
      </c>
      <c r="D1874" t="s">
        <v>50</v>
      </c>
      <c r="E1874" s="8" t="s">
        <v>118</v>
      </c>
      <c r="F1874">
        <v>0.97199999999999998</v>
      </c>
      <c r="G1874" t="s">
        <v>78</v>
      </c>
      <c r="H1874" t="str">
        <f>VLOOKUP(Tabla3[[#This Row],[DESCRIPCION MATERIAL]],'CODIGO MAT'!$C$2:$D$390,2,FALSE)</f>
        <v>TEL0000045</v>
      </c>
      <c r="J1874">
        <v>1</v>
      </c>
      <c r="K1874">
        <v>0</v>
      </c>
    </row>
    <row r="1875" spans="1:11" x14ac:dyDescent="0.25">
      <c r="A1875" t="s">
        <v>1584</v>
      </c>
      <c r="B1875" t="s">
        <v>21</v>
      </c>
      <c r="C1875" t="s">
        <v>1585</v>
      </c>
      <c r="D1875" t="s">
        <v>50</v>
      </c>
      <c r="E1875" s="8" t="s">
        <v>1586</v>
      </c>
      <c r="F1875">
        <v>0.34</v>
      </c>
      <c r="G1875" t="s">
        <v>78</v>
      </c>
      <c r="H1875" t="e">
        <f>VLOOKUP(Tabla3[[#This Row],[DESCRIPCION MATERIAL]],'CODIGO MAT'!$C$2:$D$390,2,FALSE)</f>
        <v>#N/A</v>
      </c>
      <c r="I1875" s="64" t="s">
        <v>50</v>
      </c>
      <c r="J1875">
        <v>1</v>
      </c>
      <c r="K1875">
        <v>0</v>
      </c>
    </row>
    <row r="1876" spans="1:11" x14ac:dyDescent="0.25">
      <c r="A1876" t="s">
        <v>1584</v>
      </c>
      <c r="B1876" t="s">
        <v>21</v>
      </c>
      <c r="C1876" t="s">
        <v>1585</v>
      </c>
      <c r="D1876" t="s">
        <v>50</v>
      </c>
      <c r="E1876" s="8" t="s">
        <v>1588</v>
      </c>
      <c r="F1876">
        <v>2.06</v>
      </c>
      <c r="G1876" t="s">
        <v>78</v>
      </c>
      <c r="H1876" t="e">
        <f>VLOOKUP(Tabla3[[#This Row],[DESCRIPCION MATERIAL]],'CODIGO MAT'!$C$2:$D$390,2,FALSE)</f>
        <v>#N/A</v>
      </c>
      <c r="I1876" s="64" t="s">
        <v>50</v>
      </c>
      <c r="J1876">
        <v>1</v>
      </c>
      <c r="K1876">
        <v>0</v>
      </c>
    </row>
    <row r="1877" spans="1:11" x14ac:dyDescent="0.25">
      <c r="A1877" t="s">
        <v>1584</v>
      </c>
      <c r="B1877" t="s">
        <v>21</v>
      </c>
      <c r="C1877" t="s">
        <v>1585</v>
      </c>
      <c r="D1877" t="s">
        <v>50</v>
      </c>
      <c r="E1877" s="8" t="s">
        <v>1591</v>
      </c>
      <c r="F1877">
        <v>0.54</v>
      </c>
      <c r="G1877" t="s">
        <v>78</v>
      </c>
      <c r="H1877" t="e">
        <f>VLOOKUP(Tabla3[[#This Row],[DESCRIPCION MATERIAL]],'CODIGO MAT'!$C$2:$D$390,2,FALSE)</f>
        <v>#N/A</v>
      </c>
      <c r="I1877" s="64" t="s">
        <v>50</v>
      </c>
      <c r="J1877">
        <v>1</v>
      </c>
      <c r="K1877">
        <v>0</v>
      </c>
    </row>
    <row r="1878" spans="1:11" x14ac:dyDescent="0.25">
      <c r="A1878" t="s">
        <v>1600</v>
      </c>
      <c r="B1878" t="s">
        <v>21</v>
      </c>
      <c r="C1878" t="s">
        <v>1601</v>
      </c>
      <c r="D1878" t="s">
        <v>50</v>
      </c>
      <c r="E1878" s="8" t="s">
        <v>1602</v>
      </c>
      <c r="F1878">
        <v>1.0860000000000001</v>
      </c>
      <c r="G1878" t="s">
        <v>78</v>
      </c>
      <c r="H1878" t="e">
        <f>VLOOKUP(Tabla3[[#This Row],[DESCRIPCION MATERIAL]],'CODIGO MAT'!$C$2:$D$390,2,FALSE)</f>
        <v>#N/A</v>
      </c>
      <c r="I1878" s="64" t="s">
        <v>50</v>
      </c>
      <c r="J1878">
        <v>1</v>
      </c>
      <c r="K1878">
        <v>0</v>
      </c>
    </row>
    <row r="1879" spans="1:11" x14ac:dyDescent="0.25">
      <c r="A1879" t="s">
        <v>1600</v>
      </c>
      <c r="B1879" t="s">
        <v>21</v>
      </c>
      <c r="C1879" t="s">
        <v>1601</v>
      </c>
      <c r="D1879" t="s">
        <v>50</v>
      </c>
      <c r="E1879" s="8" t="s">
        <v>118</v>
      </c>
      <c r="F1879">
        <v>0.255</v>
      </c>
      <c r="G1879" t="s">
        <v>78</v>
      </c>
      <c r="H1879" t="str">
        <f>VLOOKUP(Tabla3[[#This Row],[DESCRIPCION MATERIAL]],'CODIGO MAT'!$C$2:$D$390,2,FALSE)</f>
        <v>TEL0000045</v>
      </c>
      <c r="J1879">
        <v>1</v>
      </c>
      <c r="K1879">
        <v>0</v>
      </c>
    </row>
    <row r="1880" spans="1:11" x14ac:dyDescent="0.25">
      <c r="A1880" t="s">
        <v>1600</v>
      </c>
      <c r="B1880" t="s">
        <v>21</v>
      </c>
      <c r="C1880" t="s">
        <v>1601</v>
      </c>
      <c r="D1880" t="s">
        <v>50</v>
      </c>
      <c r="E1880" s="8" t="s">
        <v>1603</v>
      </c>
      <c r="F1880">
        <v>2.9000000000000001E-2</v>
      </c>
      <c r="G1880" t="s">
        <v>78</v>
      </c>
      <c r="H1880" t="e">
        <f>VLOOKUP(Tabla3[[#This Row],[DESCRIPCION MATERIAL]],'CODIGO MAT'!$C$2:$D$390,2,FALSE)</f>
        <v>#N/A</v>
      </c>
      <c r="I1880" s="64" t="s">
        <v>50</v>
      </c>
      <c r="J1880">
        <v>1</v>
      </c>
      <c r="K1880">
        <v>0</v>
      </c>
    </row>
    <row r="1881" spans="1:11" x14ac:dyDescent="0.25">
      <c r="A1881" t="s">
        <v>1600</v>
      </c>
      <c r="B1881" t="s">
        <v>21</v>
      </c>
      <c r="C1881" t="s">
        <v>1601</v>
      </c>
      <c r="D1881" t="s">
        <v>50</v>
      </c>
      <c r="E1881" s="8" t="s">
        <v>1587</v>
      </c>
      <c r="F1881">
        <v>0</v>
      </c>
      <c r="G1881" t="s">
        <v>78</v>
      </c>
      <c r="H1881" t="e">
        <f>VLOOKUP(Tabla3[[#This Row],[DESCRIPCION MATERIAL]],'CODIGO MAT'!$C$2:$D$390,2,FALSE)</f>
        <v>#N/A</v>
      </c>
      <c r="I1881" s="64" t="s">
        <v>50</v>
      </c>
      <c r="J1881">
        <v>1</v>
      </c>
      <c r="K1881">
        <v>0</v>
      </c>
    </row>
    <row r="1882" spans="1:11" x14ac:dyDescent="0.25">
      <c r="A1882" t="s">
        <v>1600</v>
      </c>
      <c r="B1882" t="s">
        <v>21</v>
      </c>
      <c r="C1882" t="s">
        <v>1601</v>
      </c>
      <c r="D1882" t="s">
        <v>50</v>
      </c>
      <c r="E1882" s="8" t="s">
        <v>378</v>
      </c>
      <c r="F1882">
        <v>1</v>
      </c>
      <c r="G1882" t="s">
        <v>396</v>
      </c>
      <c r="H1882" t="str">
        <f>VLOOKUP(Tabla3[[#This Row],[DESCRIPCION MATERIAL]],'CODIGO MAT'!$C$2:$D$390,2,FALSE)</f>
        <v>AVI0000115</v>
      </c>
      <c r="J1882">
        <v>1</v>
      </c>
      <c r="K1882">
        <v>0</v>
      </c>
    </row>
    <row r="1883" spans="1:11" x14ac:dyDescent="0.25">
      <c r="A1883" t="s">
        <v>1604</v>
      </c>
      <c r="B1883" t="s">
        <v>21</v>
      </c>
      <c r="C1883" t="s">
        <v>1605</v>
      </c>
      <c r="D1883" t="s">
        <v>50</v>
      </c>
      <c r="E1883" s="8" t="s">
        <v>33</v>
      </c>
      <c r="F1883">
        <v>0.73</v>
      </c>
      <c r="G1883" t="s">
        <v>78</v>
      </c>
      <c r="H1883" t="str">
        <f>VLOOKUP(Tabla3[[#This Row],[DESCRIPCION MATERIAL]],'CODIGO MAT'!$C$2:$D$390,2,FALSE)</f>
        <v>TEL0000043</v>
      </c>
      <c r="J1883">
        <v>1</v>
      </c>
      <c r="K1883">
        <v>0</v>
      </c>
    </row>
    <row r="1884" spans="1:11" x14ac:dyDescent="0.25">
      <c r="A1884" t="s">
        <v>1604</v>
      </c>
      <c r="B1884" t="s">
        <v>21</v>
      </c>
      <c r="C1884" t="s">
        <v>1605</v>
      </c>
      <c r="D1884" t="s">
        <v>50</v>
      </c>
      <c r="E1884" s="8" t="s">
        <v>1237</v>
      </c>
      <c r="F1884">
        <v>0.217</v>
      </c>
      <c r="G1884" t="s">
        <v>78</v>
      </c>
      <c r="H1884" t="e">
        <f>VLOOKUP(Tabla3[[#This Row],[DESCRIPCION MATERIAL]],'CODIGO MAT'!$C$2:$D$390,2,FALSE)</f>
        <v>#N/A</v>
      </c>
      <c r="I1884" s="64" t="s">
        <v>50</v>
      </c>
      <c r="J1884">
        <v>1</v>
      </c>
      <c r="K1884">
        <v>0</v>
      </c>
    </row>
    <row r="1885" spans="1:11" x14ac:dyDescent="0.25">
      <c r="A1885" t="s">
        <v>1604</v>
      </c>
      <c r="B1885" t="s">
        <v>21</v>
      </c>
      <c r="C1885" t="s">
        <v>1605</v>
      </c>
      <c r="D1885" t="s">
        <v>50</v>
      </c>
      <c r="E1885" s="8" t="s">
        <v>164</v>
      </c>
      <c r="F1885">
        <v>3.2000000000000001E-2</v>
      </c>
      <c r="G1885" t="s">
        <v>78</v>
      </c>
      <c r="H1885" t="str">
        <f>VLOOKUP(Tabla3[[#This Row],[DESCRIPCION MATERIAL]],'CODIGO MAT'!$C$2:$D$390,2,FALSE)</f>
        <v>TEL0000091</v>
      </c>
      <c r="J1885">
        <v>1</v>
      </c>
      <c r="K1885">
        <v>0</v>
      </c>
    </row>
    <row r="1886" spans="1:11" x14ac:dyDescent="0.25">
      <c r="A1886" t="s">
        <v>1604</v>
      </c>
      <c r="B1886" t="s">
        <v>21</v>
      </c>
      <c r="C1886" t="s">
        <v>1605</v>
      </c>
      <c r="D1886" t="s">
        <v>51</v>
      </c>
      <c r="E1886" s="8" t="s">
        <v>301</v>
      </c>
      <c r="F1886">
        <v>0.5</v>
      </c>
      <c r="G1886" t="s">
        <v>78</v>
      </c>
      <c r="H1886" t="str">
        <f>VLOOKUP(Tabla3[[#This Row],[DESCRIPCION MATERIAL]],'CODIGO MAT'!$C$2:$D$390,2,FALSE)</f>
        <v>AVI0000046</v>
      </c>
      <c r="J1886">
        <v>1</v>
      </c>
      <c r="K1886">
        <v>0</v>
      </c>
    </row>
    <row r="1887" spans="1:11" x14ac:dyDescent="0.25">
      <c r="A1887" t="s">
        <v>1604</v>
      </c>
      <c r="B1887" t="s">
        <v>21</v>
      </c>
      <c r="C1887" t="s">
        <v>1605</v>
      </c>
      <c r="D1887" t="s">
        <v>51</v>
      </c>
      <c r="E1887" s="8" t="s">
        <v>343</v>
      </c>
      <c r="F1887">
        <v>0.6</v>
      </c>
      <c r="G1887" t="s">
        <v>78</v>
      </c>
      <c r="H1887" t="str">
        <f>VLOOKUP(Tabla3[[#This Row],[DESCRIPCION MATERIAL]],'CODIGO MAT'!$C$2:$D$390,2,FALSE)</f>
        <v>AVI0000081</v>
      </c>
      <c r="J1887">
        <v>1</v>
      </c>
      <c r="K1887">
        <v>0</v>
      </c>
    </row>
    <row r="1888" spans="1:11" x14ac:dyDescent="0.25">
      <c r="A1888" t="s">
        <v>1604</v>
      </c>
      <c r="B1888" t="s">
        <v>21</v>
      </c>
      <c r="C1888" t="s">
        <v>1605</v>
      </c>
      <c r="D1888" t="s">
        <v>51</v>
      </c>
      <c r="E1888" s="8" t="s">
        <v>1606</v>
      </c>
      <c r="F1888">
        <v>0.12</v>
      </c>
      <c r="G1888" t="s">
        <v>78</v>
      </c>
      <c r="H1888" t="e">
        <f>VLOOKUP(Tabla3[[#This Row],[DESCRIPCION MATERIAL]],'CODIGO MAT'!$C$2:$D$390,2,FALSE)</f>
        <v>#N/A</v>
      </c>
      <c r="I1888" s="64" t="s">
        <v>51</v>
      </c>
      <c r="J1888">
        <v>1</v>
      </c>
      <c r="K1888">
        <v>0</v>
      </c>
    </row>
    <row r="1889" spans="1:11" x14ac:dyDescent="0.25">
      <c r="A1889" t="s">
        <v>1604</v>
      </c>
      <c r="B1889" t="s">
        <v>21</v>
      </c>
      <c r="C1889" t="s">
        <v>1605</v>
      </c>
      <c r="D1889" t="s">
        <v>50</v>
      </c>
      <c r="E1889" s="8" t="s">
        <v>611</v>
      </c>
      <c r="F1889">
        <v>0</v>
      </c>
      <c r="G1889" t="s">
        <v>78</v>
      </c>
      <c r="H1889" t="str">
        <f>VLOOKUP(Tabla3[[#This Row],[DESCRIPCION MATERIAL]],'CODIGO MAT'!$C$2:$D$390,2,FALSE)</f>
        <v>TEL0000192</v>
      </c>
      <c r="J1889">
        <v>1</v>
      </c>
      <c r="K1889">
        <v>0</v>
      </c>
    </row>
    <row r="1890" spans="1:11" x14ac:dyDescent="0.25">
      <c r="A1890" t="s">
        <v>1604</v>
      </c>
      <c r="B1890" t="s">
        <v>21</v>
      </c>
      <c r="C1890" t="s">
        <v>1605</v>
      </c>
      <c r="D1890" t="s">
        <v>51</v>
      </c>
      <c r="E1890" s="8" t="s">
        <v>1607</v>
      </c>
      <c r="F1890">
        <v>1.32</v>
      </c>
      <c r="G1890" t="s">
        <v>78</v>
      </c>
      <c r="H1890" t="e">
        <f>VLOOKUP(Tabla3[[#This Row],[DESCRIPCION MATERIAL]],'CODIGO MAT'!$C$2:$D$390,2,FALSE)</f>
        <v>#N/A</v>
      </c>
      <c r="I1890" s="64" t="s">
        <v>51</v>
      </c>
      <c r="J1890">
        <v>1</v>
      </c>
      <c r="K1890">
        <v>0</v>
      </c>
    </row>
    <row r="1891" spans="1:11" x14ac:dyDescent="0.25">
      <c r="A1891" t="s">
        <v>1604</v>
      </c>
      <c r="B1891" t="s">
        <v>21</v>
      </c>
      <c r="C1891" t="s">
        <v>1605</v>
      </c>
      <c r="D1891" t="s">
        <v>51</v>
      </c>
      <c r="E1891" s="8" t="s">
        <v>35</v>
      </c>
      <c r="F1891">
        <v>0.82</v>
      </c>
      <c r="G1891" t="s">
        <v>78</v>
      </c>
      <c r="H1891" t="str">
        <f>VLOOKUP(Tabla3[[#This Row],[DESCRIPCION MATERIAL]],'CODIGO MAT'!$C$2:$D$390,2,FALSE)</f>
        <v>AVI0000031</v>
      </c>
      <c r="J1891">
        <v>1</v>
      </c>
      <c r="K1891">
        <v>0</v>
      </c>
    </row>
    <row r="1892" spans="1:11" x14ac:dyDescent="0.25">
      <c r="A1892" t="s">
        <v>1604</v>
      </c>
      <c r="B1892" t="s">
        <v>21</v>
      </c>
      <c r="C1892" t="s">
        <v>1605</v>
      </c>
      <c r="D1892" t="s">
        <v>51</v>
      </c>
      <c r="E1892" s="8" t="s">
        <v>296</v>
      </c>
      <c r="F1892">
        <v>1.06</v>
      </c>
      <c r="G1892" t="s">
        <v>78</v>
      </c>
      <c r="H1892" t="str">
        <f>VLOOKUP(Tabla3[[#This Row],[DESCRIPCION MATERIAL]],'CODIGO MAT'!$C$2:$D$390,2,FALSE)</f>
        <v>AVI0000039</v>
      </c>
      <c r="J1892">
        <v>1</v>
      </c>
      <c r="K1892">
        <v>0</v>
      </c>
    </row>
    <row r="1893" spans="1:11" x14ac:dyDescent="0.25">
      <c r="A1893" t="s">
        <v>1604</v>
      </c>
      <c r="B1893" t="s">
        <v>21</v>
      </c>
      <c r="C1893" t="s">
        <v>1605</v>
      </c>
      <c r="D1893" t="s">
        <v>51</v>
      </c>
      <c r="E1893" s="8" t="s">
        <v>34</v>
      </c>
      <c r="F1893">
        <v>1.1499999999999999</v>
      </c>
      <c r="G1893" t="s">
        <v>78</v>
      </c>
      <c r="H1893" t="str">
        <f>VLOOKUP(Tabla3[[#This Row],[DESCRIPCION MATERIAL]],'CODIGO MAT'!$C$2:$D$390,2,FALSE)</f>
        <v>AVI0000034</v>
      </c>
      <c r="J1893">
        <v>1</v>
      </c>
      <c r="K1893">
        <v>0</v>
      </c>
    </row>
    <row r="1894" spans="1:11" x14ac:dyDescent="0.25">
      <c r="A1894" t="s">
        <v>1604</v>
      </c>
      <c r="B1894" t="s">
        <v>21</v>
      </c>
      <c r="C1894" t="s">
        <v>1605</v>
      </c>
      <c r="D1894" t="s">
        <v>51</v>
      </c>
      <c r="E1894" s="8" t="s">
        <v>363</v>
      </c>
      <c r="F1894">
        <v>0.4</v>
      </c>
      <c r="G1894" t="s">
        <v>78</v>
      </c>
      <c r="H1894" t="str">
        <f>VLOOKUP(Tabla3[[#This Row],[DESCRIPCION MATERIAL]],'CODIGO MAT'!$C$2:$D$390,2,FALSE)</f>
        <v>AVI0000101</v>
      </c>
      <c r="J1894">
        <v>1</v>
      </c>
      <c r="K1894">
        <v>0</v>
      </c>
    </row>
    <row r="1895" spans="1:11" x14ac:dyDescent="0.25">
      <c r="A1895" t="s">
        <v>1604</v>
      </c>
      <c r="B1895" t="s">
        <v>21</v>
      </c>
      <c r="C1895" t="s">
        <v>1605</v>
      </c>
      <c r="D1895" t="s">
        <v>51</v>
      </c>
      <c r="E1895" s="8" t="s">
        <v>1444</v>
      </c>
      <c r="F1895">
        <v>0.4</v>
      </c>
      <c r="G1895" t="s">
        <v>78</v>
      </c>
      <c r="H1895" t="e">
        <f>VLOOKUP(Tabla3[[#This Row],[DESCRIPCION MATERIAL]],'CODIGO MAT'!$C$2:$D$390,2,FALSE)</f>
        <v>#N/A</v>
      </c>
      <c r="I1895" s="64" t="s">
        <v>51</v>
      </c>
      <c r="J1895">
        <v>1</v>
      </c>
      <c r="K1895">
        <v>0</v>
      </c>
    </row>
    <row r="1896" spans="1:11" x14ac:dyDescent="0.25">
      <c r="A1896" t="s">
        <v>1610</v>
      </c>
      <c r="B1896" t="s">
        <v>21</v>
      </c>
      <c r="C1896" t="s">
        <v>1609</v>
      </c>
      <c r="D1896" t="s">
        <v>50</v>
      </c>
      <c r="E1896" s="8" t="s">
        <v>121</v>
      </c>
      <c r="F1896">
        <v>0.75</v>
      </c>
      <c r="G1896" t="s">
        <v>78</v>
      </c>
      <c r="H1896" t="str">
        <f>VLOOKUP(Tabla3[[#This Row],[DESCRIPCION MATERIAL]],'CODIGO MAT'!$C$2:$D$390,2,FALSE)</f>
        <v>TEL0000048</v>
      </c>
      <c r="J1896">
        <v>1</v>
      </c>
      <c r="K1896">
        <v>0</v>
      </c>
    </row>
    <row r="1897" spans="1:11" x14ac:dyDescent="0.25">
      <c r="A1897" t="s">
        <v>1610</v>
      </c>
      <c r="B1897" t="s">
        <v>21</v>
      </c>
      <c r="C1897" t="s">
        <v>1609</v>
      </c>
      <c r="D1897" t="s">
        <v>50</v>
      </c>
      <c r="E1897" s="8" t="s">
        <v>1238</v>
      </c>
      <c r="F1897">
        <v>0.218</v>
      </c>
      <c r="G1897" t="s">
        <v>78</v>
      </c>
      <c r="H1897" t="e">
        <f>VLOOKUP(Tabla3[[#This Row],[DESCRIPCION MATERIAL]],'CODIGO MAT'!$C$2:$D$390,2,FALSE)</f>
        <v>#N/A</v>
      </c>
      <c r="I1897" s="64" t="s">
        <v>50</v>
      </c>
      <c r="J1897">
        <v>1</v>
      </c>
      <c r="K1897">
        <v>0</v>
      </c>
    </row>
    <row r="1898" spans="1:11" x14ac:dyDescent="0.25">
      <c r="A1898" t="s">
        <v>1610</v>
      </c>
      <c r="B1898" t="s">
        <v>21</v>
      </c>
      <c r="C1898" t="s">
        <v>1609</v>
      </c>
      <c r="D1898" t="s">
        <v>50</v>
      </c>
      <c r="E1898" s="8" t="s">
        <v>11</v>
      </c>
      <c r="F1898">
        <v>5.8000000000000003E-2</v>
      </c>
      <c r="G1898" t="s">
        <v>78</v>
      </c>
      <c r="H1898" t="str">
        <f>VLOOKUP(Tabla3[[#This Row],[DESCRIPCION MATERIAL]],'CODIGO MAT'!$C$2:$D$390,2,FALSE)</f>
        <v>TEL0000149</v>
      </c>
      <c r="J1898">
        <v>1</v>
      </c>
      <c r="K1898">
        <v>0</v>
      </c>
    </row>
    <row r="1899" spans="1:11" x14ac:dyDescent="0.25">
      <c r="A1899" t="s">
        <v>1610</v>
      </c>
      <c r="B1899" t="s">
        <v>21</v>
      </c>
      <c r="C1899" t="s">
        <v>1609</v>
      </c>
      <c r="D1899" t="s">
        <v>50</v>
      </c>
      <c r="E1899" s="8" t="s">
        <v>611</v>
      </c>
      <c r="F1899">
        <v>0</v>
      </c>
      <c r="G1899" t="s">
        <v>78</v>
      </c>
      <c r="H1899" t="str">
        <f>VLOOKUP(Tabla3[[#This Row],[DESCRIPCION MATERIAL]],'CODIGO MAT'!$C$2:$D$390,2,FALSE)</f>
        <v>TEL0000192</v>
      </c>
      <c r="J1899">
        <v>1</v>
      </c>
      <c r="K1899">
        <v>0</v>
      </c>
    </row>
    <row r="1900" spans="1:11" x14ac:dyDescent="0.25">
      <c r="A1900" t="s">
        <v>1610</v>
      </c>
      <c r="B1900" t="s">
        <v>21</v>
      </c>
      <c r="C1900" t="s">
        <v>1609</v>
      </c>
      <c r="D1900" t="s">
        <v>50</v>
      </c>
      <c r="E1900" s="8" t="s">
        <v>1315</v>
      </c>
      <c r="F1900">
        <v>3.9E-2</v>
      </c>
      <c r="G1900" t="s">
        <v>78</v>
      </c>
      <c r="H1900" t="e">
        <f>VLOOKUP(Tabla3[[#This Row],[DESCRIPCION MATERIAL]],'CODIGO MAT'!$C$2:$D$390,2,FALSE)</f>
        <v>#N/A</v>
      </c>
      <c r="I1900" s="64" t="s">
        <v>50</v>
      </c>
      <c r="J1900">
        <v>1</v>
      </c>
      <c r="K1900">
        <v>0</v>
      </c>
    </row>
    <row r="1901" spans="1:11" x14ac:dyDescent="0.25">
      <c r="A1901" t="s">
        <v>1610</v>
      </c>
      <c r="B1901" t="s">
        <v>21</v>
      </c>
      <c r="C1901" t="s">
        <v>1609</v>
      </c>
      <c r="D1901" t="s">
        <v>51</v>
      </c>
      <c r="E1901" s="8" t="s">
        <v>1606</v>
      </c>
      <c r="F1901">
        <v>0.12</v>
      </c>
      <c r="G1901" t="s">
        <v>78</v>
      </c>
      <c r="H1901" t="e">
        <f>VLOOKUP(Tabla3[[#This Row],[DESCRIPCION MATERIAL]],'CODIGO MAT'!$C$2:$D$390,2,FALSE)</f>
        <v>#N/A</v>
      </c>
      <c r="I1901" s="64" t="s">
        <v>51</v>
      </c>
      <c r="J1901">
        <v>1</v>
      </c>
      <c r="K1901">
        <v>0</v>
      </c>
    </row>
    <row r="1902" spans="1:11" x14ac:dyDescent="0.25">
      <c r="A1902" t="s">
        <v>1610</v>
      </c>
      <c r="B1902" t="s">
        <v>21</v>
      </c>
      <c r="C1902" t="s">
        <v>1609</v>
      </c>
      <c r="D1902" t="s">
        <v>51</v>
      </c>
      <c r="E1902" s="8" t="s">
        <v>35</v>
      </c>
      <c r="F1902">
        <v>3.39</v>
      </c>
      <c r="G1902" t="s">
        <v>78</v>
      </c>
      <c r="H1902" t="str">
        <f>VLOOKUP(Tabla3[[#This Row],[DESCRIPCION MATERIAL]],'CODIGO MAT'!$C$2:$D$390,2,FALSE)</f>
        <v>AVI0000031</v>
      </c>
      <c r="J1902">
        <v>1</v>
      </c>
      <c r="K1902">
        <v>0</v>
      </c>
    </row>
    <row r="1903" spans="1:11" x14ac:dyDescent="0.25">
      <c r="A1903" t="s">
        <v>1610</v>
      </c>
      <c r="B1903" t="s">
        <v>21</v>
      </c>
      <c r="C1903" t="s">
        <v>1609</v>
      </c>
      <c r="D1903" t="s">
        <v>51</v>
      </c>
      <c r="E1903" s="8" t="s">
        <v>296</v>
      </c>
      <c r="F1903">
        <v>2.54</v>
      </c>
      <c r="G1903" t="s">
        <v>78</v>
      </c>
      <c r="H1903" t="str">
        <f>VLOOKUP(Tabla3[[#This Row],[DESCRIPCION MATERIAL]],'CODIGO MAT'!$C$2:$D$390,2,FALSE)</f>
        <v>AVI0000039</v>
      </c>
      <c r="J1903">
        <v>1</v>
      </c>
      <c r="K1903">
        <v>0</v>
      </c>
    </row>
    <row r="1904" spans="1:11" x14ac:dyDescent="0.25">
      <c r="A1904" t="s">
        <v>1610</v>
      </c>
      <c r="B1904" t="s">
        <v>21</v>
      </c>
      <c r="C1904" t="s">
        <v>1609</v>
      </c>
      <c r="D1904" t="s">
        <v>51</v>
      </c>
      <c r="E1904" s="8" t="s">
        <v>358</v>
      </c>
      <c r="F1904">
        <v>0.4</v>
      </c>
      <c r="G1904" t="s">
        <v>78</v>
      </c>
      <c r="H1904" t="str">
        <f>VLOOKUP(Tabla3[[#This Row],[DESCRIPCION MATERIAL]],'CODIGO MAT'!$C$2:$D$390,2,FALSE)</f>
        <v>AVI0000096</v>
      </c>
      <c r="J1904">
        <v>1</v>
      </c>
      <c r="K1904">
        <v>0</v>
      </c>
    </row>
    <row r="1905" spans="1:11" x14ac:dyDescent="0.25">
      <c r="A1905" t="s">
        <v>1610</v>
      </c>
      <c r="B1905" t="s">
        <v>21</v>
      </c>
      <c r="C1905" t="s">
        <v>1609</v>
      </c>
      <c r="D1905" t="s">
        <v>51</v>
      </c>
      <c r="E1905" s="8" t="s">
        <v>1608</v>
      </c>
      <c r="F1905">
        <v>0.4</v>
      </c>
      <c r="G1905" t="s">
        <v>78</v>
      </c>
      <c r="H1905" t="e">
        <f>VLOOKUP(Tabla3[[#This Row],[DESCRIPCION MATERIAL]],'CODIGO MAT'!$C$2:$D$390,2,FALSE)</f>
        <v>#N/A</v>
      </c>
      <c r="I1905" s="64" t="s">
        <v>51</v>
      </c>
      <c r="J1905">
        <v>1</v>
      </c>
      <c r="K1905">
        <v>0</v>
      </c>
    </row>
    <row r="1906" spans="1:11" x14ac:dyDescent="0.25">
      <c r="A1906" t="s">
        <v>1610</v>
      </c>
      <c r="B1906" t="s">
        <v>21</v>
      </c>
      <c r="C1906" t="s">
        <v>1609</v>
      </c>
      <c r="D1906" t="s">
        <v>50</v>
      </c>
      <c r="E1906" s="8" t="s">
        <v>164</v>
      </c>
      <c r="F1906">
        <v>8.0000000000000002E-3</v>
      </c>
      <c r="G1906" t="s">
        <v>78</v>
      </c>
      <c r="H1906" t="str">
        <f>VLOOKUP(Tabla3[[#This Row],[DESCRIPCION MATERIAL]],'CODIGO MAT'!$C$2:$D$390,2,FALSE)</f>
        <v>TEL0000091</v>
      </c>
      <c r="J1906">
        <v>1</v>
      </c>
      <c r="K1906">
        <v>0</v>
      </c>
    </row>
    <row r="1907" spans="1:11" x14ac:dyDescent="0.25">
      <c r="A1907" t="s">
        <v>1610</v>
      </c>
      <c r="B1907" t="s">
        <v>21</v>
      </c>
      <c r="C1907" t="s">
        <v>1609</v>
      </c>
      <c r="D1907" t="s">
        <v>51</v>
      </c>
      <c r="E1907" s="8" t="s">
        <v>315</v>
      </c>
      <c r="F1907">
        <v>0.25</v>
      </c>
      <c r="G1907" t="s">
        <v>78</v>
      </c>
      <c r="H1907" t="str">
        <f>VLOOKUP(Tabla3[[#This Row],[DESCRIPCION MATERIAL]],'CODIGO MAT'!$C$2:$D$390,2,FALSE)</f>
        <v>AVI0000055</v>
      </c>
      <c r="J1907">
        <v>1</v>
      </c>
      <c r="K1907">
        <v>0</v>
      </c>
    </row>
    <row r="1908" spans="1:11" x14ac:dyDescent="0.25">
      <c r="A1908" t="s">
        <v>1613</v>
      </c>
      <c r="B1908" t="s">
        <v>21</v>
      </c>
      <c r="C1908" t="s">
        <v>1612</v>
      </c>
      <c r="D1908" t="s">
        <v>50</v>
      </c>
      <c r="E1908" s="8" t="s">
        <v>12</v>
      </c>
      <c r="F1908">
        <v>0.75</v>
      </c>
      <c r="G1908" t="s">
        <v>78</v>
      </c>
      <c r="H1908" t="str">
        <f>VLOOKUP(Tabla3[[#This Row],[DESCRIPCION MATERIAL]],'CODIGO MAT'!$C$2:$D$390,2,FALSE)</f>
        <v>TEL0000040</v>
      </c>
      <c r="J1908">
        <v>1</v>
      </c>
      <c r="K1908">
        <v>0</v>
      </c>
    </row>
    <row r="1909" spans="1:11" x14ac:dyDescent="0.25">
      <c r="A1909" t="s">
        <v>1613</v>
      </c>
      <c r="B1909" t="s">
        <v>21</v>
      </c>
      <c r="C1909" t="s">
        <v>1612</v>
      </c>
      <c r="D1909" t="s">
        <v>50</v>
      </c>
      <c r="E1909" s="8" t="s">
        <v>1611</v>
      </c>
      <c r="F1909">
        <v>0.16500000000000001</v>
      </c>
      <c r="G1909" t="s">
        <v>78</v>
      </c>
      <c r="H1909" t="e">
        <f>VLOOKUP(Tabla3[[#This Row],[DESCRIPCION MATERIAL]],'CODIGO MAT'!$C$2:$D$390,2,FALSE)</f>
        <v>#N/A</v>
      </c>
      <c r="I1909" s="64" t="s">
        <v>50</v>
      </c>
      <c r="J1909">
        <v>1</v>
      </c>
      <c r="K1909">
        <v>0</v>
      </c>
    </row>
    <row r="1910" spans="1:11" x14ac:dyDescent="0.25">
      <c r="A1910" t="s">
        <v>1613</v>
      </c>
      <c r="B1910" t="s">
        <v>21</v>
      </c>
      <c r="C1910" t="s">
        <v>1612</v>
      </c>
      <c r="D1910" t="s">
        <v>50</v>
      </c>
      <c r="E1910" s="8" t="s">
        <v>183</v>
      </c>
      <c r="F1910">
        <v>0.108</v>
      </c>
      <c r="G1910" t="s">
        <v>78</v>
      </c>
      <c r="H1910" t="str">
        <f>VLOOKUP(Tabla3[[#This Row],[DESCRIPCION MATERIAL]],'CODIGO MAT'!$C$2:$D$390,2,FALSE)</f>
        <v>TEL0000110</v>
      </c>
      <c r="J1910">
        <v>1</v>
      </c>
      <c r="K1910">
        <v>0</v>
      </c>
    </row>
    <row r="1911" spans="1:11" x14ac:dyDescent="0.25">
      <c r="A1911" t="s">
        <v>1613</v>
      </c>
      <c r="B1911" t="s">
        <v>21</v>
      </c>
      <c r="C1911" t="s">
        <v>1612</v>
      </c>
      <c r="D1911" t="s">
        <v>50</v>
      </c>
      <c r="E1911" s="8" t="s">
        <v>611</v>
      </c>
      <c r="F1911">
        <v>6.7000000000000004E-2</v>
      </c>
      <c r="G1911" t="s">
        <v>78</v>
      </c>
      <c r="H1911" t="str">
        <f>VLOOKUP(Tabla3[[#This Row],[DESCRIPCION MATERIAL]],'CODIGO MAT'!$C$2:$D$390,2,FALSE)</f>
        <v>TEL0000192</v>
      </c>
      <c r="J1911">
        <v>1</v>
      </c>
      <c r="K1911">
        <v>0</v>
      </c>
    </row>
    <row r="1912" spans="1:11" x14ac:dyDescent="0.25">
      <c r="A1912" t="s">
        <v>1613</v>
      </c>
      <c r="B1912" t="s">
        <v>21</v>
      </c>
      <c r="C1912" t="s">
        <v>1612</v>
      </c>
      <c r="D1912" t="s">
        <v>50</v>
      </c>
      <c r="E1912" s="8" t="s">
        <v>164</v>
      </c>
      <c r="F1912">
        <v>8.0000000000000002E-3</v>
      </c>
      <c r="G1912" t="s">
        <v>78</v>
      </c>
      <c r="H1912" t="str">
        <f>VLOOKUP(Tabla3[[#This Row],[DESCRIPCION MATERIAL]],'CODIGO MAT'!$C$2:$D$390,2,FALSE)</f>
        <v>TEL0000091</v>
      </c>
      <c r="J1912">
        <v>1</v>
      </c>
      <c r="K1912">
        <v>0</v>
      </c>
    </row>
    <row r="1913" spans="1:11" x14ac:dyDescent="0.25">
      <c r="A1913" t="s">
        <v>1613</v>
      </c>
      <c r="B1913" t="s">
        <v>21</v>
      </c>
      <c r="C1913" t="s">
        <v>1612</v>
      </c>
      <c r="D1913" t="s">
        <v>51</v>
      </c>
      <c r="E1913" s="8" t="s">
        <v>35</v>
      </c>
      <c r="F1913">
        <v>3.39</v>
      </c>
      <c r="G1913" t="s">
        <v>78</v>
      </c>
      <c r="H1913" t="str">
        <f>VLOOKUP(Tabla3[[#This Row],[DESCRIPCION MATERIAL]],'CODIGO MAT'!$C$2:$D$390,2,FALSE)</f>
        <v>AVI0000031</v>
      </c>
      <c r="J1913">
        <v>1</v>
      </c>
      <c r="K1913">
        <v>0</v>
      </c>
    </row>
    <row r="1914" spans="1:11" x14ac:dyDescent="0.25">
      <c r="A1914" t="s">
        <v>1613</v>
      </c>
      <c r="B1914" t="s">
        <v>21</v>
      </c>
      <c r="C1914" t="s">
        <v>1612</v>
      </c>
      <c r="D1914" t="s">
        <v>51</v>
      </c>
      <c r="E1914" s="8" t="s">
        <v>296</v>
      </c>
      <c r="F1914">
        <v>2.54</v>
      </c>
      <c r="G1914" t="s">
        <v>78</v>
      </c>
      <c r="H1914" t="str">
        <f>VLOOKUP(Tabla3[[#This Row],[DESCRIPCION MATERIAL]],'CODIGO MAT'!$C$2:$D$390,2,FALSE)</f>
        <v>AVI0000039</v>
      </c>
      <c r="J1914">
        <v>1</v>
      </c>
      <c r="K1914">
        <v>0</v>
      </c>
    </row>
    <row r="1915" spans="1:11" x14ac:dyDescent="0.25">
      <c r="A1915" t="s">
        <v>1613</v>
      </c>
      <c r="B1915" t="s">
        <v>21</v>
      </c>
      <c r="C1915" t="s">
        <v>1612</v>
      </c>
      <c r="D1915" t="s">
        <v>51</v>
      </c>
      <c r="E1915" s="8" t="s">
        <v>1606</v>
      </c>
      <c r="F1915">
        <v>0.12</v>
      </c>
      <c r="G1915" t="s">
        <v>78</v>
      </c>
      <c r="H1915" t="e">
        <f>VLOOKUP(Tabla3[[#This Row],[DESCRIPCION MATERIAL]],'CODIGO MAT'!$C$2:$D$390,2,FALSE)</f>
        <v>#N/A</v>
      </c>
      <c r="I1915" s="64" t="s">
        <v>51</v>
      </c>
      <c r="J1915">
        <v>1</v>
      </c>
      <c r="K1915">
        <v>0</v>
      </c>
    </row>
    <row r="1916" spans="1:11" x14ac:dyDescent="0.25">
      <c r="A1916" t="s">
        <v>1613</v>
      </c>
      <c r="B1916" t="s">
        <v>21</v>
      </c>
      <c r="C1916" t="s">
        <v>1612</v>
      </c>
      <c r="D1916" t="s">
        <v>51</v>
      </c>
      <c r="E1916" s="8" t="s">
        <v>356</v>
      </c>
      <c r="F1916">
        <v>0.4</v>
      </c>
      <c r="G1916" t="s">
        <v>78</v>
      </c>
      <c r="H1916" t="str">
        <f>VLOOKUP(Tabla3[[#This Row],[DESCRIPCION MATERIAL]],'CODIGO MAT'!$C$2:$D$390,2,FALSE)</f>
        <v>AVI0000094</v>
      </c>
      <c r="J1916">
        <v>1</v>
      </c>
      <c r="K1916">
        <v>0</v>
      </c>
    </row>
    <row r="1917" spans="1:11" x14ac:dyDescent="0.25">
      <c r="A1917" t="s">
        <v>1613</v>
      </c>
      <c r="B1917" t="s">
        <v>21</v>
      </c>
      <c r="C1917" t="s">
        <v>1612</v>
      </c>
      <c r="D1917" t="s">
        <v>51</v>
      </c>
      <c r="E1917" s="8" t="s">
        <v>1608</v>
      </c>
      <c r="F1917">
        <v>0.4</v>
      </c>
      <c r="G1917" t="s">
        <v>78</v>
      </c>
      <c r="H1917" t="e">
        <f>VLOOKUP(Tabla3[[#This Row],[DESCRIPCION MATERIAL]],'CODIGO MAT'!$C$2:$D$390,2,FALSE)</f>
        <v>#N/A</v>
      </c>
      <c r="I1917" s="64" t="s">
        <v>51</v>
      </c>
      <c r="J1917">
        <v>1</v>
      </c>
      <c r="K1917">
        <v>0</v>
      </c>
    </row>
    <row r="1918" spans="1:11" x14ac:dyDescent="0.25">
      <c r="A1918" t="s">
        <v>1615</v>
      </c>
      <c r="B1918" t="s">
        <v>21</v>
      </c>
      <c r="C1918" t="s">
        <v>1614</v>
      </c>
      <c r="D1918" t="s">
        <v>50</v>
      </c>
      <c r="E1918" s="8" t="s">
        <v>33</v>
      </c>
      <c r="F1918">
        <v>0.66600000000000004</v>
      </c>
      <c r="G1918" t="s">
        <v>78</v>
      </c>
      <c r="H1918" t="str">
        <f>VLOOKUP(Tabla3[[#This Row],[DESCRIPCION MATERIAL]],'CODIGO MAT'!$C$2:$D$390,2,FALSE)</f>
        <v>TEL0000043</v>
      </c>
      <c r="J1918">
        <v>1</v>
      </c>
      <c r="K1918">
        <v>0</v>
      </c>
    </row>
    <row r="1919" spans="1:11" x14ac:dyDescent="0.25">
      <c r="A1919" t="s">
        <v>1615</v>
      </c>
      <c r="B1919" t="s">
        <v>21</v>
      </c>
      <c r="C1919" t="s">
        <v>1614</v>
      </c>
      <c r="D1919" t="s">
        <v>50</v>
      </c>
      <c r="E1919" s="8" t="s">
        <v>32</v>
      </c>
      <c r="F1919">
        <v>0.58399999999999996</v>
      </c>
      <c r="G1919" t="s">
        <v>78</v>
      </c>
      <c r="H1919" t="str">
        <f>VLOOKUP(Tabla3[[#This Row],[DESCRIPCION MATERIAL]],'CODIGO MAT'!$C$2:$D$390,2,FALSE)</f>
        <v>TEL0000041</v>
      </c>
      <c r="J1919">
        <v>1</v>
      </c>
      <c r="K1919">
        <v>0</v>
      </c>
    </row>
    <row r="1920" spans="1:11" x14ac:dyDescent="0.25">
      <c r="A1920" t="s">
        <v>1615</v>
      </c>
      <c r="B1920" t="s">
        <v>21</v>
      </c>
      <c r="C1920" t="s">
        <v>1614</v>
      </c>
      <c r="D1920" t="s">
        <v>50</v>
      </c>
      <c r="E1920" s="8" t="s">
        <v>188</v>
      </c>
      <c r="F1920">
        <v>2.7E-2</v>
      </c>
      <c r="G1920" t="s">
        <v>78</v>
      </c>
      <c r="H1920" t="str">
        <f>VLOOKUP(Tabla3[[#This Row],[DESCRIPCION MATERIAL]],'CODIGO MAT'!$C$2:$D$390,2,FALSE)</f>
        <v>TEL0000115</v>
      </c>
      <c r="J1920">
        <v>1</v>
      </c>
      <c r="K1920">
        <v>0</v>
      </c>
    </row>
    <row r="1921" spans="1:11" x14ac:dyDescent="0.25">
      <c r="A1921" t="s">
        <v>1615</v>
      </c>
      <c r="B1921" t="s">
        <v>21</v>
      </c>
      <c r="C1921" t="s">
        <v>1614</v>
      </c>
      <c r="D1921" t="s">
        <v>50</v>
      </c>
      <c r="E1921" s="8" t="s">
        <v>186</v>
      </c>
      <c r="F1921">
        <v>6.4000000000000001E-2</v>
      </c>
      <c r="G1921" t="s">
        <v>78</v>
      </c>
      <c r="H1921" t="str">
        <f>VLOOKUP(Tabla3[[#This Row],[DESCRIPCION MATERIAL]],'CODIGO MAT'!$C$2:$D$390,2,FALSE)</f>
        <v>TEL0000113</v>
      </c>
      <c r="J1921">
        <v>1</v>
      </c>
      <c r="K1921">
        <v>0</v>
      </c>
    </row>
    <row r="1922" spans="1:11" x14ac:dyDescent="0.25">
      <c r="A1922" t="s">
        <v>1615</v>
      </c>
      <c r="B1922" t="s">
        <v>21</v>
      </c>
      <c r="C1922" t="s">
        <v>1614</v>
      </c>
      <c r="D1922" t="s">
        <v>50</v>
      </c>
      <c r="E1922" s="8" t="s">
        <v>1264</v>
      </c>
      <c r="F1922">
        <v>1.4E-2</v>
      </c>
      <c r="G1922" t="s">
        <v>78</v>
      </c>
      <c r="H1922" t="e">
        <f>VLOOKUP(Tabla3[[#This Row],[DESCRIPCION MATERIAL]],'CODIGO MAT'!$C$2:$D$390,2,FALSE)</f>
        <v>#N/A</v>
      </c>
      <c r="I1922" s="64" t="s">
        <v>50</v>
      </c>
      <c r="J1922">
        <v>1</v>
      </c>
      <c r="K1922">
        <v>0</v>
      </c>
    </row>
    <row r="1923" spans="1:11" x14ac:dyDescent="0.25">
      <c r="A1923" t="s">
        <v>1615</v>
      </c>
      <c r="B1923" t="s">
        <v>21</v>
      </c>
      <c r="C1923" t="s">
        <v>1614</v>
      </c>
      <c r="D1923" t="s">
        <v>51</v>
      </c>
      <c r="E1923" s="8" t="s">
        <v>1327</v>
      </c>
      <c r="F1923">
        <v>3.88</v>
      </c>
      <c r="G1923" t="s">
        <v>78</v>
      </c>
      <c r="H1923" t="e">
        <f>VLOOKUP(Tabla3[[#This Row],[DESCRIPCION MATERIAL]],'CODIGO MAT'!$C$2:$D$390,2,FALSE)</f>
        <v>#N/A</v>
      </c>
      <c r="I1923" s="64" t="s">
        <v>51</v>
      </c>
      <c r="J1923">
        <v>1</v>
      </c>
      <c r="K1923">
        <v>0</v>
      </c>
    </row>
    <row r="1924" spans="1:11" x14ac:dyDescent="0.25">
      <c r="A1924" t="s">
        <v>1615</v>
      </c>
      <c r="B1924" t="s">
        <v>21</v>
      </c>
      <c r="C1924" t="s">
        <v>1614</v>
      </c>
      <c r="D1924" t="s">
        <v>51</v>
      </c>
      <c r="E1924" s="8" t="s">
        <v>402</v>
      </c>
      <c r="F1924">
        <v>11</v>
      </c>
      <c r="G1924" t="s">
        <v>396</v>
      </c>
      <c r="H1924" t="str">
        <f>VLOOKUP(Tabla3[[#This Row],[DESCRIPCION MATERIAL]],'CODIGO MAT'!$C$2:$D$390,2,FALSE)</f>
        <v>AVI0000137</v>
      </c>
    </row>
    <row r="1925" spans="1:11" x14ac:dyDescent="0.25">
      <c r="A1925" t="s">
        <v>1615</v>
      </c>
      <c r="B1925" t="s">
        <v>21</v>
      </c>
      <c r="C1925" t="s">
        <v>1614</v>
      </c>
      <c r="D1925" t="s">
        <v>50</v>
      </c>
      <c r="E1925" s="8" t="s">
        <v>244</v>
      </c>
      <c r="F1925">
        <v>2.3E-2</v>
      </c>
      <c r="G1925" t="s">
        <v>78</v>
      </c>
      <c r="H1925" t="str">
        <f>VLOOKUP(Tabla3[[#This Row],[DESCRIPCION MATERIAL]],'CODIGO MAT'!$C$2:$D$390,2,FALSE)</f>
        <v>TEL0000172</v>
      </c>
    </row>
    <row r="1926" spans="1:11" x14ac:dyDescent="0.25">
      <c r="A1926" t="s">
        <v>1615</v>
      </c>
      <c r="B1926" t="s">
        <v>21</v>
      </c>
      <c r="C1926" t="s">
        <v>1614</v>
      </c>
      <c r="D1926" t="s">
        <v>51</v>
      </c>
      <c r="E1926" s="8" t="s">
        <v>404</v>
      </c>
      <c r="F1926">
        <v>1</v>
      </c>
      <c r="G1926" t="s">
        <v>396</v>
      </c>
      <c r="H1926" t="str">
        <f>VLOOKUP(Tabla3[[#This Row],[DESCRIPCION MATERIAL]],'CODIGO MAT'!$C$2:$D$390,2,FALSE)</f>
        <v>AVI0000139</v>
      </c>
    </row>
    <row r="1927" spans="1:11" x14ac:dyDescent="0.25">
      <c r="A1927" t="s">
        <v>1615</v>
      </c>
      <c r="B1927" t="s">
        <v>21</v>
      </c>
      <c r="C1927" t="s">
        <v>1614</v>
      </c>
      <c r="D1927" t="s">
        <v>51</v>
      </c>
      <c r="E1927" s="8" t="s">
        <v>35</v>
      </c>
      <c r="F1927">
        <v>0.24</v>
      </c>
      <c r="G1927" t="s">
        <v>78</v>
      </c>
      <c r="H1927" t="str">
        <f>VLOOKUP(Tabla3[[#This Row],[DESCRIPCION MATERIAL]],'CODIGO MAT'!$C$2:$D$390,2,FALSE)</f>
        <v>AVI0000031</v>
      </c>
    </row>
    <row r="1928" spans="1:11" x14ac:dyDescent="0.25">
      <c r="A1928" t="s">
        <v>1617</v>
      </c>
      <c r="B1928" t="s">
        <v>21</v>
      </c>
      <c r="C1928" t="s">
        <v>1616</v>
      </c>
      <c r="D1928" t="s">
        <v>50</v>
      </c>
      <c r="E1928" s="8" t="s">
        <v>33</v>
      </c>
      <c r="F1928">
        <v>0.66600000000000004</v>
      </c>
      <c r="G1928" t="s">
        <v>78</v>
      </c>
      <c r="H1928" t="str">
        <f>VLOOKUP(Tabla3[[#This Row],[DESCRIPCION MATERIAL]],'CODIGO MAT'!$C$2:$D$390,2,FALSE)</f>
        <v>TEL0000043</v>
      </c>
      <c r="J1928">
        <v>1</v>
      </c>
      <c r="K1928">
        <v>0</v>
      </c>
    </row>
    <row r="1929" spans="1:11" x14ac:dyDescent="0.25">
      <c r="A1929" t="s">
        <v>1617</v>
      </c>
      <c r="B1929" t="s">
        <v>21</v>
      </c>
      <c r="C1929" t="s">
        <v>1616</v>
      </c>
      <c r="D1929" t="s">
        <v>50</v>
      </c>
      <c r="E1929" s="8" t="s">
        <v>13</v>
      </c>
      <c r="F1929">
        <v>0.58399999999999996</v>
      </c>
      <c r="G1929" t="s">
        <v>78</v>
      </c>
      <c r="H1929" t="str">
        <f>VLOOKUP(Tabla3[[#This Row],[DESCRIPCION MATERIAL]],'CODIGO MAT'!$C$2:$D$390,2,FALSE)</f>
        <v>TEL0000042</v>
      </c>
      <c r="J1929">
        <v>1</v>
      </c>
      <c r="K1929">
        <v>0</v>
      </c>
    </row>
    <row r="1930" spans="1:11" x14ac:dyDescent="0.25">
      <c r="A1930" t="s">
        <v>1617</v>
      </c>
      <c r="B1930" t="s">
        <v>21</v>
      </c>
      <c r="C1930" t="s">
        <v>1616</v>
      </c>
      <c r="D1930" t="s">
        <v>50</v>
      </c>
      <c r="E1930" s="8" t="s">
        <v>189</v>
      </c>
      <c r="F1930">
        <v>9.0999999999999998E-2</v>
      </c>
      <c r="G1930" t="s">
        <v>78</v>
      </c>
      <c r="H1930" t="str">
        <f>VLOOKUP(Tabla3[[#This Row],[DESCRIPCION MATERIAL]],'CODIGO MAT'!$C$2:$D$390,2,FALSE)</f>
        <v>TEL0000116</v>
      </c>
      <c r="J1930">
        <v>1</v>
      </c>
      <c r="K1930">
        <v>0</v>
      </c>
    </row>
    <row r="1931" spans="1:11" x14ac:dyDescent="0.25">
      <c r="A1931" t="s">
        <v>1617</v>
      </c>
      <c r="B1931" t="s">
        <v>21</v>
      </c>
      <c r="C1931" t="s">
        <v>1616</v>
      </c>
      <c r="D1931" t="s">
        <v>50</v>
      </c>
      <c r="E1931" s="8" t="s">
        <v>1264</v>
      </c>
      <c r="F1931">
        <v>1.4E-2</v>
      </c>
      <c r="G1931" t="s">
        <v>78</v>
      </c>
      <c r="H1931" t="e">
        <f>VLOOKUP(Tabla3[[#This Row],[DESCRIPCION MATERIAL]],'CODIGO MAT'!$C$2:$D$390,2,FALSE)</f>
        <v>#N/A</v>
      </c>
      <c r="I1931" s="64" t="s">
        <v>50</v>
      </c>
      <c r="J1931">
        <v>1</v>
      </c>
      <c r="K1931">
        <v>0</v>
      </c>
    </row>
    <row r="1932" spans="1:11" x14ac:dyDescent="0.25">
      <c r="A1932" t="s">
        <v>1617</v>
      </c>
      <c r="B1932" t="s">
        <v>21</v>
      </c>
      <c r="C1932" t="s">
        <v>1616</v>
      </c>
      <c r="D1932" t="s">
        <v>51</v>
      </c>
      <c r="E1932" s="8" t="s">
        <v>1327</v>
      </c>
      <c r="F1932">
        <v>3.88</v>
      </c>
      <c r="G1932" t="s">
        <v>78</v>
      </c>
      <c r="H1932" t="e">
        <f>VLOOKUP(Tabla3[[#This Row],[DESCRIPCION MATERIAL]],'CODIGO MAT'!$C$2:$D$390,2,FALSE)</f>
        <v>#N/A</v>
      </c>
      <c r="I1932" s="64" t="s">
        <v>51</v>
      </c>
      <c r="J1932">
        <v>1</v>
      </c>
      <c r="K1932">
        <v>0</v>
      </c>
    </row>
    <row r="1933" spans="1:11" x14ac:dyDescent="0.25">
      <c r="A1933" t="s">
        <v>1617</v>
      </c>
      <c r="B1933" t="s">
        <v>21</v>
      </c>
      <c r="C1933" t="s">
        <v>1616</v>
      </c>
      <c r="D1933" t="s">
        <v>51</v>
      </c>
      <c r="E1933" s="8" t="s">
        <v>402</v>
      </c>
      <c r="F1933">
        <v>11</v>
      </c>
      <c r="G1933" t="s">
        <v>396</v>
      </c>
      <c r="H1933" t="str">
        <f>VLOOKUP(Tabla3[[#This Row],[DESCRIPCION MATERIAL]],'CODIGO MAT'!$C$2:$D$390,2,FALSE)</f>
        <v>AVI0000137</v>
      </c>
    </row>
    <row r="1934" spans="1:11" x14ac:dyDescent="0.25">
      <c r="A1934" t="s">
        <v>1617</v>
      </c>
      <c r="B1934" t="s">
        <v>21</v>
      </c>
      <c r="C1934" t="s">
        <v>1616</v>
      </c>
      <c r="D1934" t="s">
        <v>50</v>
      </c>
      <c r="E1934" s="8" t="s">
        <v>244</v>
      </c>
      <c r="F1934">
        <v>2.3E-2</v>
      </c>
      <c r="G1934" t="s">
        <v>78</v>
      </c>
      <c r="H1934" t="str">
        <f>VLOOKUP(Tabla3[[#This Row],[DESCRIPCION MATERIAL]],'CODIGO MAT'!$C$2:$D$390,2,FALSE)</f>
        <v>TEL0000172</v>
      </c>
    </row>
    <row r="1935" spans="1:11" x14ac:dyDescent="0.25">
      <c r="A1935" t="s">
        <v>1617</v>
      </c>
      <c r="B1935" t="s">
        <v>21</v>
      </c>
      <c r="C1935" t="s">
        <v>1616</v>
      </c>
      <c r="D1935" t="s">
        <v>51</v>
      </c>
      <c r="E1935" s="8" t="s">
        <v>404</v>
      </c>
      <c r="F1935">
        <v>1</v>
      </c>
      <c r="G1935" t="s">
        <v>396</v>
      </c>
      <c r="H1935" t="str">
        <f>VLOOKUP(Tabla3[[#This Row],[DESCRIPCION MATERIAL]],'CODIGO MAT'!$C$2:$D$390,2,FALSE)</f>
        <v>AVI0000139</v>
      </c>
    </row>
    <row r="1936" spans="1:11" x14ac:dyDescent="0.25">
      <c r="A1936" t="s">
        <v>1617</v>
      </c>
      <c r="B1936" t="s">
        <v>21</v>
      </c>
      <c r="C1936" t="s">
        <v>1616</v>
      </c>
      <c r="D1936" t="s">
        <v>51</v>
      </c>
      <c r="E1936" s="8" t="s">
        <v>35</v>
      </c>
      <c r="F1936">
        <v>0.24</v>
      </c>
      <c r="G1936" t="s">
        <v>78</v>
      </c>
      <c r="H1936" t="str">
        <f>VLOOKUP(Tabla3[[#This Row],[DESCRIPCION MATERIAL]],'CODIGO MAT'!$C$2:$D$390,2,FALSE)</f>
        <v>AVI0000031</v>
      </c>
    </row>
    <row r="1937" spans="1:11" x14ac:dyDescent="0.25">
      <c r="A1937" t="s">
        <v>1619</v>
      </c>
      <c r="B1937" t="s">
        <v>21</v>
      </c>
      <c r="C1937" t="s">
        <v>1618</v>
      </c>
      <c r="D1937" t="s">
        <v>50</v>
      </c>
      <c r="E1937" s="8" t="s">
        <v>33</v>
      </c>
      <c r="F1937">
        <v>0.66600000000000004</v>
      </c>
      <c r="G1937" t="s">
        <v>78</v>
      </c>
      <c r="H1937" t="str">
        <f>VLOOKUP(Tabla3[[#This Row],[DESCRIPCION MATERIAL]],'CODIGO MAT'!$C$2:$D$390,2,FALSE)</f>
        <v>TEL0000043</v>
      </c>
      <c r="J1937">
        <v>1</v>
      </c>
      <c r="K1937">
        <v>0</v>
      </c>
    </row>
    <row r="1938" spans="1:11" x14ac:dyDescent="0.25">
      <c r="A1938" t="s">
        <v>1619</v>
      </c>
      <c r="B1938" t="s">
        <v>21</v>
      </c>
      <c r="C1938" t="s">
        <v>1618</v>
      </c>
      <c r="D1938" t="s">
        <v>50</v>
      </c>
      <c r="E1938" s="8" t="s">
        <v>13</v>
      </c>
      <c r="F1938">
        <v>0.625</v>
      </c>
      <c r="G1938" t="s">
        <v>78</v>
      </c>
      <c r="H1938" t="str">
        <f>VLOOKUP(Tabla3[[#This Row],[DESCRIPCION MATERIAL]],'CODIGO MAT'!$C$2:$D$390,2,FALSE)</f>
        <v>TEL0000042</v>
      </c>
      <c r="J1938">
        <v>1</v>
      </c>
      <c r="K1938">
        <v>0</v>
      </c>
    </row>
    <row r="1939" spans="1:11" x14ac:dyDescent="0.25">
      <c r="A1939" t="s">
        <v>1619</v>
      </c>
      <c r="B1939" t="s">
        <v>21</v>
      </c>
      <c r="C1939" t="s">
        <v>1618</v>
      </c>
      <c r="D1939" t="s">
        <v>50</v>
      </c>
      <c r="E1939" s="8" t="s">
        <v>189</v>
      </c>
      <c r="F1939">
        <v>9.0999999999999998E-2</v>
      </c>
      <c r="G1939" t="s">
        <v>78</v>
      </c>
      <c r="H1939" t="str">
        <f>VLOOKUP(Tabla3[[#This Row],[DESCRIPCION MATERIAL]],'CODIGO MAT'!$C$2:$D$390,2,FALSE)</f>
        <v>TEL0000116</v>
      </c>
      <c r="J1939">
        <v>1</v>
      </c>
      <c r="K1939">
        <v>0</v>
      </c>
    </row>
    <row r="1940" spans="1:11" x14ac:dyDescent="0.25">
      <c r="A1940" t="s">
        <v>1619</v>
      </c>
      <c r="B1940" t="s">
        <v>21</v>
      </c>
      <c r="C1940" t="s">
        <v>1618</v>
      </c>
      <c r="D1940" t="s">
        <v>50</v>
      </c>
      <c r="E1940" s="8" t="s">
        <v>1264</v>
      </c>
      <c r="F1940">
        <v>1.4E-2</v>
      </c>
      <c r="G1940" t="s">
        <v>78</v>
      </c>
      <c r="H1940" t="e">
        <f>VLOOKUP(Tabla3[[#This Row],[DESCRIPCION MATERIAL]],'CODIGO MAT'!$C$2:$D$390,2,FALSE)</f>
        <v>#N/A</v>
      </c>
      <c r="I1940" s="64" t="s">
        <v>50</v>
      </c>
      <c r="J1940">
        <v>1</v>
      </c>
      <c r="K1940">
        <v>0</v>
      </c>
    </row>
    <row r="1941" spans="1:11" x14ac:dyDescent="0.25">
      <c r="A1941" t="s">
        <v>1619</v>
      </c>
      <c r="B1941" t="s">
        <v>21</v>
      </c>
      <c r="C1941" t="s">
        <v>1618</v>
      </c>
      <c r="D1941" t="s">
        <v>51</v>
      </c>
      <c r="E1941" s="8" t="s">
        <v>1327</v>
      </c>
      <c r="F1941">
        <v>3.88</v>
      </c>
      <c r="G1941" t="s">
        <v>78</v>
      </c>
      <c r="H1941" t="e">
        <f>VLOOKUP(Tabla3[[#This Row],[DESCRIPCION MATERIAL]],'CODIGO MAT'!$C$2:$D$390,2,FALSE)</f>
        <v>#N/A</v>
      </c>
      <c r="I1941" s="64" t="s">
        <v>51</v>
      </c>
      <c r="J1941">
        <v>1</v>
      </c>
      <c r="K1941">
        <v>0</v>
      </c>
    </row>
    <row r="1942" spans="1:11" x14ac:dyDescent="0.25">
      <c r="A1942" t="s">
        <v>1619</v>
      </c>
      <c r="B1942" t="s">
        <v>21</v>
      </c>
      <c r="C1942" t="s">
        <v>1618</v>
      </c>
      <c r="D1942" t="s">
        <v>51</v>
      </c>
      <c r="E1942" s="8" t="s">
        <v>402</v>
      </c>
      <c r="F1942">
        <v>11</v>
      </c>
      <c r="G1942" t="s">
        <v>396</v>
      </c>
      <c r="H1942" t="str">
        <f>VLOOKUP(Tabla3[[#This Row],[DESCRIPCION MATERIAL]],'CODIGO MAT'!$C$2:$D$390,2,FALSE)</f>
        <v>AVI0000137</v>
      </c>
    </row>
    <row r="1943" spans="1:11" x14ac:dyDescent="0.25">
      <c r="A1943" t="s">
        <v>1619</v>
      </c>
      <c r="B1943" t="s">
        <v>21</v>
      </c>
      <c r="C1943" t="s">
        <v>1618</v>
      </c>
      <c r="D1943" t="s">
        <v>50</v>
      </c>
      <c r="E1943" s="8" t="s">
        <v>244</v>
      </c>
      <c r="F1943">
        <v>2.3E-2</v>
      </c>
      <c r="G1943" t="s">
        <v>78</v>
      </c>
      <c r="H1943" t="str">
        <f>VLOOKUP(Tabla3[[#This Row],[DESCRIPCION MATERIAL]],'CODIGO MAT'!$C$2:$D$390,2,FALSE)</f>
        <v>TEL0000172</v>
      </c>
    </row>
    <row r="1944" spans="1:11" x14ac:dyDescent="0.25">
      <c r="A1944" t="s">
        <v>1619</v>
      </c>
      <c r="B1944" t="s">
        <v>21</v>
      </c>
      <c r="C1944" t="s">
        <v>1618</v>
      </c>
      <c r="D1944" t="s">
        <v>51</v>
      </c>
      <c r="E1944" s="8" t="s">
        <v>404</v>
      </c>
      <c r="F1944">
        <v>1</v>
      </c>
      <c r="G1944" t="s">
        <v>78</v>
      </c>
      <c r="H1944" t="str">
        <f>VLOOKUP(Tabla3[[#This Row],[DESCRIPCION MATERIAL]],'CODIGO MAT'!$C$2:$D$390,2,FALSE)</f>
        <v>AVI0000139</v>
      </c>
    </row>
    <row r="1945" spans="1:11" x14ac:dyDescent="0.25">
      <c r="A1945" t="s">
        <v>1619</v>
      </c>
      <c r="B1945" t="s">
        <v>21</v>
      </c>
      <c r="C1945" t="s">
        <v>1618</v>
      </c>
      <c r="D1945" t="s">
        <v>51</v>
      </c>
      <c r="E1945" s="8" t="s">
        <v>35</v>
      </c>
      <c r="F1945">
        <v>0.55000000000000004</v>
      </c>
      <c r="G1945" t="s">
        <v>78</v>
      </c>
      <c r="H1945" t="str">
        <f>VLOOKUP(Tabla3[[#This Row],[DESCRIPCION MATERIAL]],'CODIGO MAT'!$C$2:$D$390,2,FALSE)</f>
        <v>AVI0000031</v>
      </c>
    </row>
    <row r="1946" spans="1:11" x14ac:dyDescent="0.25">
      <c r="A1946" t="s">
        <v>1619</v>
      </c>
      <c r="B1946" t="s">
        <v>21</v>
      </c>
      <c r="C1946" t="s">
        <v>1618</v>
      </c>
      <c r="D1946" t="s">
        <v>50</v>
      </c>
      <c r="E1946" s="8" t="s">
        <v>255</v>
      </c>
      <c r="F1946">
        <v>1.2999999999999999E-2</v>
      </c>
      <c r="G1946" t="s">
        <v>78</v>
      </c>
      <c r="H1946" t="str">
        <f>VLOOKUP(Tabla3[[#This Row],[DESCRIPCION MATERIAL]],'CODIGO MAT'!$C$2:$D$390,2,FALSE)</f>
        <v>TEL0000183</v>
      </c>
    </row>
    <row r="1947" spans="1:11" x14ac:dyDescent="0.25">
      <c r="A1947" t="s">
        <v>1619</v>
      </c>
      <c r="B1947" t="s">
        <v>21</v>
      </c>
      <c r="C1947" t="s">
        <v>1618</v>
      </c>
      <c r="D1947" t="s">
        <v>51</v>
      </c>
      <c r="E1947" s="8" t="s">
        <v>611</v>
      </c>
      <c r="F1947">
        <v>0.01</v>
      </c>
      <c r="G1947" t="s">
        <v>78</v>
      </c>
      <c r="H1947" t="str">
        <f>VLOOKUP(Tabla3[[#This Row],[DESCRIPCION MATERIAL]],'CODIGO MAT'!$C$2:$D$390,2,FALSE)</f>
        <v>TEL0000192</v>
      </c>
    </row>
    <row r="1948" spans="1:11" x14ac:dyDescent="0.25">
      <c r="A1948" t="s">
        <v>1619</v>
      </c>
      <c r="B1948" t="s">
        <v>21</v>
      </c>
      <c r="C1948" t="s">
        <v>1618</v>
      </c>
      <c r="D1948" t="s">
        <v>51</v>
      </c>
      <c r="E1948" s="8" t="s">
        <v>613</v>
      </c>
      <c r="F1948">
        <v>0.35</v>
      </c>
      <c r="G1948" t="s">
        <v>78</v>
      </c>
      <c r="H1948" t="str">
        <f>VLOOKUP(Tabla3[[#This Row],[DESCRIPCION MATERIAL]],'CODIGO MAT'!$C$2:$D$390,2,FALSE)</f>
        <v>AVI0000144</v>
      </c>
    </row>
    <row r="1949" spans="1:11" x14ac:dyDescent="0.25">
      <c r="A1949" t="s">
        <v>1619</v>
      </c>
      <c r="B1949" t="s">
        <v>21</v>
      </c>
      <c r="C1949" t="s">
        <v>1618</v>
      </c>
      <c r="D1949" t="s">
        <v>51</v>
      </c>
      <c r="E1949" s="8" t="s">
        <v>322</v>
      </c>
      <c r="F1949">
        <v>0</v>
      </c>
      <c r="G1949" t="s">
        <v>78</v>
      </c>
      <c r="H1949" t="str">
        <f>VLOOKUP(Tabla3[[#This Row],[DESCRIPCION MATERIAL]],'CODIGO MAT'!$C$2:$D$390,2,FALSE)</f>
        <v>AVI0000060</v>
      </c>
    </row>
    <row r="1950" spans="1:11" x14ac:dyDescent="0.25">
      <c r="A1950" t="s">
        <v>1623</v>
      </c>
      <c r="B1950" t="s">
        <v>21</v>
      </c>
      <c r="C1950" t="s">
        <v>1622</v>
      </c>
      <c r="D1950" t="s">
        <v>50</v>
      </c>
      <c r="E1950" s="8" t="s">
        <v>12</v>
      </c>
      <c r="F1950">
        <v>0.93</v>
      </c>
      <c r="G1950" t="s">
        <v>78</v>
      </c>
      <c r="H1950" t="str">
        <f>VLOOKUP(Tabla3[[#This Row],[DESCRIPCION MATERIAL]],'CODIGO MAT'!$C$2:$D$390,2,FALSE)</f>
        <v>TEL0000040</v>
      </c>
      <c r="J1950">
        <v>1</v>
      </c>
      <c r="K1950">
        <v>0</v>
      </c>
    </row>
    <row r="1951" spans="1:11" x14ac:dyDescent="0.25">
      <c r="A1951" t="s">
        <v>1623</v>
      </c>
      <c r="B1951" t="s">
        <v>21</v>
      </c>
      <c r="C1951" t="s">
        <v>1622</v>
      </c>
      <c r="D1951" t="s">
        <v>50</v>
      </c>
      <c r="E1951" s="8" t="s">
        <v>183</v>
      </c>
      <c r="F1951">
        <v>0</v>
      </c>
      <c r="G1951" t="s">
        <v>78</v>
      </c>
      <c r="H1951" t="str">
        <f>VLOOKUP(Tabla3[[#This Row],[DESCRIPCION MATERIAL]],'CODIGO MAT'!$C$2:$D$390,2,FALSE)</f>
        <v>TEL0000110</v>
      </c>
      <c r="J1951">
        <v>1</v>
      </c>
      <c r="K1951">
        <v>0</v>
      </c>
    </row>
    <row r="1952" spans="1:11" x14ac:dyDescent="0.25">
      <c r="A1952" t="s">
        <v>1623</v>
      </c>
      <c r="B1952" t="s">
        <v>21</v>
      </c>
      <c r="C1952" t="s">
        <v>1622</v>
      </c>
      <c r="D1952" t="s">
        <v>50</v>
      </c>
      <c r="E1952" s="8" t="s">
        <v>33</v>
      </c>
      <c r="F1952">
        <v>0.23400000000000001</v>
      </c>
      <c r="G1952" t="s">
        <v>78</v>
      </c>
      <c r="H1952" t="str">
        <f>VLOOKUP(Tabla3[[#This Row],[DESCRIPCION MATERIAL]],'CODIGO MAT'!$C$2:$D$390,2,FALSE)</f>
        <v>TEL0000043</v>
      </c>
      <c r="J1952">
        <v>1</v>
      </c>
      <c r="K1952">
        <v>0</v>
      </c>
    </row>
    <row r="1953" spans="1:11" x14ac:dyDescent="0.25">
      <c r="A1953" t="s">
        <v>1623</v>
      </c>
      <c r="B1953" t="s">
        <v>21</v>
      </c>
      <c r="C1953" t="s">
        <v>1622</v>
      </c>
      <c r="D1953" t="s">
        <v>51</v>
      </c>
      <c r="E1953" s="8" t="s">
        <v>338</v>
      </c>
      <c r="F1953">
        <v>1.8</v>
      </c>
      <c r="G1953" t="s">
        <v>78</v>
      </c>
      <c r="H1953" t="str">
        <f>VLOOKUP(Tabla3[[#This Row],[DESCRIPCION MATERIAL]],'CODIGO MAT'!$C$2:$D$390,2,FALSE)</f>
        <v>AVI0000076</v>
      </c>
      <c r="J1953">
        <v>1</v>
      </c>
      <c r="K1953">
        <v>0</v>
      </c>
    </row>
    <row r="1954" spans="1:11" x14ac:dyDescent="0.25">
      <c r="A1954" t="s">
        <v>1623</v>
      </c>
      <c r="B1954" t="s">
        <v>21</v>
      </c>
      <c r="C1954" t="s">
        <v>1622</v>
      </c>
      <c r="D1954" t="s">
        <v>51</v>
      </c>
      <c r="E1954" s="8" t="s">
        <v>34</v>
      </c>
      <c r="F1954">
        <v>1.22</v>
      </c>
      <c r="G1954" t="s">
        <v>78</v>
      </c>
      <c r="H1954" t="str">
        <f>VLOOKUP(Tabla3[[#This Row],[DESCRIPCION MATERIAL]],'CODIGO MAT'!$C$2:$D$390,2,FALSE)</f>
        <v>AVI0000034</v>
      </c>
      <c r="J1954">
        <v>1</v>
      </c>
      <c r="K1954">
        <v>0</v>
      </c>
    </row>
    <row r="1955" spans="1:11" x14ac:dyDescent="0.25">
      <c r="A1955" t="s">
        <v>1623</v>
      </c>
      <c r="B1955" t="s">
        <v>21</v>
      </c>
      <c r="C1955" t="s">
        <v>1622</v>
      </c>
      <c r="D1955" t="s">
        <v>51</v>
      </c>
      <c r="E1955" s="8" t="s">
        <v>356</v>
      </c>
      <c r="F1955">
        <v>0.4</v>
      </c>
      <c r="G1955" t="s">
        <v>78</v>
      </c>
      <c r="H1955" t="str">
        <f>VLOOKUP(Tabla3[[#This Row],[DESCRIPCION MATERIAL]],'CODIGO MAT'!$C$2:$D$390,2,FALSE)</f>
        <v>AVI0000094</v>
      </c>
      <c r="J1955">
        <v>1</v>
      </c>
      <c r="K1955">
        <v>0</v>
      </c>
    </row>
    <row r="1956" spans="1:11" x14ac:dyDescent="0.25">
      <c r="A1956" t="s">
        <v>1623</v>
      </c>
      <c r="B1956" t="s">
        <v>21</v>
      </c>
      <c r="C1956" t="s">
        <v>1622</v>
      </c>
      <c r="D1956" t="s">
        <v>51</v>
      </c>
      <c r="E1956" s="8" t="s">
        <v>1621</v>
      </c>
      <c r="F1956">
        <v>7</v>
      </c>
      <c r="G1956" t="s">
        <v>396</v>
      </c>
      <c r="H1956" t="e">
        <f>VLOOKUP(Tabla3[[#This Row],[DESCRIPCION MATERIAL]],'CODIGO MAT'!$C$2:$D$390,2,FALSE)</f>
        <v>#N/A</v>
      </c>
      <c r="I1956" s="64" t="s">
        <v>51</v>
      </c>
    </row>
    <row r="1957" spans="1:11" x14ac:dyDescent="0.25">
      <c r="A1957" t="s">
        <v>1624</v>
      </c>
      <c r="B1957" t="s">
        <v>21</v>
      </c>
      <c r="C1957" t="s">
        <v>1168</v>
      </c>
      <c r="D1957" t="s">
        <v>50</v>
      </c>
      <c r="E1957" s="8" t="s">
        <v>118</v>
      </c>
      <c r="F1957">
        <v>1.3169999999999999</v>
      </c>
      <c r="G1957" t="s">
        <v>78</v>
      </c>
      <c r="H1957" t="str">
        <f>VLOOKUP(Tabla3[[#This Row],[DESCRIPCION MATERIAL]],'CODIGO MAT'!$C$2:$D$390,2,FALSE)</f>
        <v>TEL0000045</v>
      </c>
      <c r="J1957">
        <v>1</v>
      </c>
      <c r="K1957">
        <v>0</v>
      </c>
    </row>
    <row r="1958" spans="1:11" x14ac:dyDescent="0.25">
      <c r="A1958" t="s">
        <v>1624</v>
      </c>
      <c r="B1958" t="s">
        <v>21</v>
      </c>
      <c r="C1958" t="s">
        <v>1168</v>
      </c>
      <c r="D1958" t="s">
        <v>50</v>
      </c>
      <c r="E1958" s="8" t="s">
        <v>308</v>
      </c>
      <c r="F1958">
        <v>0</v>
      </c>
      <c r="G1958" t="s">
        <v>78</v>
      </c>
      <c r="H1958" t="str">
        <f>VLOOKUP(Tabla3[[#This Row],[DESCRIPCION MATERIAL]],'CODIGO MAT'!$C$2:$D$390,2,FALSE)</f>
        <v>AVI0000053</v>
      </c>
      <c r="J1958">
        <v>1</v>
      </c>
      <c r="K1958">
        <v>0</v>
      </c>
    </row>
    <row r="1959" spans="1:11" x14ac:dyDescent="0.25">
      <c r="A1959" t="s">
        <v>1624</v>
      </c>
      <c r="B1959" t="s">
        <v>21</v>
      </c>
      <c r="C1959" t="s">
        <v>1168</v>
      </c>
      <c r="D1959" t="s">
        <v>50</v>
      </c>
      <c r="E1959" s="8" t="s">
        <v>140</v>
      </c>
      <c r="F1959">
        <v>9.6000000000000002E-2</v>
      </c>
      <c r="G1959" t="s">
        <v>78</v>
      </c>
      <c r="H1959" t="str">
        <f>VLOOKUP(Tabla3[[#This Row],[DESCRIPCION MATERIAL]],'CODIGO MAT'!$C$2:$D$390,2,FALSE)</f>
        <v>TEL0000067</v>
      </c>
      <c r="J1959">
        <v>1</v>
      </c>
      <c r="K1959">
        <v>0</v>
      </c>
    </row>
    <row r="1960" spans="1:11" x14ac:dyDescent="0.25">
      <c r="A1960" t="s">
        <v>1624</v>
      </c>
      <c r="B1960" t="s">
        <v>21</v>
      </c>
      <c r="C1960" t="s">
        <v>1168</v>
      </c>
      <c r="D1960" t="s">
        <v>50</v>
      </c>
      <c r="E1960" s="8" t="s">
        <v>104</v>
      </c>
      <c r="F1960">
        <v>2.7E-2</v>
      </c>
      <c r="G1960" t="s">
        <v>78</v>
      </c>
      <c r="H1960" t="str">
        <f>VLOOKUP(Tabla3[[#This Row],[DESCRIPCION MATERIAL]],'CODIGO MAT'!$C$2:$D$390,2,FALSE)</f>
        <v>TEL0000027</v>
      </c>
      <c r="J1960">
        <v>1</v>
      </c>
      <c r="K1960">
        <v>0</v>
      </c>
    </row>
    <row r="1961" spans="1:11" x14ac:dyDescent="0.25">
      <c r="A1961" t="s">
        <v>1624</v>
      </c>
      <c r="B1961" t="s">
        <v>21</v>
      </c>
      <c r="C1961" t="s">
        <v>1168</v>
      </c>
      <c r="D1961" t="s">
        <v>51</v>
      </c>
      <c r="E1961" s="8" t="s">
        <v>430</v>
      </c>
      <c r="F1961">
        <v>0</v>
      </c>
      <c r="G1961" t="s">
        <v>78</v>
      </c>
      <c r="H1961" t="str">
        <f>VLOOKUP(Tabla3[[#This Row],[DESCRIPCION MATERIAL]],'CODIGO MAT'!$C$2:$D$390,2,FALSE)</f>
        <v>AVI0000142</v>
      </c>
      <c r="J1961">
        <v>1</v>
      </c>
      <c r="K1961">
        <v>0</v>
      </c>
    </row>
    <row r="1962" spans="1:11" x14ac:dyDescent="0.25">
      <c r="A1962" t="s">
        <v>1624</v>
      </c>
      <c r="B1962" t="s">
        <v>21</v>
      </c>
      <c r="C1962" t="s">
        <v>1168</v>
      </c>
      <c r="D1962" t="s">
        <v>51</v>
      </c>
      <c r="E1962" s="8" t="s">
        <v>402</v>
      </c>
      <c r="F1962">
        <v>9</v>
      </c>
      <c r="G1962" t="s">
        <v>396</v>
      </c>
      <c r="H1962" t="str">
        <f>VLOOKUP(Tabla3[[#This Row],[DESCRIPCION MATERIAL]],'CODIGO MAT'!$C$2:$D$390,2,FALSE)</f>
        <v>AVI0000137</v>
      </c>
    </row>
    <row r="1963" spans="1:11" x14ac:dyDescent="0.25">
      <c r="A1963" t="s">
        <v>1624</v>
      </c>
      <c r="B1963" t="s">
        <v>21</v>
      </c>
      <c r="C1963" t="s">
        <v>1168</v>
      </c>
      <c r="D1963" t="s">
        <v>51</v>
      </c>
      <c r="E1963" s="8" t="s">
        <v>35</v>
      </c>
      <c r="F1963">
        <v>0</v>
      </c>
      <c r="G1963" t="s">
        <v>78</v>
      </c>
      <c r="H1963" t="str">
        <f>VLOOKUP(Tabla3[[#This Row],[DESCRIPCION MATERIAL]],'CODIGO MAT'!$C$2:$D$390,2,FALSE)</f>
        <v>AVI0000031</v>
      </c>
    </row>
    <row r="1964" spans="1:11" x14ac:dyDescent="0.25">
      <c r="A1964" t="s">
        <v>1624</v>
      </c>
      <c r="B1964" t="s">
        <v>21</v>
      </c>
      <c r="C1964" t="s">
        <v>1168</v>
      </c>
      <c r="D1964" t="s">
        <v>51</v>
      </c>
      <c r="E1964" s="8" t="s">
        <v>261</v>
      </c>
      <c r="F1964">
        <v>1</v>
      </c>
      <c r="G1964" t="s">
        <v>396</v>
      </c>
      <c r="H1964" t="str">
        <f>VLOOKUP(Tabla3[[#This Row],[DESCRIPCION MATERIAL]],'CODIGO MAT'!$C$2:$D$390,2,FALSE)</f>
        <v>AVI0000002</v>
      </c>
      <c r="J1964">
        <v>1</v>
      </c>
      <c r="K1964">
        <v>0</v>
      </c>
    </row>
    <row r="1965" spans="1:11" x14ac:dyDescent="0.25">
      <c r="A1965" t="s">
        <v>1624</v>
      </c>
      <c r="B1965" t="s">
        <v>21</v>
      </c>
      <c r="C1965" t="s">
        <v>1168</v>
      </c>
      <c r="D1965" t="s">
        <v>51</v>
      </c>
      <c r="E1965" s="8" t="s">
        <v>1128</v>
      </c>
      <c r="F1965">
        <v>1</v>
      </c>
      <c r="G1965" t="s">
        <v>396</v>
      </c>
      <c r="H1965" t="str">
        <f>VLOOKUP(Tabla3[[#This Row],[DESCRIPCION MATERIAL]],'CODIGO MAT'!$C$2:$D$390,2,FALSE)</f>
        <v>AVI0000149</v>
      </c>
    </row>
    <row r="1966" spans="1:11" x14ac:dyDescent="0.25">
      <c r="A1966" t="s">
        <v>1624</v>
      </c>
      <c r="B1966" t="s">
        <v>21</v>
      </c>
      <c r="C1966" t="s">
        <v>1168</v>
      </c>
      <c r="D1966" t="s">
        <v>51</v>
      </c>
      <c r="E1966" s="8" t="s">
        <v>67</v>
      </c>
      <c r="F1966">
        <v>0</v>
      </c>
      <c r="G1966" t="s">
        <v>78</v>
      </c>
      <c r="H1966" t="str">
        <f>VLOOKUP(Tabla3[[#This Row],[DESCRIPCION MATERIAL]],'CODIGO MAT'!$C$2:$D$390,2,FALSE)</f>
        <v>AVI0000007</v>
      </c>
    </row>
    <row r="1967" spans="1:11" x14ac:dyDescent="0.25">
      <c r="A1967" t="s">
        <v>1624</v>
      </c>
      <c r="B1967" t="s">
        <v>21</v>
      </c>
      <c r="C1967" t="s">
        <v>1168</v>
      </c>
      <c r="D1967" t="s">
        <v>51</v>
      </c>
      <c r="E1967" s="8" t="s">
        <v>282</v>
      </c>
      <c r="F1967">
        <v>0</v>
      </c>
      <c r="G1967" t="s">
        <v>78</v>
      </c>
      <c r="H1967" t="str">
        <f>VLOOKUP(Tabla3[[#This Row],[DESCRIPCION MATERIAL]],'CODIGO MAT'!$C$2:$D$390,2,FALSE)</f>
        <v>AVI0000025</v>
      </c>
    </row>
    <row r="1968" spans="1:11" x14ac:dyDescent="0.25">
      <c r="A1968" t="s">
        <v>1626</v>
      </c>
      <c r="B1968" t="s">
        <v>21</v>
      </c>
      <c r="C1968" t="s">
        <v>1625</v>
      </c>
      <c r="D1968" t="s">
        <v>50</v>
      </c>
      <c r="E1968" s="8" t="s">
        <v>12</v>
      </c>
      <c r="F1968">
        <v>1.25</v>
      </c>
      <c r="G1968" t="s">
        <v>78</v>
      </c>
      <c r="H1968" t="str">
        <f>VLOOKUP(Tabla3[[#This Row],[DESCRIPCION MATERIAL]],'CODIGO MAT'!$C$2:$D$390,2,FALSE)</f>
        <v>TEL0000040</v>
      </c>
      <c r="J1968">
        <v>1</v>
      </c>
      <c r="K1968">
        <v>0</v>
      </c>
    </row>
    <row r="1969" spans="1:11" x14ac:dyDescent="0.25">
      <c r="A1969" t="s">
        <v>1626</v>
      </c>
      <c r="B1969" t="s">
        <v>21</v>
      </c>
      <c r="C1969" t="s">
        <v>1625</v>
      </c>
      <c r="D1969" t="s">
        <v>50</v>
      </c>
      <c r="E1969" s="8" t="s">
        <v>33</v>
      </c>
      <c r="F1969">
        <v>0.27500000000000002</v>
      </c>
      <c r="G1969" t="s">
        <v>78</v>
      </c>
      <c r="H1969" t="str">
        <f>VLOOKUP(Tabla3[[#This Row],[DESCRIPCION MATERIAL]],'CODIGO MAT'!$C$2:$D$390,2,FALSE)</f>
        <v>TEL0000043</v>
      </c>
      <c r="J1969">
        <v>1</v>
      </c>
      <c r="K1969">
        <v>0</v>
      </c>
    </row>
    <row r="1970" spans="1:11" x14ac:dyDescent="0.25">
      <c r="A1970" t="s">
        <v>1626</v>
      </c>
      <c r="B1970" t="s">
        <v>21</v>
      </c>
      <c r="C1970" t="s">
        <v>1625</v>
      </c>
      <c r="D1970" t="s">
        <v>51</v>
      </c>
      <c r="E1970" s="8" t="s">
        <v>387</v>
      </c>
      <c r="F1970">
        <v>4</v>
      </c>
      <c r="G1970" t="s">
        <v>396</v>
      </c>
      <c r="H1970" t="str">
        <f>VLOOKUP(Tabla3[[#This Row],[DESCRIPCION MATERIAL]],'CODIGO MAT'!$C$2:$D$390,2,FALSE)</f>
        <v>AVI0000122</v>
      </c>
    </row>
    <row r="1971" spans="1:11" x14ac:dyDescent="0.25">
      <c r="A1971" t="s">
        <v>1626</v>
      </c>
      <c r="B1971" t="s">
        <v>21</v>
      </c>
      <c r="C1971" t="s">
        <v>1625</v>
      </c>
      <c r="D1971" t="s">
        <v>51</v>
      </c>
      <c r="E1971" s="8" t="s">
        <v>996</v>
      </c>
      <c r="F1971">
        <v>0.5</v>
      </c>
      <c r="G1971" t="s">
        <v>78</v>
      </c>
      <c r="H1971" t="str">
        <f>VLOOKUP(Tabla3[[#This Row],[DESCRIPCION MATERIAL]],'CODIGO MAT'!$C$2:$D$390,2,FALSE)</f>
        <v>AVI0000148</v>
      </c>
      <c r="J1971">
        <v>1</v>
      </c>
      <c r="K1971">
        <v>0</v>
      </c>
    </row>
    <row r="1972" spans="1:11" x14ac:dyDescent="0.25">
      <c r="A1972" t="s">
        <v>1440</v>
      </c>
      <c r="B1972" t="s">
        <v>21</v>
      </c>
      <c r="C1972" t="s">
        <v>1627</v>
      </c>
      <c r="D1972" t="s">
        <v>50</v>
      </c>
      <c r="E1972" s="8" t="s">
        <v>32</v>
      </c>
      <c r="F1972">
        <v>1.2649999999999999</v>
      </c>
      <c r="G1972" t="s">
        <v>78</v>
      </c>
      <c r="H1972" t="str">
        <f>VLOOKUP(Tabla3[[#This Row],[DESCRIPCION MATERIAL]],'CODIGO MAT'!$C$2:$D$390,2,FALSE)</f>
        <v>TEL0000041</v>
      </c>
      <c r="J1972">
        <v>1</v>
      </c>
      <c r="K1972">
        <v>0</v>
      </c>
    </row>
    <row r="1973" spans="1:11" x14ac:dyDescent="0.25">
      <c r="A1973" t="s">
        <v>1440</v>
      </c>
      <c r="B1973" t="s">
        <v>21</v>
      </c>
      <c r="C1973" t="s">
        <v>1627</v>
      </c>
      <c r="D1973" t="s">
        <v>50</v>
      </c>
      <c r="E1973" s="8" t="s">
        <v>33</v>
      </c>
      <c r="F1973">
        <v>9.1999999999999998E-2</v>
      </c>
      <c r="G1973" t="s">
        <v>78</v>
      </c>
      <c r="H1973" t="str">
        <f>VLOOKUP(Tabla3[[#This Row],[DESCRIPCION MATERIAL]],'CODIGO MAT'!$C$2:$D$390,2,FALSE)</f>
        <v>TEL0000043</v>
      </c>
      <c r="J1973">
        <v>1</v>
      </c>
      <c r="K1973">
        <v>0</v>
      </c>
    </row>
    <row r="1974" spans="1:11" x14ac:dyDescent="0.25">
      <c r="A1974" t="s">
        <v>1440</v>
      </c>
      <c r="B1974" t="s">
        <v>21</v>
      </c>
      <c r="C1974" t="s">
        <v>1627</v>
      </c>
      <c r="D1974" t="s">
        <v>50</v>
      </c>
      <c r="E1974" s="8" t="s">
        <v>188</v>
      </c>
      <c r="F1974">
        <v>0.54</v>
      </c>
      <c r="G1974" t="s">
        <v>78</v>
      </c>
      <c r="H1974" t="str">
        <f>VLOOKUP(Tabla3[[#This Row],[DESCRIPCION MATERIAL]],'CODIGO MAT'!$C$2:$D$390,2,FALSE)</f>
        <v>TEL0000115</v>
      </c>
      <c r="J1974">
        <v>1</v>
      </c>
      <c r="K1974">
        <v>0</v>
      </c>
    </row>
    <row r="1975" spans="1:11" x14ac:dyDescent="0.25">
      <c r="A1975" t="s">
        <v>1440</v>
      </c>
      <c r="B1975" t="s">
        <v>21</v>
      </c>
      <c r="C1975" t="s">
        <v>1627</v>
      </c>
      <c r="D1975" t="s">
        <v>51</v>
      </c>
      <c r="E1975" s="8" t="s">
        <v>34</v>
      </c>
      <c r="F1975">
        <v>0</v>
      </c>
      <c r="G1975" t="s">
        <v>78</v>
      </c>
      <c r="H1975" t="str">
        <f>VLOOKUP(Tabla3[[#This Row],[DESCRIPCION MATERIAL]],'CODIGO MAT'!$C$2:$D$390,2,FALSE)</f>
        <v>AVI0000034</v>
      </c>
      <c r="J1975">
        <v>1</v>
      </c>
      <c r="K1975">
        <v>0</v>
      </c>
    </row>
    <row r="1976" spans="1:11" x14ac:dyDescent="0.25">
      <c r="A1976" t="s">
        <v>1440</v>
      </c>
      <c r="B1976" t="s">
        <v>21</v>
      </c>
      <c r="C1976" t="s">
        <v>1627</v>
      </c>
      <c r="D1976" t="s">
        <v>51</v>
      </c>
      <c r="E1976" s="8" t="s">
        <v>430</v>
      </c>
      <c r="F1976">
        <v>0</v>
      </c>
      <c r="G1976" t="s">
        <v>78</v>
      </c>
      <c r="H1976" t="str">
        <f>VLOOKUP(Tabla3[[#This Row],[DESCRIPCION MATERIAL]],'CODIGO MAT'!$C$2:$D$390,2,FALSE)</f>
        <v>AVI0000142</v>
      </c>
      <c r="J1976">
        <v>1</v>
      </c>
      <c r="K1976">
        <v>0</v>
      </c>
    </row>
    <row r="1977" spans="1:11" x14ac:dyDescent="0.25">
      <c r="A1977" t="s">
        <v>1440</v>
      </c>
      <c r="B1977" t="s">
        <v>21</v>
      </c>
      <c r="C1977" t="s">
        <v>1627</v>
      </c>
      <c r="D1977" t="s">
        <v>51</v>
      </c>
      <c r="E1977" s="8" t="s">
        <v>389</v>
      </c>
      <c r="F1977">
        <v>4</v>
      </c>
      <c r="G1977" t="s">
        <v>396</v>
      </c>
      <c r="H1977" t="str">
        <f>VLOOKUP(Tabla3[[#This Row],[DESCRIPCION MATERIAL]],'CODIGO MAT'!$C$2:$D$390,2,FALSE)</f>
        <v>AVI0000124</v>
      </c>
    </row>
    <row r="1978" spans="1:11" x14ac:dyDescent="0.25">
      <c r="A1978" t="s">
        <v>1440</v>
      </c>
      <c r="B1978" t="s">
        <v>21</v>
      </c>
      <c r="C1978" t="s">
        <v>1627</v>
      </c>
      <c r="D1978" t="s">
        <v>51</v>
      </c>
      <c r="E1978" s="8" t="s">
        <v>401</v>
      </c>
      <c r="F1978">
        <v>8</v>
      </c>
      <c r="G1978" t="s">
        <v>396</v>
      </c>
      <c r="H1978" t="str">
        <f>VLOOKUP(Tabla3[[#This Row],[DESCRIPCION MATERIAL]],'CODIGO MAT'!$C$2:$D$390,2,FALSE)</f>
        <v>AVI0000136</v>
      </c>
    </row>
    <row r="1979" spans="1:11" x14ac:dyDescent="0.25">
      <c r="A1979" t="s">
        <v>1440</v>
      </c>
      <c r="B1979" t="s">
        <v>21</v>
      </c>
      <c r="C1979" t="s">
        <v>1627</v>
      </c>
      <c r="D1979" t="s">
        <v>50</v>
      </c>
      <c r="E1979" s="8" t="s">
        <v>255</v>
      </c>
      <c r="F1979">
        <v>1.2999999999999999E-2</v>
      </c>
      <c r="G1979" t="s">
        <v>78</v>
      </c>
      <c r="H1979" t="str">
        <f>VLOOKUP(Tabla3[[#This Row],[DESCRIPCION MATERIAL]],'CODIGO MAT'!$C$2:$D$390,2,FALSE)</f>
        <v>TEL0000183</v>
      </c>
    </row>
    <row r="1980" spans="1:11" x14ac:dyDescent="0.25">
      <c r="A1980" t="s">
        <v>1440</v>
      </c>
      <c r="B1980" t="s">
        <v>21</v>
      </c>
      <c r="C1980" t="s">
        <v>1627</v>
      </c>
      <c r="D1980" t="s">
        <v>50</v>
      </c>
      <c r="E1980" s="8" t="s">
        <v>611</v>
      </c>
      <c r="F1980">
        <v>0.01</v>
      </c>
      <c r="G1980" t="s">
        <v>78</v>
      </c>
      <c r="H1980" t="str">
        <f>VLOOKUP(Tabla3[[#This Row],[DESCRIPCION MATERIAL]],'CODIGO MAT'!$C$2:$D$390,2,FALSE)</f>
        <v>TEL0000192</v>
      </c>
    </row>
    <row r="1981" spans="1:11" x14ac:dyDescent="0.25">
      <c r="A1981" t="s">
        <v>1440</v>
      </c>
      <c r="B1981" t="s">
        <v>21</v>
      </c>
      <c r="C1981" t="s">
        <v>1627</v>
      </c>
      <c r="D1981" t="s">
        <v>51</v>
      </c>
      <c r="E1981" s="8" t="s">
        <v>613</v>
      </c>
      <c r="F1981">
        <v>0.35</v>
      </c>
      <c r="G1981" t="s">
        <v>78</v>
      </c>
      <c r="H1981" t="str">
        <f>VLOOKUP(Tabla3[[#This Row],[DESCRIPCION MATERIAL]],'CODIGO MAT'!$C$2:$D$390,2,FALSE)</f>
        <v>AVI0000144</v>
      </c>
    </row>
    <row r="1982" spans="1:11" x14ac:dyDescent="0.25">
      <c r="A1982" t="s">
        <v>1440</v>
      </c>
      <c r="B1982" t="s">
        <v>21</v>
      </c>
      <c r="C1982" t="s">
        <v>1627</v>
      </c>
      <c r="D1982" t="s">
        <v>51</v>
      </c>
      <c r="E1982" s="8" t="s">
        <v>35</v>
      </c>
      <c r="F1982">
        <v>0.31</v>
      </c>
      <c r="G1982" t="s">
        <v>78</v>
      </c>
      <c r="H1982" t="str">
        <f>VLOOKUP(Tabla3[[#This Row],[DESCRIPCION MATERIAL]],'CODIGO MAT'!$C$2:$D$390,2,FALSE)</f>
        <v>AVI0000031</v>
      </c>
    </row>
    <row r="1983" spans="1:11" x14ac:dyDescent="0.25">
      <c r="A1983" t="s">
        <v>1630</v>
      </c>
      <c r="B1983" t="s">
        <v>21</v>
      </c>
      <c r="C1983" t="s">
        <v>1629</v>
      </c>
      <c r="D1983" t="s">
        <v>50</v>
      </c>
      <c r="E1983" s="8" t="s">
        <v>33</v>
      </c>
      <c r="F1983">
        <v>0.66600000000000004</v>
      </c>
      <c r="G1983" t="s">
        <v>78</v>
      </c>
      <c r="H1983" t="str">
        <f>VLOOKUP(Tabla3[[#This Row],[DESCRIPCION MATERIAL]],'CODIGO MAT'!$C$2:$D$390,2,FALSE)</f>
        <v>TEL0000043</v>
      </c>
      <c r="J1983">
        <v>1</v>
      </c>
      <c r="K1983">
        <v>0</v>
      </c>
    </row>
    <row r="1984" spans="1:11" x14ac:dyDescent="0.25">
      <c r="A1984" t="s">
        <v>1630</v>
      </c>
      <c r="B1984" t="s">
        <v>21</v>
      </c>
      <c r="C1984" t="s">
        <v>1629</v>
      </c>
      <c r="D1984" t="s">
        <v>50</v>
      </c>
      <c r="E1984" s="8" t="s">
        <v>32</v>
      </c>
      <c r="F1984">
        <v>0.66</v>
      </c>
      <c r="G1984" t="s">
        <v>78</v>
      </c>
      <c r="H1984" t="str">
        <f>VLOOKUP(Tabla3[[#This Row],[DESCRIPCION MATERIAL]],'CODIGO MAT'!$C$2:$D$390,2,FALSE)</f>
        <v>TEL0000041</v>
      </c>
      <c r="J1984">
        <v>1</v>
      </c>
      <c r="K1984">
        <v>0</v>
      </c>
    </row>
    <row r="1985" spans="1:11" x14ac:dyDescent="0.25">
      <c r="A1985" t="s">
        <v>1630</v>
      </c>
      <c r="B1985" t="s">
        <v>21</v>
      </c>
      <c r="C1985" t="s">
        <v>1629</v>
      </c>
      <c r="D1985" t="s">
        <v>50</v>
      </c>
      <c r="E1985" s="8" t="s">
        <v>186</v>
      </c>
      <c r="F1985">
        <v>2.7E-2</v>
      </c>
      <c r="G1985" t="s">
        <v>78</v>
      </c>
      <c r="H1985" t="str">
        <f>VLOOKUP(Tabla3[[#This Row],[DESCRIPCION MATERIAL]],'CODIGO MAT'!$C$2:$D$390,2,FALSE)</f>
        <v>TEL0000113</v>
      </c>
      <c r="J1985">
        <v>1</v>
      </c>
      <c r="K1985">
        <v>0</v>
      </c>
    </row>
    <row r="1986" spans="1:11" x14ac:dyDescent="0.25">
      <c r="A1986" t="s">
        <v>1630</v>
      </c>
      <c r="B1986" t="s">
        <v>21</v>
      </c>
      <c r="C1986" t="s">
        <v>1629</v>
      </c>
      <c r="D1986" t="s">
        <v>50</v>
      </c>
      <c r="E1986" s="8" t="s">
        <v>188</v>
      </c>
      <c r="F1986">
        <v>0.11799999999999999</v>
      </c>
      <c r="G1986" t="s">
        <v>78</v>
      </c>
      <c r="H1986" t="str">
        <f>VLOOKUP(Tabla3[[#This Row],[DESCRIPCION MATERIAL]],'CODIGO MAT'!$C$2:$D$390,2,FALSE)</f>
        <v>TEL0000115</v>
      </c>
      <c r="J1986">
        <v>1</v>
      </c>
      <c r="K1986">
        <v>0</v>
      </c>
    </row>
    <row r="1987" spans="1:11" x14ac:dyDescent="0.25">
      <c r="A1987" t="s">
        <v>1630</v>
      </c>
      <c r="B1987" t="s">
        <v>21</v>
      </c>
      <c r="C1987" t="s">
        <v>1629</v>
      </c>
      <c r="D1987" t="s">
        <v>50</v>
      </c>
      <c r="E1987" s="8" t="s">
        <v>1264</v>
      </c>
      <c r="F1987">
        <v>1.4E-2</v>
      </c>
      <c r="G1987" t="s">
        <v>78</v>
      </c>
      <c r="H1987" t="e">
        <f>VLOOKUP(Tabla3[[#This Row],[DESCRIPCION MATERIAL]],'CODIGO MAT'!$C$2:$D$390,2,FALSE)</f>
        <v>#N/A</v>
      </c>
      <c r="I1987" s="64" t="s">
        <v>50</v>
      </c>
      <c r="J1987">
        <v>1</v>
      </c>
      <c r="K1987">
        <v>0</v>
      </c>
    </row>
    <row r="1988" spans="1:11" x14ac:dyDescent="0.25">
      <c r="A1988" t="s">
        <v>1630</v>
      </c>
      <c r="B1988" t="s">
        <v>21</v>
      </c>
      <c r="C1988" t="s">
        <v>1629</v>
      </c>
      <c r="D1988" t="s">
        <v>51</v>
      </c>
      <c r="E1988" s="8" t="s">
        <v>35</v>
      </c>
      <c r="F1988">
        <v>0.55000000000000004</v>
      </c>
      <c r="G1988" t="s">
        <v>78</v>
      </c>
      <c r="H1988" t="str">
        <f>VLOOKUP(Tabla3[[#This Row],[DESCRIPCION MATERIAL]],'CODIGO MAT'!$C$2:$D$390,2,FALSE)</f>
        <v>AVI0000031</v>
      </c>
      <c r="J1988">
        <v>1</v>
      </c>
      <c r="K1988">
        <v>0</v>
      </c>
    </row>
    <row r="1989" spans="1:11" x14ac:dyDescent="0.25">
      <c r="A1989" t="s">
        <v>1630</v>
      </c>
      <c r="B1989" t="s">
        <v>21</v>
      </c>
      <c r="C1989" t="s">
        <v>1629</v>
      </c>
      <c r="D1989" t="s">
        <v>50</v>
      </c>
      <c r="E1989" s="8" t="s">
        <v>244</v>
      </c>
      <c r="F1989">
        <v>2.3E-2</v>
      </c>
      <c r="G1989" t="s">
        <v>78</v>
      </c>
      <c r="H1989" t="str">
        <f>VLOOKUP(Tabla3[[#This Row],[DESCRIPCION MATERIAL]],'CODIGO MAT'!$C$2:$D$390,2,FALSE)</f>
        <v>TEL0000172</v>
      </c>
    </row>
    <row r="1990" spans="1:11" x14ac:dyDescent="0.25">
      <c r="A1990" t="s">
        <v>1630</v>
      </c>
      <c r="B1990" t="s">
        <v>21</v>
      </c>
      <c r="C1990" t="s">
        <v>1629</v>
      </c>
      <c r="D1990" t="s">
        <v>51</v>
      </c>
      <c r="E1990" s="8" t="s">
        <v>1327</v>
      </c>
      <c r="F1990">
        <v>3.31</v>
      </c>
      <c r="G1990" t="s">
        <v>78</v>
      </c>
      <c r="H1990" t="e">
        <f>VLOOKUP(Tabla3[[#This Row],[DESCRIPCION MATERIAL]],'CODIGO MAT'!$C$2:$D$390,2,FALSE)</f>
        <v>#N/A</v>
      </c>
      <c r="I1990" s="64" t="s">
        <v>51</v>
      </c>
      <c r="J1990">
        <v>1</v>
      </c>
      <c r="K1990">
        <v>0</v>
      </c>
    </row>
    <row r="1991" spans="1:11" x14ac:dyDescent="0.25">
      <c r="A1991" t="s">
        <v>1630</v>
      </c>
      <c r="B1991" t="s">
        <v>21</v>
      </c>
      <c r="C1991" t="s">
        <v>1629</v>
      </c>
      <c r="D1991" t="s">
        <v>51</v>
      </c>
      <c r="E1991" s="8" t="s">
        <v>1628</v>
      </c>
      <c r="F1991">
        <v>0</v>
      </c>
      <c r="G1991" t="s">
        <v>78</v>
      </c>
      <c r="H1991" t="e">
        <f>VLOOKUP(Tabla3[[#This Row],[DESCRIPCION MATERIAL]],'CODIGO MAT'!$C$2:$D$390,2,FALSE)</f>
        <v>#N/A</v>
      </c>
      <c r="I1991" s="64" t="s">
        <v>51</v>
      </c>
      <c r="J1991">
        <v>1</v>
      </c>
      <c r="K1991">
        <v>0</v>
      </c>
    </row>
    <row r="1992" spans="1:11" x14ac:dyDescent="0.25">
      <c r="A1992" t="s">
        <v>1630</v>
      </c>
      <c r="B1992" t="s">
        <v>21</v>
      </c>
      <c r="C1992" t="s">
        <v>1629</v>
      </c>
      <c r="D1992" t="s">
        <v>51</v>
      </c>
      <c r="E1992" s="8" t="s">
        <v>389</v>
      </c>
      <c r="F1992">
        <v>4</v>
      </c>
      <c r="G1992" t="s">
        <v>396</v>
      </c>
      <c r="H1992" t="str">
        <f>VLOOKUP(Tabla3[[#This Row],[DESCRIPCION MATERIAL]],'CODIGO MAT'!$C$2:$D$390,2,FALSE)</f>
        <v>AVI0000124</v>
      </c>
    </row>
    <row r="1993" spans="1:11" x14ac:dyDescent="0.25">
      <c r="A1993" t="s">
        <v>1630</v>
      </c>
      <c r="B1993" t="s">
        <v>21</v>
      </c>
      <c r="C1993" t="s">
        <v>1629</v>
      </c>
      <c r="D1993" t="s">
        <v>51</v>
      </c>
      <c r="E1993" s="8" t="s">
        <v>36</v>
      </c>
      <c r="F1993">
        <v>0</v>
      </c>
      <c r="G1993" t="s">
        <v>396</v>
      </c>
      <c r="H1993" t="str">
        <f>VLOOKUP(Tabla3[[#This Row],[DESCRIPCION MATERIAL]],'CODIGO MAT'!$C$2:$D$390,2,FALSE)</f>
        <v>AVI0000135</v>
      </c>
    </row>
    <row r="1994" spans="1:11" x14ac:dyDescent="0.25">
      <c r="A1994" t="s">
        <v>1630</v>
      </c>
      <c r="B1994" t="s">
        <v>21</v>
      </c>
      <c r="C1994" t="s">
        <v>1629</v>
      </c>
      <c r="D1994" t="s">
        <v>51</v>
      </c>
      <c r="E1994" s="8" t="s">
        <v>402</v>
      </c>
      <c r="F1994">
        <v>0</v>
      </c>
      <c r="G1994" t="s">
        <v>396</v>
      </c>
      <c r="H1994" t="str">
        <f>VLOOKUP(Tabla3[[#This Row],[DESCRIPCION MATERIAL]],'CODIGO MAT'!$C$2:$D$390,2,FALSE)</f>
        <v>AVI0000137</v>
      </c>
    </row>
    <row r="1995" spans="1:11" x14ac:dyDescent="0.25">
      <c r="A1995" t="s">
        <v>1630</v>
      </c>
      <c r="B1995" t="s">
        <v>21</v>
      </c>
      <c r="C1995" t="s">
        <v>1629</v>
      </c>
      <c r="D1995" t="s">
        <v>51</v>
      </c>
      <c r="E1995" s="8" t="s">
        <v>34</v>
      </c>
      <c r="F1995">
        <v>0.5</v>
      </c>
      <c r="G1995" t="s">
        <v>78</v>
      </c>
      <c r="H1995" t="str">
        <f>VLOOKUP(Tabla3[[#This Row],[DESCRIPCION MATERIAL]],'CODIGO MAT'!$C$2:$D$390,2,FALSE)</f>
        <v>AVI0000034</v>
      </c>
      <c r="J1995">
        <v>1</v>
      </c>
      <c r="K1995">
        <v>0</v>
      </c>
    </row>
    <row r="1996" spans="1:11" x14ac:dyDescent="0.25">
      <c r="A1996" t="s">
        <v>1630</v>
      </c>
      <c r="B1996" t="s">
        <v>21</v>
      </c>
      <c r="C1996" t="s">
        <v>1629</v>
      </c>
      <c r="D1996" t="s">
        <v>50</v>
      </c>
      <c r="E1996" s="8" t="s">
        <v>611</v>
      </c>
      <c r="F1996">
        <v>0.01</v>
      </c>
      <c r="G1996" t="s">
        <v>78</v>
      </c>
      <c r="H1996" t="str">
        <f>VLOOKUP(Tabla3[[#This Row],[DESCRIPCION MATERIAL]],'CODIGO MAT'!$C$2:$D$390,2,FALSE)</f>
        <v>TEL0000192</v>
      </c>
    </row>
    <row r="1997" spans="1:11" x14ac:dyDescent="0.25">
      <c r="A1997" t="s">
        <v>1630</v>
      </c>
      <c r="B1997" t="s">
        <v>21</v>
      </c>
      <c r="C1997" t="s">
        <v>1629</v>
      </c>
      <c r="D1997" t="s">
        <v>50</v>
      </c>
      <c r="E1997" s="8" t="s">
        <v>255</v>
      </c>
      <c r="F1997">
        <v>1.2999999999999999E-2</v>
      </c>
      <c r="G1997" t="s">
        <v>78</v>
      </c>
      <c r="H1997" t="str">
        <f>VLOOKUP(Tabla3[[#This Row],[DESCRIPCION MATERIAL]],'CODIGO MAT'!$C$2:$D$390,2,FALSE)</f>
        <v>TEL0000183</v>
      </c>
    </row>
    <row r="1998" spans="1:11" x14ac:dyDescent="0.25">
      <c r="A1998" t="s">
        <v>1630</v>
      </c>
      <c r="B1998" t="s">
        <v>21</v>
      </c>
      <c r="C1998" t="s">
        <v>1629</v>
      </c>
      <c r="D1998" t="s">
        <v>51</v>
      </c>
      <c r="E1998" s="8" t="s">
        <v>613</v>
      </c>
      <c r="F1998">
        <v>0.35</v>
      </c>
      <c r="G1998" t="s">
        <v>78</v>
      </c>
      <c r="H1998" t="str">
        <f>VLOOKUP(Tabla3[[#This Row],[DESCRIPCION MATERIAL]],'CODIGO MAT'!$C$2:$D$390,2,FALSE)</f>
        <v>AVI0000144</v>
      </c>
    </row>
    <row r="1999" spans="1:11" x14ac:dyDescent="0.25">
      <c r="A1999" t="s">
        <v>1635</v>
      </c>
      <c r="B1999" t="s">
        <v>21</v>
      </c>
      <c r="C1999" t="s">
        <v>1634</v>
      </c>
      <c r="D1999" t="s">
        <v>50</v>
      </c>
      <c r="E1999" s="8" t="s">
        <v>227</v>
      </c>
      <c r="F1999">
        <v>0.57499999999999996</v>
      </c>
      <c r="G1999" t="s">
        <v>78</v>
      </c>
      <c r="H1999" t="str">
        <f>VLOOKUP(Tabla3[[#This Row],[DESCRIPCION MATERIAL]],'CODIGO MAT'!$C$2:$D$390,2,FALSE)</f>
        <v>TEL0000155</v>
      </c>
      <c r="J1999">
        <v>1</v>
      </c>
      <c r="K1999">
        <v>0</v>
      </c>
    </row>
    <row r="2000" spans="1:11" x14ac:dyDescent="0.25">
      <c r="A2000" t="s">
        <v>1635</v>
      </c>
      <c r="B2000" t="s">
        <v>21</v>
      </c>
      <c r="C2000" t="s">
        <v>1634</v>
      </c>
      <c r="D2000" t="s">
        <v>50</v>
      </c>
      <c r="E2000" s="8" t="s">
        <v>183</v>
      </c>
      <c r="F2000">
        <v>0.54800000000000004</v>
      </c>
      <c r="G2000" t="s">
        <v>78</v>
      </c>
      <c r="H2000" t="str">
        <f>VLOOKUP(Tabla3[[#This Row],[DESCRIPCION MATERIAL]],'CODIGO MAT'!$C$2:$D$390,2,FALSE)</f>
        <v>TEL0000110</v>
      </c>
      <c r="J2000">
        <v>1</v>
      </c>
      <c r="K2000">
        <v>0</v>
      </c>
    </row>
    <row r="2001" spans="1:11" x14ac:dyDescent="0.25">
      <c r="A2001" t="s">
        <v>1635</v>
      </c>
      <c r="B2001" t="s">
        <v>21</v>
      </c>
      <c r="C2001" t="s">
        <v>1634</v>
      </c>
      <c r="D2001" t="s">
        <v>50</v>
      </c>
      <c r="E2001" s="8" t="s">
        <v>1631</v>
      </c>
      <c r="F2001">
        <v>0.64</v>
      </c>
      <c r="G2001" t="s">
        <v>78</v>
      </c>
      <c r="H2001" t="e">
        <f>VLOOKUP(Tabla3[[#This Row],[DESCRIPCION MATERIAL]],'CODIGO MAT'!$C$2:$D$390,2,FALSE)</f>
        <v>#N/A</v>
      </c>
      <c r="I2001" s="64" t="s">
        <v>50</v>
      </c>
      <c r="J2001">
        <v>1</v>
      </c>
      <c r="K2001">
        <v>0</v>
      </c>
    </row>
    <row r="2002" spans="1:11" x14ac:dyDescent="0.25">
      <c r="A2002" t="s">
        <v>1635</v>
      </c>
      <c r="B2002" t="s">
        <v>21</v>
      </c>
      <c r="C2002" t="s">
        <v>1634</v>
      </c>
      <c r="D2002" t="s">
        <v>50</v>
      </c>
      <c r="E2002" s="8" t="s">
        <v>1632</v>
      </c>
      <c r="F2002">
        <v>3.5000000000000003E-2</v>
      </c>
      <c r="G2002" t="s">
        <v>78</v>
      </c>
      <c r="H2002" t="e">
        <f>VLOOKUP(Tabla3[[#This Row],[DESCRIPCION MATERIAL]],'CODIGO MAT'!$C$2:$D$390,2,FALSE)</f>
        <v>#N/A</v>
      </c>
      <c r="I2002" s="64" t="s">
        <v>50</v>
      </c>
      <c r="J2002">
        <v>1</v>
      </c>
      <c r="K2002">
        <v>0</v>
      </c>
    </row>
    <row r="2003" spans="1:11" x14ac:dyDescent="0.25">
      <c r="A2003" t="s">
        <v>1635</v>
      </c>
      <c r="B2003" t="s">
        <v>21</v>
      </c>
      <c r="C2003" t="s">
        <v>1634</v>
      </c>
      <c r="D2003" t="s">
        <v>50</v>
      </c>
      <c r="E2003" s="8" t="s">
        <v>232</v>
      </c>
      <c r="F2003">
        <v>0.126</v>
      </c>
      <c r="G2003" t="s">
        <v>78</v>
      </c>
      <c r="H2003" t="str">
        <f>VLOOKUP(Tabla3[[#This Row],[DESCRIPCION MATERIAL]],'CODIGO MAT'!$C$2:$D$390,2,FALSE)</f>
        <v>TEL0000160</v>
      </c>
      <c r="J2003">
        <v>1</v>
      </c>
      <c r="K2003">
        <v>0</v>
      </c>
    </row>
    <row r="2004" spans="1:11" x14ac:dyDescent="0.25">
      <c r="A2004" t="s">
        <v>1635</v>
      </c>
      <c r="B2004" t="s">
        <v>21</v>
      </c>
      <c r="C2004" t="s">
        <v>1634</v>
      </c>
      <c r="D2004" t="s">
        <v>51</v>
      </c>
      <c r="E2004" s="8" t="s">
        <v>1633</v>
      </c>
      <c r="F2004">
        <v>5.62</v>
      </c>
      <c r="G2004" t="s">
        <v>78</v>
      </c>
      <c r="H2004" t="e">
        <f>VLOOKUP(Tabla3[[#This Row],[DESCRIPCION MATERIAL]],'CODIGO MAT'!$C$2:$D$390,2,FALSE)</f>
        <v>#N/A</v>
      </c>
      <c r="I2004" s="64" t="s">
        <v>51</v>
      </c>
      <c r="J2004">
        <v>1</v>
      </c>
      <c r="K2004">
        <v>0</v>
      </c>
    </row>
    <row r="2005" spans="1:11" x14ac:dyDescent="0.25">
      <c r="A2005" t="s">
        <v>1635</v>
      </c>
      <c r="B2005" t="s">
        <v>21</v>
      </c>
      <c r="C2005" t="s">
        <v>1634</v>
      </c>
      <c r="D2005" t="s">
        <v>51</v>
      </c>
      <c r="E2005" s="8" t="s">
        <v>1581</v>
      </c>
      <c r="F2005">
        <v>1.2</v>
      </c>
      <c r="G2005" t="s">
        <v>78</v>
      </c>
      <c r="H2005" t="e">
        <f>VLOOKUP(Tabla3[[#This Row],[DESCRIPCION MATERIAL]],'CODIGO MAT'!$C$2:$D$390,2,FALSE)</f>
        <v>#N/A</v>
      </c>
      <c r="I2005" s="64" t="s">
        <v>51</v>
      </c>
      <c r="J2005">
        <v>1</v>
      </c>
      <c r="K2005">
        <v>0</v>
      </c>
    </row>
    <row r="2006" spans="1:11" x14ac:dyDescent="0.25">
      <c r="A2006" t="s">
        <v>1635</v>
      </c>
      <c r="B2006" t="s">
        <v>21</v>
      </c>
      <c r="C2006" t="s">
        <v>1634</v>
      </c>
      <c r="D2006" t="s">
        <v>51</v>
      </c>
      <c r="E2006" s="8" t="s">
        <v>996</v>
      </c>
      <c r="F2006">
        <v>0.5</v>
      </c>
      <c r="G2006" t="s">
        <v>78</v>
      </c>
      <c r="H2006" t="str">
        <f>VLOOKUP(Tabla3[[#This Row],[DESCRIPCION MATERIAL]],'CODIGO MAT'!$C$2:$D$390,2,FALSE)</f>
        <v>AVI0000148</v>
      </c>
      <c r="J2006">
        <v>1</v>
      </c>
      <c r="K2006">
        <v>0</v>
      </c>
    </row>
    <row r="2007" spans="1:11" x14ac:dyDescent="0.25">
      <c r="A2007" t="s">
        <v>1640</v>
      </c>
      <c r="B2007" t="s">
        <v>21</v>
      </c>
      <c r="C2007" t="s">
        <v>1639</v>
      </c>
      <c r="D2007" t="s">
        <v>50</v>
      </c>
      <c r="E2007" s="8" t="s">
        <v>118</v>
      </c>
      <c r="F2007">
        <v>0.87</v>
      </c>
      <c r="G2007" t="s">
        <v>78</v>
      </c>
      <c r="H2007" t="str">
        <f>VLOOKUP(Tabla3[[#This Row],[DESCRIPCION MATERIAL]],'CODIGO MAT'!$C$2:$D$390,2,FALSE)</f>
        <v>TEL0000045</v>
      </c>
      <c r="J2007">
        <v>1</v>
      </c>
      <c r="K2007">
        <v>0</v>
      </c>
    </row>
    <row r="2008" spans="1:11" x14ac:dyDescent="0.25">
      <c r="A2008" t="s">
        <v>1640</v>
      </c>
      <c r="B2008" t="s">
        <v>21</v>
      </c>
      <c r="C2008" t="s">
        <v>1639</v>
      </c>
      <c r="D2008" t="s">
        <v>50</v>
      </c>
      <c r="E2008" s="8" t="s">
        <v>12</v>
      </c>
      <c r="F2008">
        <v>0.17</v>
      </c>
      <c r="G2008" t="s">
        <v>78</v>
      </c>
      <c r="H2008" t="str">
        <f>VLOOKUP(Tabla3[[#This Row],[DESCRIPCION MATERIAL]],'CODIGO MAT'!$C$2:$D$390,2,FALSE)</f>
        <v>TEL0000040</v>
      </c>
      <c r="J2008">
        <v>1</v>
      </c>
      <c r="K2008">
        <v>0</v>
      </c>
    </row>
    <row r="2009" spans="1:11" x14ac:dyDescent="0.25">
      <c r="A2009" t="s">
        <v>1640</v>
      </c>
      <c r="B2009" t="s">
        <v>21</v>
      </c>
      <c r="C2009" t="s">
        <v>1639</v>
      </c>
      <c r="D2009" t="s">
        <v>51</v>
      </c>
      <c r="E2009" s="8" t="s">
        <v>1581</v>
      </c>
      <c r="F2009">
        <v>0</v>
      </c>
      <c r="G2009" t="s">
        <v>78</v>
      </c>
      <c r="H2009" t="e">
        <f>VLOOKUP(Tabla3[[#This Row],[DESCRIPCION MATERIAL]],'CODIGO MAT'!$C$2:$D$390,2,FALSE)</f>
        <v>#N/A</v>
      </c>
      <c r="I2009" s="64" t="s">
        <v>51</v>
      </c>
      <c r="J2009">
        <v>1</v>
      </c>
      <c r="K2009">
        <v>0</v>
      </c>
    </row>
    <row r="2010" spans="1:11" x14ac:dyDescent="0.25">
      <c r="A2010" t="s">
        <v>1640</v>
      </c>
      <c r="B2010" t="s">
        <v>21</v>
      </c>
      <c r="C2010" t="s">
        <v>1639</v>
      </c>
      <c r="D2010" t="s">
        <v>50</v>
      </c>
      <c r="E2010" s="8" t="s">
        <v>192</v>
      </c>
      <c r="F2010">
        <v>0.126</v>
      </c>
      <c r="G2010" t="s">
        <v>78</v>
      </c>
      <c r="H2010" t="str">
        <f>VLOOKUP(Tabla3[[#This Row],[DESCRIPCION MATERIAL]],'CODIGO MAT'!$C$2:$D$390,2,FALSE)</f>
        <v>TEL0000119</v>
      </c>
      <c r="J2010">
        <v>1</v>
      </c>
      <c r="K2010">
        <v>0</v>
      </c>
    </row>
    <row r="2011" spans="1:11" x14ac:dyDescent="0.25">
      <c r="A2011" t="s">
        <v>1640</v>
      </c>
      <c r="B2011" t="s">
        <v>21</v>
      </c>
      <c r="C2011" t="s">
        <v>1639</v>
      </c>
      <c r="D2011" t="s">
        <v>50</v>
      </c>
      <c r="E2011" s="8" t="s">
        <v>1636</v>
      </c>
      <c r="F2011">
        <v>0</v>
      </c>
      <c r="G2011" t="s">
        <v>78</v>
      </c>
      <c r="H2011" t="e">
        <f>VLOOKUP(Tabla3[[#This Row],[DESCRIPCION MATERIAL]],'CODIGO MAT'!$C$2:$D$390,2,FALSE)</f>
        <v>#N/A</v>
      </c>
      <c r="I2011" s="64" t="s">
        <v>50</v>
      </c>
    </row>
    <row r="2012" spans="1:11" x14ac:dyDescent="0.25">
      <c r="A2012" t="s">
        <v>1640</v>
      </c>
      <c r="B2012" t="s">
        <v>21</v>
      </c>
      <c r="C2012" t="s">
        <v>1639</v>
      </c>
      <c r="D2012" t="s">
        <v>51</v>
      </c>
      <c r="E2012" s="8" t="s">
        <v>67</v>
      </c>
      <c r="F2012">
        <v>0</v>
      </c>
      <c r="G2012" t="s">
        <v>78</v>
      </c>
      <c r="H2012" t="str">
        <f>VLOOKUP(Tabla3[[#This Row],[DESCRIPCION MATERIAL]],'CODIGO MAT'!$C$2:$D$390,2,FALSE)</f>
        <v>AVI0000007</v>
      </c>
    </row>
    <row r="2013" spans="1:11" x14ac:dyDescent="0.25">
      <c r="A2013" t="s">
        <v>1640</v>
      </c>
      <c r="B2013" t="s">
        <v>21</v>
      </c>
      <c r="C2013" t="s">
        <v>1639</v>
      </c>
      <c r="D2013" t="s">
        <v>51</v>
      </c>
      <c r="E2013" s="8" t="s">
        <v>1638</v>
      </c>
      <c r="F2013">
        <v>1</v>
      </c>
      <c r="G2013" t="s">
        <v>396</v>
      </c>
      <c r="H2013" t="e">
        <f>VLOOKUP(Tabla3[[#This Row],[DESCRIPCION MATERIAL]],'CODIGO MAT'!$C$2:$D$390,2,FALSE)</f>
        <v>#N/A</v>
      </c>
      <c r="I2013" s="64" t="s">
        <v>51</v>
      </c>
    </row>
    <row r="2014" spans="1:11" x14ac:dyDescent="0.25">
      <c r="A2014" t="s">
        <v>1642</v>
      </c>
      <c r="B2014" t="s">
        <v>21</v>
      </c>
      <c r="C2014" t="s">
        <v>1641</v>
      </c>
      <c r="D2014" t="s">
        <v>50</v>
      </c>
      <c r="E2014" s="8" t="s">
        <v>1231</v>
      </c>
      <c r="F2014">
        <v>0.84399999999999997</v>
      </c>
      <c r="G2014" t="s">
        <v>78</v>
      </c>
      <c r="H2014" t="e">
        <f>VLOOKUP(Tabla3[[#This Row],[DESCRIPCION MATERIAL]],'CODIGO MAT'!$C$2:$D$390,2,FALSE)</f>
        <v>#N/A</v>
      </c>
      <c r="I2014" s="64" t="s">
        <v>50</v>
      </c>
      <c r="J2014">
        <v>1</v>
      </c>
      <c r="K2014">
        <v>0</v>
      </c>
    </row>
    <row r="2015" spans="1:11" x14ac:dyDescent="0.25">
      <c r="A2015" t="s">
        <v>1642</v>
      </c>
      <c r="B2015" t="s">
        <v>21</v>
      </c>
      <c r="C2015" t="s">
        <v>1641</v>
      </c>
      <c r="D2015" t="s">
        <v>50</v>
      </c>
      <c r="E2015" s="8" t="s">
        <v>1248</v>
      </c>
      <c r="F2015">
        <v>1.3740000000000001</v>
      </c>
      <c r="G2015" t="s">
        <v>78</v>
      </c>
      <c r="H2015" t="e">
        <f>VLOOKUP(Tabla3[[#This Row],[DESCRIPCION MATERIAL]],'CODIGO MAT'!$C$2:$D$390,2,FALSE)</f>
        <v>#N/A</v>
      </c>
      <c r="I2015" s="64" t="s">
        <v>50</v>
      </c>
      <c r="J2015">
        <v>1</v>
      </c>
      <c r="K2015">
        <v>0</v>
      </c>
    </row>
    <row r="2016" spans="1:11" x14ac:dyDescent="0.25">
      <c r="A2016" t="s">
        <v>1642</v>
      </c>
      <c r="B2016" t="s">
        <v>21</v>
      </c>
      <c r="C2016" t="s">
        <v>1641</v>
      </c>
      <c r="D2016" t="s">
        <v>51</v>
      </c>
      <c r="E2016" s="8" t="s">
        <v>1382</v>
      </c>
      <c r="F2016">
        <v>0.6</v>
      </c>
      <c r="G2016" t="s">
        <v>78</v>
      </c>
      <c r="H2016" t="e">
        <f>VLOOKUP(Tabla3[[#This Row],[DESCRIPCION MATERIAL]],'CODIGO MAT'!$C$2:$D$390,2,FALSE)</f>
        <v>#N/A</v>
      </c>
      <c r="I2016" s="64" t="s">
        <v>51</v>
      </c>
      <c r="J2016">
        <v>1</v>
      </c>
      <c r="K2016">
        <v>0</v>
      </c>
    </row>
    <row r="2017" spans="1:11" x14ac:dyDescent="0.25">
      <c r="A2017" t="s">
        <v>1644</v>
      </c>
      <c r="B2017" t="s">
        <v>555</v>
      </c>
      <c r="C2017" t="s">
        <v>1643</v>
      </c>
      <c r="D2017" t="s">
        <v>50</v>
      </c>
      <c r="E2017" s="8" t="s">
        <v>204</v>
      </c>
      <c r="F2017">
        <v>0.13600000000000001</v>
      </c>
      <c r="G2017" t="s">
        <v>78</v>
      </c>
      <c r="H2017" t="str">
        <f>VLOOKUP(Tabla3[[#This Row],[DESCRIPCION MATERIAL]],'CODIGO MAT'!$C$2:$D$390,2,FALSE)</f>
        <v>TEL0000131</v>
      </c>
      <c r="J2017">
        <v>1</v>
      </c>
      <c r="K2017">
        <v>0</v>
      </c>
    </row>
    <row r="2018" spans="1:11" x14ac:dyDescent="0.25">
      <c r="A2018" t="s">
        <v>1644</v>
      </c>
      <c r="B2018" t="s">
        <v>555</v>
      </c>
      <c r="C2018" t="s">
        <v>1643</v>
      </c>
      <c r="D2018" t="s">
        <v>50</v>
      </c>
      <c r="E2018" s="8" t="s">
        <v>227</v>
      </c>
      <c r="F2018">
        <v>0.158</v>
      </c>
      <c r="G2018" t="s">
        <v>78</v>
      </c>
      <c r="H2018" t="str">
        <f>VLOOKUP(Tabla3[[#This Row],[DESCRIPCION MATERIAL]],'CODIGO MAT'!$C$2:$D$390,2,FALSE)</f>
        <v>TEL0000155</v>
      </c>
      <c r="J2018">
        <v>1</v>
      </c>
      <c r="K2018">
        <v>0</v>
      </c>
    </row>
    <row r="2019" spans="1:11" x14ac:dyDescent="0.25">
      <c r="A2019" t="s">
        <v>1644</v>
      </c>
      <c r="B2019" t="s">
        <v>555</v>
      </c>
      <c r="C2019" t="s">
        <v>1643</v>
      </c>
      <c r="D2019" t="s">
        <v>50</v>
      </c>
      <c r="E2019" s="8" t="s">
        <v>1218</v>
      </c>
      <c r="F2019">
        <v>0.376</v>
      </c>
      <c r="G2019" t="s">
        <v>78</v>
      </c>
      <c r="H2019" t="e">
        <f>VLOOKUP(Tabla3[[#This Row],[DESCRIPCION MATERIAL]],'CODIGO MAT'!$C$2:$D$390,2,FALSE)</f>
        <v>#N/A</v>
      </c>
      <c r="I2019" s="64" t="s">
        <v>50</v>
      </c>
      <c r="J2019">
        <v>1</v>
      </c>
      <c r="K2019">
        <v>0</v>
      </c>
    </row>
    <row r="2020" spans="1:11" x14ac:dyDescent="0.25">
      <c r="A2020" t="s">
        <v>1644</v>
      </c>
      <c r="B2020" t="s">
        <v>555</v>
      </c>
      <c r="C2020" t="s">
        <v>1643</v>
      </c>
      <c r="D2020" t="s">
        <v>50</v>
      </c>
      <c r="E2020" s="8" t="s">
        <v>1204</v>
      </c>
      <c r="F2020">
        <v>0.85199999999999998</v>
      </c>
      <c r="G2020" t="s">
        <v>78</v>
      </c>
      <c r="H2020" t="e">
        <f>VLOOKUP(Tabla3[[#This Row],[DESCRIPCION MATERIAL]],'CODIGO MAT'!$C$2:$D$390,2,FALSE)</f>
        <v>#N/A</v>
      </c>
      <c r="I2020" s="64" t="s">
        <v>50</v>
      </c>
      <c r="J2020">
        <v>1</v>
      </c>
      <c r="K2020">
        <v>0</v>
      </c>
    </row>
    <row r="2021" spans="1:11" x14ac:dyDescent="0.25">
      <c r="A2021" t="s">
        <v>1644</v>
      </c>
      <c r="B2021" t="s">
        <v>555</v>
      </c>
      <c r="C2021" t="s">
        <v>1643</v>
      </c>
      <c r="D2021" t="s">
        <v>50</v>
      </c>
      <c r="E2021" s="8" t="s">
        <v>1232</v>
      </c>
      <c r="F2021">
        <v>7.8E-2</v>
      </c>
      <c r="G2021" t="s">
        <v>78</v>
      </c>
      <c r="H2021" t="e">
        <f>VLOOKUP(Tabla3[[#This Row],[DESCRIPCION MATERIAL]],'CODIGO MAT'!$C$2:$D$390,2,FALSE)</f>
        <v>#N/A</v>
      </c>
      <c r="I2021" s="64" t="s">
        <v>50</v>
      </c>
      <c r="J2021">
        <v>1</v>
      </c>
      <c r="K2021">
        <v>0</v>
      </c>
    </row>
    <row r="2022" spans="1:11" x14ac:dyDescent="0.25">
      <c r="A2022" t="s">
        <v>1644</v>
      </c>
      <c r="B2022" t="s">
        <v>555</v>
      </c>
      <c r="C2022" t="s">
        <v>1643</v>
      </c>
      <c r="D2022" t="s">
        <v>51</v>
      </c>
      <c r="E2022" s="8" t="s">
        <v>327</v>
      </c>
      <c r="F2022">
        <v>8.3119999999999994</v>
      </c>
      <c r="G2022" t="s">
        <v>78</v>
      </c>
      <c r="H2022" t="str">
        <f>VLOOKUP(Tabla3[[#This Row],[DESCRIPCION MATERIAL]],'CODIGO MAT'!$C$2:$D$390,2,FALSE)</f>
        <v>AVI0000065</v>
      </c>
      <c r="J2022">
        <v>1</v>
      </c>
      <c r="K2022">
        <v>0</v>
      </c>
    </row>
    <row r="2023" spans="1:11" x14ac:dyDescent="0.25">
      <c r="A2023" t="s">
        <v>1644</v>
      </c>
      <c r="B2023" t="s">
        <v>555</v>
      </c>
      <c r="C2023" t="s">
        <v>1643</v>
      </c>
      <c r="D2023" t="s">
        <v>51</v>
      </c>
      <c r="E2023" s="8" t="s">
        <v>996</v>
      </c>
      <c r="F2023">
        <v>0.5</v>
      </c>
      <c r="G2023" t="s">
        <v>78</v>
      </c>
      <c r="H2023" t="str">
        <f>VLOOKUP(Tabla3[[#This Row],[DESCRIPCION MATERIAL]],'CODIGO MAT'!$C$2:$D$390,2,FALSE)</f>
        <v>AVI0000148</v>
      </c>
      <c r="J2023">
        <v>1</v>
      </c>
      <c r="K2023">
        <v>0</v>
      </c>
    </row>
    <row r="2024" spans="1:11" x14ac:dyDescent="0.25">
      <c r="A2024" t="s">
        <v>1644</v>
      </c>
      <c r="B2024" t="s">
        <v>555</v>
      </c>
      <c r="C2024" t="s">
        <v>1643</v>
      </c>
      <c r="D2024" t="s">
        <v>51</v>
      </c>
      <c r="E2024" s="8" t="s">
        <v>315</v>
      </c>
      <c r="F2024">
        <v>0</v>
      </c>
      <c r="G2024" t="s">
        <v>78</v>
      </c>
      <c r="H2024" t="str">
        <f>VLOOKUP(Tabla3[[#This Row],[DESCRIPCION MATERIAL]],'CODIGO MAT'!$C$2:$D$390,2,FALSE)</f>
        <v>AVI0000055</v>
      </c>
      <c r="J2024">
        <v>1</v>
      </c>
      <c r="K2024">
        <v>0</v>
      </c>
    </row>
    <row r="2025" spans="1:11" x14ac:dyDescent="0.25">
      <c r="A2025" t="s">
        <v>1647</v>
      </c>
      <c r="B2025" t="s">
        <v>555</v>
      </c>
      <c r="C2025" t="s">
        <v>1646</v>
      </c>
      <c r="D2025" t="s">
        <v>50</v>
      </c>
      <c r="E2025" s="8" t="s">
        <v>230</v>
      </c>
      <c r="F2025">
        <v>9.1999999999999998E-2</v>
      </c>
      <c r="G2025" t="s">
        <v>78</v>
      </c>
      <c r="H2025" t="str">
        <f>VLOOKUP(Tabla3[[#This Row],[DESCRIPCION MATERIAL]],'CODIGO MAT'!$C$2:$D$390,2,FALSE)</f>
        <v>TEL0000158</v>
      </c>
      <c r="J2025">
        <v>1</v>
      </c>
      <c r="K2025">
        <v>0</v>
      </c>
    </row>
    <row r="2026" spans="1:11" x14ac:dyDescent="0.25">
      <c r="A2026" t="s">
        <v>1647</v>
      </c>
      <c r="B2026" t="s">
        <v>555</v>
      </c>
      <c r="C2026" t="s">
        <v>1646</v>
      </c>
      <c r="D2026" t="s">
        <v>50</v>
      </c>
      <c r="E2026" s="8" t="s">
        <v>208</v>
      </c>
      <c r="F2026">
        <v>0.13</v>
      </c>
      <c r="G2026" t="s">
        <v>78</v>
      </c>
      <c r="H2026" t="str">
        <f>VLOOKUP(Tabla3[[#This Row],[DESCRIPCION MATERIAL]],'CODIGO MAT'!$C$2:$D$390,2,FALSE)</f>
        <v>TEL0000135</v>
      </c>
      <c r="J2026">
        <v>1</v>
      </c>
      <c r="K2026">
        <v>0</v>
      </c>
    </row>
    <row r="2027" spans="1:11" x14ac:dyDescent="0.25">
      <c r="A2027" t="s">
        <v>1647</v>
      </c>
      <c r="B2027" t="s">
        <v>555</v>
      </c>
      <c r="C2027" t="s">
        <v>1646</v>
      </c>
      <c r="D2027" t="s">
        <v>50</v>
      </c>
      <c r="E2027" s="8" t="s">
        <v>1240</v>
      </c>
      <c r="F2027">
        <v>0.39900000000000002</v>
      </c>
      <c r="G2027" t="s">
        <v>78</v>
      </c>
      <c r="H2027" t="e">
        <f>VLOOKUP(Tabla3[[#This Row],[DESCRIPCION MATERIAL]],'CODIGO MAT'!$C$2:$D$390,2,FALSE)</f>
        <v>#N/A</v>
      </c>
      <c r="I2027" s="64" t="s">
        <v>50</v>
      </c>
      <c r="J2027">
        <v>1</v>
      </c>
      <c r="K2027">
        <v>0</v>
      </c>
    </row>
    <row r="2028" spans="1:11" x14ac:dyDescent="0.25">
      <c r="A2028" t="s">
        <v>1647</v>
      </c>
      <c r="B2028" t="s">
        <v>555</v>
      </c>
      <c r="C2028" t="s">
        <v>1646</v>
      </c>
      <c r="D2028" t="s">
        <v>50</v>
      </c>
      <c r="E2028" s="8" t="s">
        <v>1645</v>
      </c>
      <c r="F2028">
        <v>0.28100000000000003</v>
      </c>
      <c r="G2028" t="s">
        <v>78</v>
      </c>
      <c r="H2028" t="e">
        <f>VLOOKUP(Tabla3[[#This Row],[DESCRIPCION MATERIAL]],'CODIGO MAT'!$C$2:$D$390,2,FALSE)</f>
        <v>#N/A</v>
      </c>
      <c r="I2028" s="64" t="s">
        <v>50</v>
      </c>
      <c r="J2028">
        <v>1</v>
      </c>
      <c r="K2028">
        <v>0</v>
      </c>
    </row>
    <row r="2029" spans="1:11" x14ac:dyDescent="0.25">
      <c r="A2029" t="s">
        <v>1647</v>
      </c>
      <c r="B2029" t="s">
        <v>555</v>
      </c>
      <c r="C2029" t="s">
        <v>1646</v>
      </c>
      <c r="D2029" t="s">
        <v>50</v>
      </c>
      <c r="E2029" s="8" t="s">
        <v>1213</v>
      </c>
      <c r="F2029">
        <v>0.52100000000000002</v>
      </c>
      <c r="G2029" t="s">
        <v>78</v>
      </c>
      <c r="H2029" t="e">
        <f>VLOOKUP(Tabla3[[#This Row],[DESCRIPCION MATERIAL]],'CODIGO MAT'!$C$2:$D$390,2,FALSE)</f>
        <v>#N/A</v>
      </c>
      <c r="I2029" s="64" t="s">
        <v>50</v>
      </c>
      <c r="J2029">
        <v>1</v>
      </c>
      <c r="K2029">
        <v>0</v>
      </c>
    </row>
    <row r="2030" spans="1:11" x14ac:dyDescent="0.25">
      <c r="A2030" t="s">
        <v>1647</v>
      </c>
      <c r="B2030" t="s">
        <v>555</v>
      </c>
      <c r="C2030" t="s">
        <v>1646</v>
      </c>
      <c r="D2030" t="s">
        <v>50</v>
      </c>
      <c r="E2030" s="8" t="s">
        <v>1211</v>
      </c>
      <c r="F2030">
        <v>0.56100000000000005</v>
      </c>
      <c r="G2030" t="s">
        <v>78</v>
      </c>
      <c r="H2030" t="e">
        <f>VLOOKUP(Tabla3[[#This Row],[DESCRIPCION MATERIAL]],'CODIGO MAT'!$C$2:$D$390,2,FALSE)</f>
        <v>#N/A</v>
      </c>
      <c r="I2030" s="64" t="s">
        <v>50</v>
      </c>
      <c r="J2030">
        <v>1</v>
      </c>
      <c r="K2030">
        <v>0</v>
      </c>
    </row>
    <row r="2031" spans="1:11" x14ac:dyDescent="0.25">
      <c r="A2031" t="s">
        <v>1647</v>
      </c>
      <c r="B2031" t="s">
        <v>555</v>
      </c>
      <c r="C2031" t="s">
        <v>1646</v>
      </c>
      <c r="D2031" t="s">
        <v>51</v>
      </c>
      <c r="E2031" s="8" t="s">
        <v>378</v>
      </c>
      <c r="F2031">
        <v>1</v>
      </c>
      <c r="G2031" t="s">
        <v>396</v>
      </c>
      <c r="H2031" t="str">
        <f>VLOOKUP(Tabla3[[#This Row],[DESCRIPCION MATERIAL]],'CODIGO MAT'!$C$2:$D$390,2,FALSE)</f>
        <v>AVI0000115</v>
      </c>
      <c r="J2031">
        <v>1</v>
      </c>
      <c r="K2031">
        <v>0</v>
      </c>
    </row>
    <row r="2032" spans="1:11" x14ac:dyDescent="0.25">
      <c r="A2032" t="s">
        <v>1647</v>
      </c>
      <c r="B2032" t="s">
        <v>555</v>
      </c>
      <c r="C2032" t="s">
        <v>1646</v>
      </c>
      <c r="D2032" t="s">
        <v>51</v>
      </c>
      <c r="E2032" s="8" t="s">
        <v>285</v>
      </c>
      <c r="F2032">
        <v>13.96</v>
      </c>
      <c r="G2032" t="s">
        <v>78</v>
      </c>
      <c r="H2032" t="str">
        <f>VLOOKUP(Tabla3[[#This Row],[DESCRIPCION MATERIAL]],'CODIGO MAT'!$C$2:$D$390,2,FALSE)</f>
        <v>AVI0000028</v>
      </c>
      <c r="J2032">
        <v>1</v>
      </c>
      <c r="K2032">
        <v>0</v>
      </c>
    </row>
    <row r="2033" spans="1:11" x14ac:dyDescent="0.25">
      <c r="A2033" t="s">
        <v>1649</v>
      </c>
      <c r="B2033" t="s">
        <v>555</v>
      </c>
      <c r="C2033" t="s">
        <v>1648</v>
      </c>
      <c r="D2033" t="s">
        <v>50</v>
      </c>
      <c r="E2033" s="8" t="s">
        <v>1314</v>
      </c>
      <c r="F2033">
        <v>9.1999999999999998E-2</v>
      </c>
      <c r="G2033" t="s">
        <v>78</v>
      </c>
      <c r="H2033" t="e">
        <f>VLOOKUP(Tabla3[[#This Row],[DESCRIPCION MATERIAL]],'CODIGO MAT'!$C$2:$D$390,2,FALSE)</f>
        <v>#N/A</v>
      </c>
      <c r="I2033" s="64" t="s">
        <v>50</v>
      </c>
      <c r="J2033">
        <v>1</v>
      </c>
      <c r="K2033">
        <v>0</v>
      </c>
    </row>
    <row r="2034" spans="1:11" x14ac:dyDescent="0.25">
      <c r="A2034" t="s">
        <v>1649</v>
      </c>
      <c r="B2034" t="s">
        <v>555</v>
      </c>
      <c r="C2034" t="s">
        <v>1648</v>
      </c>
      <c r="D2034" t="s">
        <v>50</v>
      </c>
      <c r="E2034" s="8" t="s">
        <v>206</v>
      </c>
      <c r="F2034">
        <v>0.13</v>
      </c>
      <c r="G2034" t="s">
        <v>78</v>
      </c>
      <c r="H2034" t="str">
        <f>VLOOKUP(Tabla3[[#This Row],[DESCRIPCION MATERIAL]],'CODIGO MAT'!$C$2:$D$390,2,FALSE)</f>
        <v>TEL0000133</v>
      </c>
      <c r="J2034">
        <v>1</v>
      </c>
      <c r="K2034">
        <v>0</v>
      </c>
    </row>
    <row r="2035" spans="1:11" x14ac:dyDescent="0.25">
      <c r="A2035" t="s">
        <v>1649</v>
      </c>
      <c r="B2035" t="s">
        <v>555</v>
      </c>
      <c r="C2035" t="s">
        <v>1648</v>
      </c>
      <c r="D2035" t="s">
        <v>50</v>
      </c>
      <c r="E2035" s="8" t="s">
        <v>1237</v>
      </c>
      <c r="F2035">
        <v>0.11799999999999999</v>
      </c>
      <c r="G2035" t="s">
        <v>78</v>
      </c>
      <c r="H2035" t="e">
        <f>VLOOKUP(Tabla3[[#This Row],[DESCRIPCION MATERIAL]],'CODIGO MAT'!$C$2:$D$390,2,FALSE)</f>
        <v>#N/A</v>
      </c>
      <c r="I2035" s="64" t="s">
        <v>50</v>
      </c>
      <c r="J2035">
        <v>1</v>
      </c>
      <c r="K2035">
        <v>0</v>
      </c>
    </row>
    <row r="2036" spans="1:11" x14ac:dyDescent="0.25">
      <c r="A2036" t="s">
        <v>1649</v>
      </c>
      <c r="B2036" t="s">
        <v>555</v>
      </c>
      <c r="C2036" t="s">
        <v>1648</v>
      </c>
      <c r="D2036" t="s">
        <v>50</v>
      </c>
      <c r="E2036" s="8" t="s">
        <v>1222</v>
      </c>
      <c r="F2036">
        <v>0.28100000000000003</v>
      </c>
      <c r="G2036" t="s">
        <v>78</v>
      </c>
      <c r="H2036" t="e">
        <f>VLOOKUP(Tabla3[[#This Row],[DESCRIPCION MATERIAL]],'CODIGO MAT'!$C$2:$D$390,2,FALSE)</f>
        <v>#N/A</v>
      </c>
      <c r="I2036" s="64" t="s">
        <v>50</v>
      </c>
      <c r="J2036">
        <v>1</v>
      </c>
      <c r="K2036">
        <v>0</v>
      </c>
    </row>
    <row r="2037" spans="1:11" x14ac:dyDescent="0.25">
      <c r="A2037" t="s">
        <v>1649</v>
      </c>
      <c r="B2037" t="s">
        <v>555</v>
      </c>
      <c r="C2037" t="s">
        <v>1648</v>
      </c>
      <c r="D2037" t="s">
        <v>50</v>
      </c>
      <c r="E2037" s="8" t="s">
        <v>1207</v>
      </c>
      <c r="F2037">
        <v>0.52100000000000002</v>
      </c>
      <c r="G2037" t="s">
        <v>78</v>
      </c>
      <c r="H2037" t="e">
        <f>VLOOKUP(Tabla3[[#This Row],[DESCRIPCION MATERIAL]],'CODIGO MAT'!$C$2:$D$390,2,FALSE)</f>
        <v>#N/A</v>
      </c>
      <c r="I2037" s="64" t="s">
        <v>50</v>
      </c>
      <c r="J2037">
        <v>1</v>
      </c>
      <c r="K2037">
        <v>0</v>
      </c>
    </row>
    <row r="2038" spans="1:11" x14ac:dyDescent="0.25">
      <c r="A2038" t="s">
        <v>1649</v>
      </c>
      <c r="B2038" t="s">
        <v>555</v>
      </c>
      <c r="C2038" t="s">
        <v>1648</v>
      </c>
      <c r="D2038" t="s">
        <v>50</v>
      </c>
      <c r="E2038" s="8" t="s">
        <v>1210</v>
      </c>
      <c r="F2038">
        <v>0.56100000000000005</v>
      </c>
      <c r="G2038" t="s">
        <v>78</v>
      </c>
      <c r="H2038" t="e">
        <f>VLOOKUP(Tabla3[[#This Row],[DESCRIPCION MATERIAL]],'CODIGO MAT'!$C$2:$D$390,2,FALSE)</f>
        <v>#N/A</v>
      </c>
      <c r="I2038" s="64" t="s">
        <v>50</v>
      </c>
      <c r="J2038">
        <v>1</v>
      </c>
      <c r="K2038">
        <v>0</v>
      </c>
    </row>
    <row r="2039" spans="1:11" x14ac:dyDescent="0.25">
      <c r="A2039" t="s">
        <v>1649</v>
      </c>
      <c r="B2039" t="s">
        <v>555</v>
      </c>
      <c r="C2039" t="s">
        <v>1648</v>
      </c>
      <c r="D2039" t="s">
        <v>50</v>
      </c>
      <c r="E2039" s="8" t="s">
        <v>1315</v>
      </c>
      <c r="F2039">
        <v>0.28100000000000003</v>
      </c>
      <c r="G2039" t="s">
        <v>78</v>
      </c>
      <c r="H2039" t="e">
        <f>VLOOKUP(Tabla3[[#This Row],[DESCRIPCION MATERIAL]],'CODIGO MAT'!$C$2:$D$390,2,FALSE)</f>
        <v>#N/A</v>
      </c>
      <c r="I2039" s="64" t="s">
        <v>50</v>
      </c>
      <c r="J2039">
        <v>1</v>
      </c>
      <c r="K2039">
        <v>0</v>
      </c>
    </row>
    <row r="2040" spans="1:11" x14ac:dyDescent="0.25">
      <c r="A2040" t="s">
        <v>1649</v>
      </c>
      <c r="B2040" t="s">
        <v>555</v>
      </c>
      <c r="C2040" t="s">
        <v>1648</v>
      </c>
      <c r="D2040" t="s">
        <v>51</v>
      </c>
      <c r="E2040" s="8" t="s">
        <v>379</v>
      </c>
      <c r="F2040">
        <v>1</v>
      </c>
      <c r="G2040" t="s">
        <v>396</v>
      </c>
      <c r="H2040" t="str">
        <f>VLOOKUP(Tabla3[[#This Row],[DESCRIPCION MATERIAL]],'CODIGO MAT'!$C$2:$D$390,2,FALSE)</f>
        <v>AVI0000116</v>
      </c>
      <c r="J2040">
        <v>1</v>
      </c>
      <c r="K2040">
        <v>0</v>
      </c>
    </row>
    <row r="2041" spans="1:11" x14ac:dyDescent="0.25">
      <c r="A2041" t="s">
        <v>1649</v>
      </c>
      <c r="B2041" t="s">
        <v>555</v>
      </c>
      <c r="C2041" t="s">
        <v>1648</v>
      </c>
      <c r="D2041" t="s">
        <v>51</v>
      </c>
      <c r="E2041" s="8" t="s">
        <v>285</v>
      </c>
      <c r="F2041">
        <v>13.96</v>
      </c>
      <c r="G2041" t="s">
        <v>78</v>
      </c>
      <c r="H2041" t="str">
        <f>VLOOKUP(Tabla3[[#This Row],[DESCRIPCION MATERIAL]],'CODIGO MAT'!$C$2:$D$390,2,FALSE)</f>
        <v>AVI0000028</v>
      </c>
      <c r="J2041">
        <v>1</v>
      </c>
      <c r="K2041">
        <v>0</v>
      </c>
    </row>
    <row r="2042" spans="1:11" x14ac:dyDescent="0.25">
      <c r="A2042" t="s">
        <v>1651</v>
      </c>
      <c r="B2042" t="s">
        <v>555</v>
      </c>
      <c r="C2042" t="s">
        <v>1650</v>
      </c>
      <c r="D2042" t="s">
        <v>50</v>
      </c>
      <c r="E2042" s="8" t="s">
        <v>1233</v>
      </c>
      <c r="F2042">
        <v>0.77400000000000002</v>
      </c>
      <c r="G2042" t="s">
        <v>78</v>
      </c>
      <c r="H2042" t="e">
        <f>VLOOKUP(Tabla3[[#This Row],[DESCRIPCION MATERIAL]],'CODIGO MAT'!$C$2:$D$390,2,FALSE)</f>
        <v>#N/A</v>
      </c>
      <c r="I2042" s="64" t="s">
        <v>50</v>
      </c>
      <c r="J2042">
        <v>1</v>
      </c>
      <c r="K2042">
        <v>0</v>
      </c>
    </row>
    <row r="2043" spans="1:11" x14ac:dyDescent="0.25">
      <c r="A2043" t="s">
        <v>1651</v>
      </c>
      <c r="B2043" t="s">
        <v>555</v>
      </c>
      <c r="C2043" t="s">
        <v>1650</v>
      </c>
      <c r="D2043" t="s">
        <v>50</v>
      </c>
      <c r="E2043" s="8" t="s">
        <v>235</v>
      </c>
      <c r="F2043">
        <v>0.105</v>
      </c>
      <c r="G2043" t="s">
        <v>78</v>
      </c>
      <c r="H2043" t="str">
        <f>VLOOKUP(Tabla3[[#This Row],[DESCRIPCION MATERIAL]],'CODIGO MAT'!$C$2:$D$390,2,FALSE)</f>
        <v>TEL0000163</v>
      </c>
      <c r="J2043">
        <v>1</v>
      </c>
      <c r="K2043">
        <v>0</v>
      </c>
    </row>
    <row r="2044" spans="1:11" x14ac:dyDescent="0.25">
      <c r="A2044" t="s">
        <v>1651</v>
      </c>
      <c r="B2044" t="s">
        <v>555</v>
      </c>
      <c r="C2044" t="s">
        <v>1650</v>
      </c>
      <c r="D2044" t="s">
        <v>50</v>
      </c>
      <c r="E2044" s="8" t="s">
        <v>1205</v>
      </c>
      <c r="F2044">
        <v>0.221</v>
      </c>
      <c r="G2044" t="s">
        <v>78</v>
      </c>
      <c r="H2044" t="e">
        <f>VLOOKUP(Tabla3[[#This Row],[DESCRIPCION MATERIAL]],'CODIGO MAT'!$C$2:$D$390,2,FALSE)</f>
        <v>#N/A</v>
      </c>
      <c r="I2044" s="64" t="s">
        <v>50</v>
      </c>
      <c r="J2044">
        <v>1</v>
      </c>
      <c r="K2044">
        <v>0</v>
      </c>
    </row>
    <row r="2045" spans="1:11" x14ac:dyDescent="0.25">
      <c r="A2045" t="s">
        <v>1651</v>
      </c>
      <c r="B2045" t="s">
        <v>555</v>
      </c>
      <c r="C2045" t="s">
        <v>1650</v>
      </c>
      <c r="D2045" t="s">
        <v>50</v>
      </c>
      <c r="E2045" s="8" t="s">
        <v>1219</v>
      </c>
      <c r="F2045">
        <v>0.375</v>
      </c>
      <c r="G2045" t="s">
        <v>78</v>
      </c>
      <c r="H2045" t="e">
        <f>VLOOKUP(Tabla3[[#This Row],[DESCRIPCION MATERIAL]],'CODIGO MAT'!$C$2:$D$390,2,FALSE)</f>
        <v>#N/A</v>
      </c>
      <c r="I2045" s="64" t="s">
        <v>50</v>
      </c>
      <c r="J2045">
        <v>1</v>
      </c>
      <c r="K2045">
        <v>0</v>
      </c>
    </row>
    <row r="2046" spans="1:11" x14ac:dyDescent="0.25">
      <c r="A2046" t="s">
        <v>1651</v>
      </c>
      <c r="B2046" t="s">
        <v>555</v>
      </c>
      <c r="C2046" t="s">
        <v>1650</v>
      </c>
      <c r="D2046" t="s">
        <v>50</v>
      </c>
      <c r="E2046" s="8" t="s">
        <v>1256</v>
      </c>
      <c r="F2046">
        <v>0.24099999999999999</v>
      </c>
      <c r="G2046" t="s">
        <v>78</v>
      </c>
      <c r="H2046" t="e">
        <f>VLOOKUP(Tabla3[[#This Row],[DESCRIPCION MATERIAL]],'CODIGO MAT'!$C$2:$D$390,2,FALSE)</f>
        <v>#N/A</v>
      </c>
      <c r="I2046" s="64" t="s">
        <v>50</v>
      </c>
      <c r="J2046">
        <v>1</v>
      </c>
      <c r="K2046">
        <v>0</v>
      </c>
    </row>
    <row r="2047" spans="1:11" x14ac:dyDescent="0.25">
      <c r="A2047" t="s">
        <v>1651</v>
      </c>
      <c r="B2047" t="s">
        <v>555</v>
      </c>
      <c r="C2047" t="s">
        <v>1650</v>
      </c>
      <c r="D2047" t="s">
        <v>51</v>
      </c>
      <c r="E2047" s="8" t="s">
        <v>291</v>
      </c>
      <c r="F2047">
        <v>0.84</v>
      </c>
      <c r="G2047" t="s">
        <v>78</v>
      </c>
      <c r="H2047" t="str">
        <f>VLOOKUP(Tabla3[[#This Row],[DESCRIPCION MATERIAL]],'CODIGO MAT'!$C$2:$D$390,2,FALSE)</f>
        <v>AVI0000033</v>
      </c>
      <c r="J2047">
        <v>1</v>
      </c>
      <c r="K2047">
        <v>0</v>
      </c>
    </row>
    <row r="2048" spans="1:11" x14ac:dyDescent="0.25">
      <c r="A2048" t="s">
        <v>1651</v>
      </c>
      <c r="B2048" t="s">
        <v>555</v>
      </c>
      <c r="C2048" t="s">
        <v>1650</v>
      </c>
      <c r="D2048" t="s">
        <v>51</v>
      </c>
      <c r="E2048" s="8" t="s">
        <v>328</v>
      </c>
      <c r="F2048">
        <v>4.1559999999999997</v>
      </c>
      <c r="G2048" t="s">
        <v>78</v>
      </c>
      <c r="H2048" t="str">
        <f>VLOOKUP(Tabla3[[#This Row],[DESCRIPCION MATERIAL]],'CODIGO MAT'!$C$2:$D$390,2,FALSE)</f>
        <v>AVI0000066</v>
      </c>
      <c r="J2048">
        <v>1</v>
      </c>
      <c r="K2048">
        <v>0</v>
      </c>
    </row>
    <row r="2049" spans="1:11" x14ac:dyDescent="0.25">
      <c r="A2049" t="s">
        <v>1651</v>
      </c>
      <c r="B2049" t="s">
        <v>555</v>
      </c>
      <c r="C2049" t="s">
        <v>1650</v>
      </c>
      <c r="D2049" t="s">
        <v>51</v>
      </c>
      <c r="E2049" s="8" t="s">
        <v>378</v>
      </c>
      <c r="F2049">
        <v>1</v>
      </c>
      <c r="G2049" t="s">
        <v>396</v>
      </c>
      <c r="H2049" t="str">
        <f>VLOOKUP(Tabla3[[#This Row],[DESCRIPCION MATERIAL]],'CODIGO MAT'!$C$2:$D$390,2,FALSE)</f>
        <v>AVI0000115</v>
      </c>
      <c r="J2049">
        <v>1</v>
      </c>
      <c r="K2049">
        <v>0</v>
      </c>
    </row>
    <row r="2050" spans="1:11" x14ac:dyDescent="0.25">
      <c r="A2050" t="s">
        <v>1654</v>
      </c>
      <c r="B2050" t="s">
        <v>555</v>
      </c>
      <c r="C2050" t="s">
        <v>1653</v>
      </c>
      <c r="D2050" t="s">
        <v>50</v>
      </c>
      <c r="E2050" s="8" t="s">
        <v>1315</v>
      </c>
      <c r="F2050">
        <v>0.34</v>
      </c>
      <c r="G2050" t="s">
        <v>78</v>
      </c>
      <c r="H2050" t="e">
        <f>VLOOKUP(Tabla3[[#This Row],[DESCRIPCION MATERIAL]],'CODIGO MAT'!$C$2:$D$390,2,FALSE)</f>
        <v>#N/A</v>
      </c>
      <c r="I2050" s="64" t="s">
        <v>50</v>
      </c>
      <c r="J2050">
        <v>1</v>
      </c>
      <c r="K2050">
        <v>0</v>
      </c>
    </row>
    <row r="2051" spans="1:11" x14ac:dyDescent="0.25">
      <c r="A2051" t="s">
        <v>1654</v>
      </c>
      <c r="B2051" t="s">
        <v>555</v>
      </c>
      <c r="C2051" t="s">
        <v>1653</v>
      </c>
      <c r="D2051" t="s">
        <v>50</v>
      </c>
      <c r="E2051" s="8" t="s">
        <v>235</v>
      </c>
      <c r="F2051">
        <v>6.8000000000000005E-2</v>
      </c>
      <c r="G2051" t="s">
        <v>78</v>
      </c>
      <c r="H2051" t="str">
        <f>VLOOKUP(Tabla3[[#This Row],[DESCRIPCION MATERIAL]],'CODIGO MAT'!$C$2:$D$390,2,FALSE)</f>
        <v>TEL0000163</v>
      </c>
      <c r="J2051">
        <v>1</v>
      </c>
      <c r="K2051">
        <v>0</v>
      </c>
    </row>
    <row r="2052" spans="1:11" x14ac:dyDescent="0.25">
      <c r="A2052" t="s">
        <v>1654</v>
      </c>
      <c r="B2052" t="s">
        <v>555</v>
      </c>
      <c r="C2052" t="s">
        <v>1653</v>
      </c>
      <c r="D2052" t="s">
        <v>50</v>
      </c>
      <c r="E2052" s="8" t="s">
        <v>11</v>
      </c>
      <c r="F2052">
        <v>0.17</v>
      </c>
      <c r="G2052" t="s">
        <v>78</v>
      </c>
      <c r="H2052" t="str">
        <f>VLOOKUP(Tabla3[[#This Row],[DESCRIPCION MATERIAL]],'CODIGO MAT'!$C$2:$D$390,2,FALSE)</f>
        <v>TEL0000149</v>
      </c>
      <c r="J2052">
        <v>1</v>
      </c>
      <c r="K2052">
        <v>0</v>
      </c>
    </row>
    <row r="2053" spans="1:11" x14ac:dyDescent="0.25">
      <c r="A2053" t="s">
        <v>1654</v>
      </c>
      <c r="B2053" t="s">
        <v>555</v>
      </c>
      <c r="C2053" t="s">
        <v>1653</v>
      </c>
      <c r="D2053" t="s">
        <v>50</v>
      </c>
      <c r="E2053" s="8" t="s">
        <v>153</v>
      </c>
      <c r="F2053">
        <v>1.4E-2</v>
      </c>
      <c r="G2053" t="s">
        <v>78</v>
      </c>
      <c r="H2053" t="str">
        <f>VLOOKUP(Tabla3[[#This Row],[DESCRIPCION MATERIAL]],'CODIGO MAT'!$C$2:$D$390,2,FALSE)</f>
        <v>TEL0000080</v>
      </c>
      <c r="J2053">
        <v>1</v>
      </c>
      <c r="K2053">
        <v>0</v>
      </c>
    </row>
    <row r="2054" spans="1:11" x14ac:dyDescent="0.25">
      <c r="A2054" t="s">
        <v>1654</v>
      </c>
      <c r="B2054" t="s">
        <v>555</v>
      </c>
      <c r="C2054" t="s">
        <v>1653</v>
      </c>
      <c r="D2054" t="s">
        <v>51</v>
      </c>
      <c r="E2054" s="8" t="s">
        <v>34</v>
      </c>
      <c r="F2054">
        <v>0.55000000000000004</v>
      </c>
      <c r="G2054" t="s">
        <v>78</v>
      </c>
      <c r="H2054" t="str">
        <f>VLOOKUP(Tabla3[[#This Row],[DESCRIPCION MATERIAL]],'CODIGO MAT'!$C$2:$D$390,2,FALSE)</f>
        <v>AVI0000034</v>
      </c>
      <c r="J2054">
        <v>1</v>
      </c>
      <c r="K2054">
        <v>0</v>
      </c>
    </row>
    <row r="2055" spans="1:11" x14ac:dyDescent="0.25">
      <c r="A2055" t="s">
        <v>1654</v>
      </c>
      <c r="B2055" t="s">
        <v>555</v>
      </c>
      <c r="C2055" t="s">
        <v>1653</v>
      </c>
      <c r="D2055" t="s">
        <v>51</v>
      </c>
      <c r="E2055" s="8" t="s">
        <v>1652</v>
      </c>
      <c r="F2055">
        <v>8</v>
      </c>
      <c r="G2055" t="s">
        <v>396</v>
      </c>
      <c r="H2055" t="e">
        <f>VLOOKUP(Tabla3[[#This Row],[DESCRIPCION MATERIAL]],'CODIGO MAT'!$C$2:$D$390,2,FALSE)</f>
        <v>#N/A</v>
      </c>
      <c r="I2055" s="64" t="s">
        <v>51</v>
      </c>
      <c r="J2055">
        <v>1</v>
      </c>
      <c r="K2055">
        <v>0</v>
      </c>
    </row>
    <row r="2056" spans="1:11" x14ac:dyDescent="0.25">
      <c r="A2056" t="s">
        <v>1665</v>
      </c>
      <c r="B2056" t="s">
        <v>555</v>
      </c>
      <c r="C2056" t="s">
        <v>1657</v>
      </c>
      <c r="D2056" t="s">
        <v>50</v>
      </c>
      <c r="E2056" s="8" t="s">
        <v>1655</v>
      </c>
      <c r="F2056">
        <v>9.0999999999999998E-2</v>
      </c>
      <c r="G2056" t="s">
        <v>78</v>
      </c>
      <c r="H2056" t="e">
        <f>VLOOKUP(Tabla3[[#This Row],[DESCRIPCION MATERIAL]],'CODIGO MAT'!$C$2:$D$390,2,FALSE)</f>
        <v>#N/A</v>
      </c>
      <c r="I2056" s="64" t="s">
        <v>50</v>
      </c>
      <c r="J2056">
        <v>1</v>
      </c>
      <c r="K2056">
        <v>0</v>
      </c>
    </row>
    <row r="2057" spans="1:11" x14ac:dyDescent="0.25">
      <c r="A2057" t="s">
        <v>1665</v>
      </c>
      <c r="B2057" t="s">
        <v>555</v>
      </c>
      <c r="C2057" t="s">
        <v>1658</v>
      </c>
      <c r="D2057" t="s">
        <v>50</v>
      </c>
      <c r="E2057" s="8" t="s">
        <v>1656</v>
      </c>
      <c r="F2057">
        <v>0.27</v>
      </c>
      <c r="G2057" t="s">
        <v>78</v>
      </c>
      <c r="H2057" t="e">
        <f>VLOOKUP(Tabla3[[#This Row],[DESCRIPCION MATERIAL]],'CODIGO MAT'!$C$2:$D$390,2,FALSE)</f>
        <v>#N/A</v>
      </c>
      <c r="I2057" s="64" t="s">
        <v>50</v>
      </c>
      <c r="J2057">
        <v>1</v>
      </c>
      <c r="K2057">
        <v>0</v>
      </c>
    </row>
    <row r="2058" spans="1:11" x14ac:dyDescent="0.25">
      <c r="A2058" t="s">
        <v>1665</v>
      </c>
      <c r="B2058" t="s">
        <v>555</v>
      </c>
      <c r="C2058" t="s">
        <v>1659</v>
      </c>
      <c r="D2058" t="s">
        <v>50</v>
      </c>
      <c r="E2058" s="8" t="s">
        <v>1351</v>
      </c>
      <c r="F2058">
        <v>4.7E-2</v>
      </c>
      <c r="G2058" t="s">
        <v>78</v>
      </c>
      <c r="H2058" t="e">
        <f>VLOOKUP(Tabla3[[#This Row],[DESCRIPCION MATERIAL]],'CODIGO MAT'!$C$2:$D$390,2,FALSE)</f>
        <v>#N/A</v>
      </c>
      <c r="I2058" s="64" t="s">
        <v>50</v>
      </c>
      <c r="J2058">
        <v>1</v>
      </c>
      <c r="K2058">
        <v>0</v>
      </c>
    </row>
    <row r="2059" spans="1:11" x14ac:dyDescent="0.25">
      <c r="A2059" t="s">
        <v>1665</v>
      </c>
      <c r="B2059" t="s">
        <v>555</v>
      </c>
      <c r="C2059" t="s">
        <v>1660</v>
      </c>
      <c r="D2059" t="s">
        <v>50</v>
      </c>
      <c r="E2059" s="8" t="s">
        <v>1218</v>
      </c>
      <c r="F2059">
        <v>0.40600000000000003</v>
      </c>
      <c r="G2059" t="s">
        <v>78</v>
      </c>
      <c r="H2059" t="e">
        <f>VLOOKUP(Tabla3[[#This Row],[DESCRIPCION MATERIAL]],'CODIGO MAT'!$C$2:$D$390,2,FALSE)</f>
        <v>#N/A</v>
      </c>
      <c r="I2059" s="64" t="s">
        <v>50</v>
      </c>
      <c r="J2059">
        <v>1</v>
      </c>
      <c r="K2059">
        <v>0</v>
      </c>
    </row>
    <row r="2060" spans="1:11" x14ac:dyDescent="0.25">
      <c r="A2060" t="s">
        <v>1665</v>
      </c>
      <c r="B2060" t="s">
        <v>555</v>
      </c>
      <c r="C2060" t="s">
        <v>1661</v>
      </c>
      <c r="D2060" t="s">
        <v>50</v>
      </c>
      <c r="E2060" s="8" t="s">
        <v>1204</v>
      </c>
      <c r="F2060">
        <v>0.40600000000000003</v>
      </c>
      <c r="G2060" t="s">
        <v>78</v>
      </c>
      <c r="H2060" t="e">
        <f>VLOOKUP(Tabla3[[#This Row],[DESCRIPCION MATERIAL]],'CODIGO MAT'!$C$2:$D$390,2,FALSE)</f>
        <v>#N/A</v>
      </c>
      <c r="I2060" s="64" t="s">
        <v>50</v>
      </c>
      <c r="J2060">
        <v>1</v>
      </c>
      <c r="K2060">
        <v>0</v>
      </c>
    </row>
    <row r="2061" spans="1:11" x14ac:dyDescent="0.25">
      <c r="A2061" t="s">
        <v>1665</v>
      </c>
      <c r="B2061" t="s">
        <v>555</v>
      </c>
      <c r="C2061" t="s">
        <v>1662</v>
      </c>
      <c r="D2061" t="s">
        <v>50</v>
      </c>
      <c r="E2061" s="8" t="s">
        <v>1232</v>
      </c>
      <c r="F2061">
        <v>0.40600000000000003</v>
      </c>
      <c r="G2061" t="s">
        <v>78</v>
      </c>
      <c r="H2061" t="e">
        <f>VLOOKUP(Tabla3[[#This Row],[DESCRIPCION MATERIAL]],'CODIGO MAT'!$C$2:$D$390,2,FALSE)</f>
        <v>#N/A</v>
      </c>
      <c r="I2061" s="64" t="s">
        <v>50</v>
      </c>
      <c r="J2061">
        <v>1</v>
      </c>
      <c r="K2061">
        <v>0</v>
      </c>
    </row>
    <row r="2062" spans="1:11" x14ac:dyDescent="0.25">
      <c r="A2062" t="s">
        <v>1665</v>
      </c>
      <c r="B2062" t="s">
        <v>555</v>
      </c>
      <c r="C2062" t="s">
        <v>1663</v>
      </c>
      <c r="D2062" t="s">
        <v>51</v>
      </c>
      <c r="E2062" s="8" t="s">
        <v>325</v>
      </c>
      <c r="F2062">
        <v>6.234</v>
      </c>
      <c r="G2062" t="s">
        <v>78</v>
      </c>
      <c r="H2062" t="str">
        <f>VLOOKUP(Tabla3[[#This Row],[DESCRIPCION MATERIAL]],'CODIGO MAT'!$C$2:$D$390,2,FALSE)</f>
        <v>AVI0000063</v>
      </c>
      <c r="J2062">
        <v>1</v>
      </c>
      <c r="K2062">
        <v>0</v>
      </c>
    </row>
    <row r="2063" spans="1:11" x14ac:dyDescent="0.25">
      <c r="A2063" t="s">
        <v>1665</v>
      </c>
      <c r="B2063" t="s">
        <v>555</v>
      </c>
      <c r="C2063" t="s">
        <v>1664</v>
      </c>
      <c r="D2063" t="s">
        <v>51</v>
      </c>
      <c r="E2063" s="8" t="s">
        <v>379</v>
      </c>
      <c r="F2063">
        <v>1</v>
      </c>
      <c r="G2063" t="s">
        <v>396</v>
      </c>
      <c r="H2063" t="str">
        <f>VLOOKUP(Tabla3[[#This Row],[DESCRIPCION MATERIAL]],'CODIGO MAT'!$C$2:$D$390,2,FALSE)</f>
        <v>AVI0000116</v>
      </c>
      <c r="J2063">
        <v>1</v>
      </c>
      <c r="K2063">
        <v>0</v>
      </c>
    </row>
    <row r="2064" spans="1:11" x14ac:dyDescent="0.25">
      <c r="A2064" t="s">
        <v>1668</v>
      </c>
      <c r="B2064" t="s">
        <v>555</v>
      </c>
      <c r="C2064" t="s">
        <v>1667</v>
      </c>
      <c r="D2064" t="s">
        <v>50</v>
      </c>
      <c r="E2064" s="8" t="s">
        <v>1244</v>
      </c>
      <c r="F2064">
        <v>0.20799999999999999</v>
      </c>
      <c r="G2064" t="s">
        <v>78</v>
      </c>
      <c r="H2064" t="e">
        <f>VLOOKUP(Tabla3[[#This Row],[DESCRIPCION MATERIAL]],'CODIGO MAT'!$C$2:$D$390,2,FALSE)</f>
        <v>#N/A</v>
      </c>
      <c r="I2064" s="64" t="s">
        <v>50</v>
      </c>
      <c r="J2064">
        <v>1</v>
      </c>
      <c r="K2064">
        <v>0</v>
      </c>
    </row>
    <row r="2065" spans="1:11" x14ac:dyDescent="0.25">
      <c r="A2065" t="s">
        <v>1668</v>
      </c>
      <c r="B2065" t="s">
        <v>555</v>
      </c>
      <c r="C2065" t="s">
        <v>1667</v>
      </c>
      <c r="D2065" t="s">
        <v>50</v>
      </c>
      <c r="E2065" s="8" t="s">
        <v>1666</v>
      </c>
      <c r="F2065">
        <v>0.18</v>
      </c>
      <c r="G2065" t="s">
        <v>78</v>
      </c>
      <c r="H2065" t="e">
        <f>VLOOKUP(Tabla3[[#This Row],[DESCRIPCION MATERIAL]],'CODIGO MAT'!$C$2:$D$390,2,FALSE)</f>
        <v>#N/A</v>
      </c>
      <c r="I2065" s="64" t="s">
        <v>50</v>
      </c>
      <c r="J2065">
        <v>1</v>
      </c>
      <c r="K2065">
        <v>0</v>
      </c>
    </row>
    <row r="2066" spans="1:11" x14ac:dyDescent="0.25">
      <c r="A2066" t="s">
        <v>1668</v>
      </c>
      <c r="B2066" t="s">
        <v>555</v>
      </c>
      <c r="C2066" t="s">
        <v>1667</v>
      </c>
      <c r="D2066" t="s">
        <v>50</v>
      </c>
      <c r="E2066" s="8" t="s">
        <v>1351</v>
      </c>
      <c r="F2066">
        <v>4.7E-2</v>
      </c>
      <c r="G2066" t="s">
        <v>78</v>
      </c>
      <c r="H2066" t="e">
        <f>VLOOKUP(Tabla3[[#This Row],[DESCRIPCION MATERIAL]],'CODIGO MAT'!$C$2:$D$390,2,FALSE)</f>
        <v>#N/A</v>
      </c>
      <c r="I2066" s="64" t="s">
        <v>50</v>
      </c>
      <c r="J2066">
        <v>1</v>
      </c>
      <c r="K2066">
        <v>0</v>
      </c>
    </row>
    <row r="2067" spans="1:11" x14ac:dyDescent="0.25">
      <c r="A2067" t="s">
        <v>1668</v>
      </c>
      <c r="B2067" t="s">
        <v>555</v>
      </c>
      <c r="C2067" t="s">
        <v>1667</v>
      </c>
      <c r="D2067" t="s">
        <v>50</v>
      </c>
      <c r="E2067" s="8" t="s">
        <v>1207</v>
      </c>
      <c r="F2067">
        <v>0.40600000000000003</v>
      </c>
      <c r="G2067" t="s">
        <v>78</v>
      </c>
      <c r="H2067" t="e">
        <f>VLOOKUP(Tabla3[[#This Row],[DESCRIPCION MATERIAL]],'CODIGO MAT'!$C$2:$D$390,2,FALSE)</f>
        <v>#N/A</v>
      </c>
      <c r="I2067" s="64" t="s">
        <v>50</v>
      </c>
      <c r="J2067">
        <v>1</v>
      </c>
      <c r="K2067">
        <v>0</v>
      </c>
    </row>
    <row r="2068" spans="1:11" x14ac:dyDescent="0.25">
      <c r="A2068" t="s">
        <v>1668</v>
      </c>
      <c r="B2068" t="s">
        <v>555</v>
      </c>
      <c r="C2068" t="s">
        <v>1667</v>
      </c>
      <c r="D2068" t="s">
        <v>50</v>
      </c>
      <c r="E2068" s="8" t="s">
        <v>1221</v>
      </c>
      <c r="F2068">
        <v>0.40600000000000003</v>
      </c>
      <c r="G2068" t="s">
        <v>78</v>
      </c>
      <c r="H2068" t="e">
        <f>VLOOKUP(Tabla3[[#This Row],[DESCRIPCION MATERIAL]],'CODIGO MAT'!$C$2:$D$390,2,FALSE)</f>
        <v>#N/A</v>
      </c>
      <c r="I2068" s="64" t="s">
        <v>50</v>
      </c>
      <c r="J2068">
        <v>1</v>
      </c>
      <c r="K2068">
        <v>0</v>
      </c>
    </row>
    <row r="2069" spans="1:11" x14ac:dyDescent="0.25">
      <c r="A2069" t="s">
        <v>1668</v>
      </c>
      <c r="B2069" t="s">
        <v>555</v>
      </c>
      <c r="C2069" t="s">
        <v>1667</v>
      </c>
      <c r="D2069" t="s">
        <v>50</v>
      </c>
      <c r="E2069" s="8" t="s">
        <v>1237</v>
      </c>
      <c r="F2069">
        <v>0.40600000000000003</v>
      </c>
      <c r="G2069" t="s">
        <v>78</v>
      </c>
      <c r="H2069" t="e">
        <f>VLOOKUP(Tabla3[[#This Row],[DESCRIPCION MATERIAL]],'CODIGO MAT'!$C$2:$D$390,2,FALSE)</f>
        <v>#N/A</v>
      </c>
      <c r="I2069" s="64" t="s">
        <v>50</v>
      </c>
      <c r="J2069">
        <v>1</v>
      </c>
      <c r="K2069">
        <v>0</v>
      </c>
    </row>
    <row r="2070" spans="1:11" x14ac:dyDescent="0.25">
      <c r="A2070" t="s">
        <v>1668</v>
      </c>
      <c r="B2070" t="s">
        <v>555</v>
      </c>
      <c r="C2070" t="s">
        <v>1667</v>
      </c>
      <c r="D2070" t="s">
        <v>51</v>
      </c>
      <c r="E2070" s="8" t="s">
        <v>325</v>
      </c>
      <c r="F2070">
        <v>6.234</v>
      </c>
      <c r="G2070" t="s">
        <v>78</v>
      </c>
      <c r="H2070" t="str">
        <f>VLOOKUP(Tabla3[[#This Row],[DESCRIPCION MATERIAL]],'CODIGO MAT'!$C$2:$D$390,2,FALSE)</f>
        <v>AVI0000063</v>
      </c>
      <c r="J2070">
        <v>1</v>
      </c>
      <c r="K2070">
        <v>0</v>
      </c>
    </row>
    <row r="2071" spans="1:11" x14ac:dyDescent="0.25">
      <c r="A2071" t="s">
        <v>1668</v>
      </c>
      <c r="B2071" t="s">
        <v>555</v>
      </c>
      <c r="C2071" t="s">
        <v>1667</v>
      </c>
      <c r="D2071" t="s">
        <v>51</v>
      </c>
      <c r="E2071" s="8" t="s">
        <v>379</v>
      </c>
      <c r="F2071">
        <v>1</v>
      </c>
      <c r="G2071" t="s">
        <v>396</v>
      </c>
      <c r="H2071" t="str">
        <f>VLOOKUP(Tabla3[[#This Row],[DESCRIPCION MATERIAL]],'CODIGO MAT'!$C$2:$D$390,2,FALSE)</f>
        <v>AVI0000116</v>
      </c>
      <c r="J2071">
        <v>1</v>
      </c>
      <c r="K2071">
        <v>0</v>
      </c>
    </row>
    <row r="2072" spans="1:11" x14ac:dyDescent="0.25">
      <c r="A2072" t="s">
        <v>1670</v>
      </c>
      <c r="B2072" t="s">
        <v>510</v>
      </c>
      <c r="C2072" t="s">
        <v>1669</v>
      </c>
      <c r="D2072" t="s">
        <v>50</v>
      </c>
      <c r="E2072" s="8" t="s">
        <v>252</v>
      </c>
      <c r="F2072">
        <v>0.58899999999999997</v>
      </c>
      <c r="G2072" t="s">
        <v>78</v>
      </c>
      <c r="H2072" t="str">
        <f>VLOOKUP(Tabla3[[#This Row],[DESCRIPCION MATERIAL]],'CODIGO MAT'!$C$2:$D$390,2,FALSE)</f>
        <v>TEL0000180</v>
      </c>
      <c r="J2072">
        <v>1</v>
      </c>
      <c r="K2072">
        <v>0</v>
      </c>
    </row>
    <row r="2073" spans="1:11" x14ac:dyDescent="0.25">
      <c r="A2073" t="s">
        <v>1670</v>
      </c>
      <c r="B2073" t="s">
        <v>510</v>
      </c>
      <c r="C2073" t="s">
        <v>1669</v>
      </c>
      <c r="D2073" t="s">
        <v>50</v>
      </c>
      <c r="E2073" s="8" t="s">
        <v>112</v>
      </c>
      <c r="F2073">
        <v>8.3000000000000004E-2</v>
      </c>
      <c r="G2073" t="s">
        <v>78</v>
      </c>
      <c r="H2073" t="str">
        <f>VLOOKUP(Tabla3[[#This Row],[DESCRIPCION MATERIAL]],'CODIGO MAT'!$C$2:$D$390,2,FALSE)</f>
        <v>TEL0000035</v>
      </c>
      <c r="J2073">
        <v>1</v>
      </c>
      <c r="K2073">
        <v>0</v>
      </c>
    </row>
    <row r="2074" spans="1:11" x14ac:dyDescent="0.25">
      <c r="A2074" t="s">
        <v>1670</v>
      </c>
      <c r="B2074" t="s">
        <v>510</v>
      </c>
      <c r="C2074" t="s">
        <v>1669</v>
      </c>
      <c r="D2074" t="s">
        <v>50</v>
      </c>
      <c r="E2074" s="8" t="s">
        <v>89</v>
      </c>
      <c r="F2074">
        <v>5.1999999999999998E-2</v>
      </c>
      <c r="G2074" t="s">
        <v>78</v>
      </c>
      <c r="H2074" t="str">
        <f>VLOOKUP(Tabla3[[#This Row],[DESCRIPCION MATERIAL]],'CODIGO MAT'!$C$2:$D$390,2,FALSE)</f>
        <v>TEL0000012</v>
      </c>
      <c r="J2074">
        <v>1</v>
      </c>
      <c r="K2074">
        <v>0</v>
      </c>
    </row>
    <row r="2075" spans="1:11" x14ac:dyDescent="0.25">
      <c r="A2075" t="s">
        <v>1670</v>
      </c>
      <c r="B2075" t="s">
        <v>510</v>
      </c>
      <c r="C2075" t="s">
        <v>1669</v>
      </c>
      <c r="D2075" t="s">
        <v>50</v>
      </c>
      <c r="E2075" s="8" t="s">
        <v>1486</v>
      </c>
      <c r="F2075">
        <v>0.56699999999999995</v>
      </c>
      <c r="G2075" t="s">
        <v>78</v>
      </c>
      <c r="H2075" t="e">
        <f>VLOOKUP(Tabla3[[#This Row],[DESCRIPCION MATERIAL]],'CODIGO MAT'!$C$2:$D$390,2,FALSE)</f>
        <v>#N/A</v>
      </c>
      <c r="I2075" s="64" t="s">
        <v>50</v>
      </c>
      <c r="J2075">
        <v>1</v>
      </c>
      <c r="K2075">
        <v>0</v>
      </c>
    </row>
    <row r="2076" spans="1:11" x14ac:dyDescent="0.25">
      <c r="A2076" t="s">
        <v>1670</v>
      </c>
      <c r="B2076" t="s">
        <v>510</v>
      </c>
      <c r="C2076" t="s">
        <v>1669</v>
      </c>
      <c r="D2076" t="s">
        <v>50</v>
      </c>
      <c r="E2076" s="8" t="s">
        <v>236</v>
      </c>
      <c r="F2076">
        <v>4.8000000000000001E-2</v>
      </c>
      <c r="G2076" t="s">
        <v>78</v>
      </c>
      <c r="H2076" t="str">
        <f>VLOOKUP(Tabla3[[#This Row],[DESCRIPCION MATERIAL]],'CODIGO MAT'!$C$2:$D$390,2,FALSE)</f>
        <v>TEL0000164</v>
      </c>
      <c r="J2076">
        <v>1</v>
      </c>
      <c r="K2076">
        <v>0</v>
      </c>
    </row>
    <row r="2077" spans="1:11" x14ac:dyDescent="0.25">
      <c r="A2077" t="s">
        <v>1670</v>
      </c>
      <c r="B2077" t="s">
        <v>510</v>
      </c>
      <c r="C2077" t="s">
        <v>1669</v>
      </c>
      <c r="D2077" t="s">
        <v>51</v>
      </c>
      <c r="E2077" s="8" t="s">
        <v>388</v>
      </c>
      <c r="F2077">
        <v>2</v>
      </c>
      <c r="G2077" t="s">
        <v>396</v>
      </c>
      <c r="H2077" t="str">
        <f>VLOOKUP(Tabla3[[#This Row],[DESCRIPCION MATERIAL]],'CODIGO MAT'!$C$2:$D$390,2,FALSE)</f>
        <v>AVI0000123</v>
      </c>
      <c r="J2077">
        <v>1</v>
      </c>
      <c r="K2077">
        <v>0</v>
      </c>
    </row>
    <row r="2078" spans="1:11" x14ac:dyDescent="0.25">
      <c r="A2078" t="s">
        <v>1670</v>
      </c>
      <c r="B2078" t="s">
        <v>510</v>
      </c>
      <c r="C2078" t="s">
        <v>1669</v>
      </c>
      <c r="D2078" t="s">
        <v>51</v>
      </c>
      <c r="E2078" s="8" t="s">
        <v>282</v>
      </c>
      <c r="F2078">
        <v>0</v>
      </c>
      <c r="G2078" t="s">
        <v>78</v>
      </c>
      <c r="H2078" t="str">
        <f>VLOOKUP(Tabla3[[#This Row],[DESCRIPCION MATERIAL]],'CODIGO MAT'!$C$2:$D$390,2,FALSE)</f>
        <v>AVI0000025</v>
      </c>
      <c r="J2078">
        <v>1</v>
      </c>
      <c r="K2078">
        <v>0</v>
      </c>
    </row>
    <row r="2079" spans="1:11" x14ac:dyDescent="0.25">
      <c r="A2079" t="s">
        <v>1670</v>
      </c>
      <c r="B2079" t="s">
        <v>510</v>
      </c>
      <c r="C2079" t="s">
        <v>1669</v>
      </c>
      <c r="D2079" t="s">
        <v>51</v>
      </c>
      <c r="E2079" s="8" t="s">
        <v>69</v>
      </c>
      <c r="F2079">
        <v>0</v>
      </c>
      <c r="G2079" t="s">
        <v>78</v>
      </c>
      <c r="H2079" t="str">
        <f>VLOOKUP(Tabla3[[#This Row],[DESCRIPCION MATERIAL]],'CODIGO MAT'!$C$2:$D$390,2,FALSE)</f>
        <v>AVI0000147</v>
      </c>
      <c r="J2079">
        <v>1</v>
      </c>
      <c r="K2079">
        <v>0</v>
      </c>
    </row>
    <row r="2080" spans="1:11" x14ac:dyDescent="0.25">
      <c r="A2080" t="s">
        <v>1673</v>
      </c>
      <c r="B2080" t="s">
        <v>510</v>
      </c>
      <c r="C2080" t="s">
        <v>1672</v>
      </c>
      <c r="D2080" t="s">
        <v>50</v>
      </c>
      <c r="E2080" s="8" t="s">
        <v>92</v>
      </c>
      <c r="F2080">
        <v>0.498</v>
      </c>
      <c r="G2080" t="s">
        <v>78</v>
      </c>
      <c r="H2080" t="str">
        <f>VLOOKUP(Tabla3[[#This Row],[DESCRIPCION MATERIAL]],'CODIGO MAT'!$C$2:$D$390,2,FALSE)</f>
        <v>TEL0000015</v>
      </c>
      <c r="J2080">
        <v>1</v>
      </c>
      <c r="K2080">
        <v>0</v>
      </c>
    </row>
    <row r="2081" spans="1:11" x14ac:dyDescent="0.25">
      <c r="A2081" t="s">
        <v>1673</v>
      </c>
      <c r="B2081" t="s">
        <v>510</v>
      </c>
      <c r="C2081" t="s">
        <v>1672</v>
      </c>
      <c r="D2081" t="s">
        <v>50</v>
      </c>
      <c r="E2081" s="8" t="s">
        <v>1231</v>
      </c>
      <c r="F2081">
        <v>0.71899999999999997</v>
      </c>
      <c r="G2081" t="s">
        <v>78</v>
      </c>
      <c r="H2081" t="e">
        <f>VLOOKUP(Tabla3[[#This Row],[DESCRIPCION MATERIAL]],'CODIGO MAT'!$C$2:$D$390,2,FALSE)</f>
        <v>#N/A</v>
      </c>
      <c r="I2081" s="64" t="s">
        <v>50</v>
      </c>
      <c r="J2081">
        <v>1</v>
      </c>
      <c r="K2081">
        <v>0</v>
      </c>
    </row>
    <row r="2082" spans="1:11" x14ac:dyDescent="0.25">
      <c r="A2082" t="s">
        <v>1673</v>
      </c>
      <c r="B2082" t="s">
        <v>510</v>
      </c>
      <c r="C2082" t="s">
        <v>1672</v>
      </c>
      <c r="D2082" t="s">
        <v>50</v>
      </c>
      <c r="E2082" s="8" t="s">
        <v>226</v>
      </c>
      <c r="F2082">
        <v>8.7999999999999995E-2</v>
      </c>
      <c r="G2082" t="s">
        <v>78</v>
      </c>
      <c r="H2082" t="str">
        <f>VLOOKUP(Tabla3[[#This Row],[DESCRIPCION MATERIAL]],'CODIGO MAT'!$C$2:$D$390,2,FALSE)</f>
        <v>TEL0000154</v>
      </c>
      <c r="J2082">
        <v>1</v>
      </c>
      <c r="K2082">
        <v>0</v>
      </c>
    </row>
    <row r="2083" spans="1:11" x14ac:dyDescent="0.25">
      <c r="A2083" t="s">
        <v>1673</v>
      </c>
      <c r="B2083" t="s">
        <v>510</v>
      </c>
      <c r="C2083" t="s">
        <v>1672</v>
      </c>
      <c r="D2083" t="s">
        <v>50</v>
      </c>
      <c r="E2083" s="8" t="s">
        <v>1286</v>
      </c>
      <c r="F2083">
        <v>0.55100000000000005</v>
      </c>
      <c r="G2083" t="s">
        <v>78</v>
      </c>
      <c r="H2083" t="e">
        <f>VLOOKUP(Tabla3[[#This Row],[DESCRIPCION MATERIAL]],'CODIGO MAT'!$C$2:$D$390,2,FALSE)</f>
        <v>#N/A</v>
      </c>
      <c r="I2083" s="64" t="s">
        <v>50</v>
      </c>
      <c r="J2083">
        <v>1</v>
      </c>
      <c r="K2083">
        <v>0</v>
      </c>
    </row>
    <row r="2084" spans="1:11" x14ac:dyDescent="0.25">
      <c r="A2084" t="s">
        <v>1673</v>
      </c>
      <c r="B2084" t="s">
        <v>510</v>
      </c>
      <c r="C2084" t="s">
        <v>1672</v>
      </c>
      <c r="D2084" t="s">
        <v>50</v>
      </c>
      <c r="E2084" s="8" t="s">
        <v>1256</v>
      </c>
      <c r="F2084">
        <v>0.28100000000000003</v>
      </c>
      <c r="G2084" t="s">
        <v>78</v>
      </c>
      <c r="H2084" t="e">
        <f>VLOOKUP(Tabla3[[#This Row],[DESCRIPCION MATERIAL]],'CODIGO MAT'!$C$2:$D$390,2,FALSE)</f>
        <v>#N/A</v>
      </c>
      <c r="I2084" s="64" t="s">
        <v>50</v>
      </c>
      <c r="J2084">
        <v>1</v>
      </c>
      <c r="K2084">
        <v>0</v>
      </c>
    </row>
    <row r="2085" spans="1:11" x14ac:dyDescent="0.25">
      <c r="A2085" t="s">
        <v>1673</v>
      </c>
      <c r="B2085" t="s">
        <v>510</v>
      </c>
      <c r="C2085" t="s">
        <v>1672</v>
      </c>
      <c r="D2085" t="s">
        <v>51</v>
      </c>
      <c r="E2085" s="8" t="s">
        <v>1671</v>
      </c>
      <c r="F2085">
        <v>1</v>
      </c>
      <c r="G2085" t="s">
        <v>396</v>
      </c>
      <c r="H2085" t="e">
        <f>VLOOKUP(Tabla3[[#This Row],[DESCRIPCION MATERIAL]],'CODIGO MAT'!$C$2:$D$390,2,FALSE)</f>
        <v>#N/A</v>
      </c>
      <c r="I2085" s="64" t="s">
        <v>51</v>
      </c>
      <c r="J2085">
        <v>1</v>
      </c>
      <c r="K2085">
        <v>0</v>
      </c>
    </row>
    <row r="2086" spans="1:11" x14ac:dyDescent="0.25">
      <c r="A2086" t="s">
        <v>1673</v>
      </c>
      <c r="B2086" t="s">
        <v>510</v>
      </c>
      <c r="C2086" t="s">
        <v>1672</v>
      </c>
      <c r="D2086" t="s">
        <v>51</v>
      </c>
      <c r="E2086" s="8" t="s">
        <v>378</v>
      </c>
      <c r="F2086">
        <v>1</v>
      </c>
      <c r="G2086" t="s">
        <v>396</v>
      </c>
      <c r="H2086" t="str">
        <f>VLOOKUP(Tabla3[[#This Row],[DESCRIPCION MATERIAL]],'CODIGO MAT'!$C$2:$D$390,2,FALSE)</f>
        <v>AVI0000115</v>
      </c>
      <c r="J2086">
        <v>1</v>
      </c>
      <c r="K2086">
        <v>0</v>
      </c>
    </row>
    <row r="2087" spans="1:11" x14ac:dyDescent="0.25">
      <c r="A2087" t="s">
        <v>1673</v>
      </c>
      <c r="B2087" t="s">
        <v>510</v>
      </c>
      <c r="C2087" t="s">
        <v>1672</v>
      </c>
      <c r="D2087" t="s">
        <v>51</v>
      </c>
      <c r="E2087" s="8" t="s">
        <v>431</v>
      </c>
      <c r="F2087">
        <v>1.08</v>
      </c>
      <c r="G2087" t="s">
        <v>78</v>
      </c>
      <c r="H2087" t="str">
        <f>VLOOKUP(Tabla3[[#This Row],[DESCRIPCION MATERIAL]],'CODIGO MAT'!$C$2:$D$390,2,FALSE)</f>
        <v>AVI0000143</v>
      </c>
      <c r="J2087">
        <v>1</v>
      </c>
      <c r="K2087">
        <v>0</v>
      </c>
    </row>
    <row r="2088" spans="1:11" x14ac:dyDescent="0.25">
      <c r="A2088" t="s">
        <v>1676</v>
      </c>
      <c r="B2088" t="s">
        <v>510</v>
      </c>
      <c r="C2088" t="s">
        <v>1675</v>
      </c>
      <c r="D2088" t="s">
        <v>50</v>
      </c>
      <c r="E2088" s="8" t="s">
        <v>1674</v>
      </c>
      <c r="F2088">
        <v>0.49199999999999999</v>
      </c>
      <c r="G2088" t="s">
        <v>78</v>
      </c>
      <c r="H2088" t="e">
        <f>VLOOKUP(Tabla3[[#This Row],[DESCRIPCION MATERIAL]],'CODIGO MAT'!$C$2:$D$390,2,FALSE)</f>
        <v>#N/A</v>
      </c>
      <c r="I2088" s="64" t="s">
        <v>50</v>
      </c>
      <c r="J2088">
        <v>1</v>
      </c>
      <c r="K2088">
        <v>0</v>
      </c>
    </row>
    <row r="2089" spans="1:11" x14ac:dyDescent="0.25">
      <c r="A2089" t="s">
        <v>1676</v>
      </c>
      <c r="B2089" t="s">
        <v>510</v>
      </c>
      <c r="C2089" t="s">
        <v>1675</v>
      </c>
      <c r="D2089" t="s">
        <v>50</v>
      </c>
      <c r="E2089" s="8" t="s">
        <v>1490</v>
      </c>
      <c r="F2089">
        <v>0.45500000000000002</v>
      </c>
      <c r="G2089" t="s">
        <v>78</v>
      </c>
      <c r="H2089" t="e">
        <f>VLOOKUP(Tabla3[[#This Row],[DESCRIPCION MATERIAL]],'CODIGO MAT'!$C$2:$D$390,2,FALSE)</f>
        <v>#N/A</v>
      </c>
      <c r="I2089" s="64" t="s">
        <v>50</v>
      </c>
      <c r="J2089">
        <v>1</v>
      </c>
      <c r="K2089">
        <v>0</v>
      </c>
    </row>
    <row r="2090" spans="1:11" x14ac:dyDescent="0.25">
      <c r="A2090" t="s">
        <v>1676</v>
      </c>
      <c r="B2090" t="s">
        <v>510</v>
      </c>
      <c r="C2090" t="s">
        <v>1675</v>
      </c>
      <c r="D2090" t="s">
        <v>50</v>
      </c>
      <c r="E2090" s="8" t="s">
        <v>1244</v>
      </c>
      <c r="F2090">
        <v>0.41</v>
      </c>
      <c r="G2090" t="s">
        <v>78</v>
      </c>
      <c r="H2090" t="e">
        <f>VLOOKUP(Tabla3[[#This Row],[DESCRIPCION MATERIAL]],'CODIGO MAT'!$C$2:$D$390,2,FALSE)</f>
        <v>#N/A</v>
      </c>
      <c r="I2090" s="64" t="s">
        <v>50</v>
      </c>
      <c r="J2090">
        <v>1</v>
      </c>
      <c r="K2090">
        <v>0</v>
      </c>
    </row>
    <row r="2091" spans="1:11" x14ac:dyDescent="0.25">
      <c r="A2091" t="s">
        <v>1676</v>
      </c>
      <c r="B2091" t="s">
        <v>510</v>
      </c>
      <c r="C2091" t="s">
        <v>1675</v>
      </c>
      <c r="D2091" t="s">
        <v>50</v>
      </c>
      <c r="E2091" s="8" t="s">
        <v>1232</v>
      </c>
      <c r="F2091">
        <v>0.32600000000000001</v>
      </c>
      <c r="G2091" t="s">
        <v>78</v>
      </c>
      <c r="H2091" t="e">
        <f>VLOOKUP(Tabla3[[#This Row],[DESCRIPCION MATERIAL]],'CODIGO MAT'!$C$2:$D$390,2,FALSE)</f>
        <v>#N/A</v>
      </c>
      <c r="I2091" s="64" t="s">
        <v>50</v>
      </c>
      <c r="J2091">
        <v>1</v>
      </c>
      <c r="K2091">
        <v>0</v>
      </c>
    </row>
    <row r="2092" spans="1:11" x14ac:dyDescent="0.25">
      <c r="A2092" t="s">
        <v>1676</v>
      </c>
      <c r="B2092" t="s">
        <v>510</v>
      </c>
      <c r="C2092" t="s">
        <v>1675</v>
      </c>
      <c r="D2092" t="s">
        <v>50</v>
      </c>
      <c r="E2092" s="8" t="s">
        <v>11</v>
      </c>
      <c r="F2092">
        <v>4.2000000000000003E-2</v>
      </c>
      <c r="G2092" t="s">
        <v>78</v>
      </c>
      <c r="H2092" t="str">
        <f>VLOOKUP(Tabla3[[#This Row],[DESCRIPCION MATERIAL]],'CODIGO MAT'!$C$2:$D$390,2,FALSE)</f>
        <v>TEL0000149</v>
      </c>
      <c r="J2092">
        <v>1</v>
      </c>
      <c r="K2092">
        <v>0</v>
      </c>
    </row>
    <row r="2093" spans="1:11" x14ac:dyDescent="0.25">
      <c r="A2093" t="s">
        <v>1676</v>
      </c>
      <c r="B2093" t="s">
        <v>510</v>
      </c>
      <c r="C2093" t="s">
        <v>1675</v>
      </c>
      <c r="D2093" t="s">
        <v>51</v>
      </c>
      <c r="E2093" s="8" t="s">
        <v>372</v>
      </c>
      <c r="F2093">
        <v>1</v>
      </c>
      <c r="G2093" t="s">
        <v>396</v>
      </c>
      <c r="H2093" t="str">
        <f>VLOOKUP(Tabla3[[#This Row],[DESCRIPCION MATERIAL]],'CODIGO MAT'!$C$2:$D$390,2,FALSE)</f>
        <v>AVI0000109</v>
      </c>
      <c r="J2093">
        <v>1</v>
      </c>
      <c r="K2093">
        <v>0</v>
      </c>
    </row>
    <row r="2094" spans="1:11" x14ac:dyDescent="0.25">
      <c r="A2094" t="s">
        <v>1676</v>
      </c>
      <c r="B2094" t="s">
        <v>510</v>
      </c>
      <c r="C2094" t="s">
        <v>1675</v>
      </c>
      <c r="D2094" t="s">
        <v>51</v>
      </c>
      <c r="E2094" s="8" t="s">
        <v>1272</v>
      </c>
      <c r="F2094">
        <v>0.4</v>
      </c>
      <c r="G2094" t="s">
        <v>78</v>
      </c>
      <c r="H2094" t="e">
        <f>VLOOKUP(Tabla3[[#This Row],[DESCRIPCION MATERIAL]],'CODIGO MAT'!$C$2:$D$390,2,FALSE)</f>
        <v>#N/A</v>
      </c>
      <c r="I2094" s="64" t="s">
        <v>51</v>
      </c>
      <c r="J2094">
        <v>1</v>
      </c>
      <c r="K2094">
        <v>0</v>
      </c>
    </row>
    <row r="2095" spans="1:11" x14ac:dyDescent="0.25">
      <c r="A2095" t="s">
        <v>1679</v>
      </c>
      <c r="B2095" t="s">
        <v>510</v>
      </c>
      <c r="C2095" t="s">
        <v>1678</v>
      </c>
      <c r="D2095" t="s">
        <v>50</v>
      </c>
      <c r="E2095" s="8" t="s">
        <v>1355</v>
      </c>
      <c r="F2095">
        <v>0.55000000000000004</v>
      </c>
      <c r="G2095" t="s">
        <v>78</v>
      </c>
      <c r="H2095" t="e">
        <f>VLOOKUP(Tabla3[[#This Row],[DESCRIPCION MATERIAL]],'CODIGO MAT'!$C$2:$D$390,2,FALSE)</f>
        <v>#N/A</v>
      </c>
      <c r="I2095" s="64" t="s">
        <v>50</v>
      </c>
      <c r="J2095">
        <v>1</v>
      </c>
      <c r="K2095">
        <v>0</v>
      </c>
    </row>
    <row r="2096" spans="1:11" x14ac:dyDescent="0.25">
      <c r="A2096" t="s">
        <v>1679</v>
      </c>
      <c r="B2096" t="s">
        <v>510</v>
      </c>
      <c r="C2096" t="s">
        <v>1678</v>
      </c>
      <c r="D2096" t="s">
        <v>50</v>
      </c>
      <c r="E2096" s="8" t="s">
        <v>146</v>
      </c>
      <c r="F2096">
        <v>0.04</v>
      </c>
      <c r="G2096" t="s">
        <v>78</v>
      </c>
      <c r="H2096" t="str">
        <f>VLOOKUP(Tabla3[[#This Row],[DESCRIPCION MATERIAL]],'CODIGO MAT'!$C$2:$D$390,2,FALSE)</f>
        <v>TEL0000073</v>
      </c>
      <c r="J2096">
        <v>1</v>
      </c>
      <c r="K2096">
        <v>0</v>
      </c>
    </row>
    <row r="2097" spans="1:11" x14ac:dyDescent="0.25">
      <c r="A2097" t="s">
        <v>1679</v>
      </c>
      <c r="B2097" t="s">
        <v>510</v>
      </c>
      <c r="C2097" t="s">
        <v>1678</v>
      </c>
      <c r="D2097" t="s">
        <v>50</v>
      </c>
      <c r="E2097" s="8" t="s">
        <v>1677</v>
      </c>
      <c r="F2097">
        <v>3.2000000000000001E-2</v>
      </c>
      <c r="G2097" t="s">
        <v>78</v>
      </c>
      <c r="H2097" t="e">
        <f>VLOOKUP(Tabla3[[#This Row],[DESCRIPCION MATERIAL]],'CODIGO MAT'!$C$2:$D$390,2,FALSE)</f>
        <v>#N/A</v>
      </c>
      <c r="I2097" s="64" t="s">
        <v>50</v>
      </c>
      <c r="J2097">
        <v>1</v>
      </c>
      <c r="K2097">
        <v>0</v>
      </c>
    </row>
    <row r="2098" spans="1:11" x14ac:dyDescent="0.25">
      <c r="A2098" t="s">
        <v>1679</v>
      </c>
      <c r="B2098" t="s">
        <v>510</v>
      </c>
      <c r="C2098" t="s">
        <v>1678</v>
      </c>
      <c r="D2098" t="s">
        <v>50</v>
      </c>
      <c r="E2098" s="8" t="s">
        <v>212</v>
      </c>
      <c r="F2098">
        <v>2.4E-2</v>
      </c>
      <c r="G2098" t="s">
        <v>78</v>
      </c>
      <c r="H2098" t="str">
        <f>VLOOKUP(Tabla3[[#This Row],[DESCRIPCION MATERIAL]],'CODIGO MAT'!$C$2:$D$390,2,FALSE)</f>
        <v>TEL0000139</v>
      </c>
    </row>
    <row r="2099" spans="1:11" x14ac:dyDescent="0.25">
      <c r="A2099" t="s">
        <v>1679</v>
      </c>
      <c r="B2099" t="s">
        <v>510</v>
      </c>
      <c r="C2099" t="s">
        <v>1678</v>
      </c>
      <c r="D2099" t="s">
        <v>50</v>
      </c>
      <c r="E2099" s="8" t="s">
        <v>1256</v>
      </c>
      <c r="F2099">
        <v>0.32100000000000001</v>
      </c>
      <c r="G2099" t="s">
        <v>78</v>
      </c>
      <c r="H2099" t="e">
        <f>VLOOKUP(Tabla3[[#This Row],[DESCRIPCION MATERIAL]],'CODIGO MAT'!$C$2:$D$390,2,FALSE)</f>
        <v>#N/A</v>
      </c>
      <c r="I2099" s="64" t="s">
        <v>50</v>
      </c>
      <c r="J2099">
        <v>1</v>
      </c>
      <c r="K2099">
        <v>0</v>
      </c>
    </row>
    <row r="2100" spans="1:11" x14ac:dyDescent="0.25">
      <c r="A2100" t="s">
        <v>1679</v>
      </c>
      <c r="B2100" t="s">
        <v>510</v>
      </c>
      <c r="C2100" t="s">
        <v>1678</v>
      </c>
      <c r="D2100" t="s">
        <v>51</v>
      </c>
      <c r="E2100" s="8" t="s">
        <v>377</v>
      </c>
      <c r="F2100">
        <v>1</v>
      </c>
      <c r="G2100" t="s">
        <v>396</v>
      </c>
      <c r="H2100" t="str">
        <f>VLOOKUP(Tabla3[[#This Row],[DESCRIPCION MATERIAL]],'CODIGO MAT'!$C$2:$D$390,2,FALSE)</f>
        <v>AVI0000114</v>
      </c>
      <c r="J2100">
        <v>1</v>
      </c>
      <c r="K2100">
        <v>0</v>
      </c>
    </row>
    <row r="2101" spans="1:11" x14ac:dyDescent="0.25">
      <c r="A2101" t="s">
        <v>1682</v>
      </c>
      <c r="B2101" t="s">
        <v>510</v>
      </c>
      <c r="C2101" t="s">
        <v>1681</v>
      </c>
      <c r="D2101" t="s">
        <v>50</v>
      </c>
      <c r="E2101" s="8" t="s">
        <v>1351</v>
      </c>
      <c r="F2101">
        <v>0.23799999999999999</v>
      </c>
      <c r="G2101" t="s">
        <v>78</v>
      </c>
      <c r="H2101" t="e">
        <f>VLOOKUP(Tabla3[[#This Row],[DESCRIPCION MATERIAL]],'CODIGO MAT'!$C$2:$D$390,2,FALSE)</f>
        <v>#N/A</v>
      </c>
      <c r="I2101" s="64" t="s">
        <v>50</v>
      </c>
      <c r="J2101">
        <v>1</v>
      </c>
      <c r="K2101">
        <v>0</v>
      </c>
    </row>
    <row r="2102" spans="1:11" x14ac:dyDescent="0.25">
      <c r="A2102" t="s">
        <v>1682</v>
      </c>
      <c r="B2102" t="s">
        <v>510</v>
      </c>
      <c r="C2102" t="s">
        <v>1681</v>
      </c>
      <c r="D2102" t="s">
        <v>50</v>
      </c>
      <c r="E2102" s="8" t="s">
        <v>1680</v>
      </c>
      <c r="F2102">
        <v>1.7000000000000001E-2</v>
      </c>
      <c r="G2102" t="s">
        <v>78</v>
      </c>
      <c r="H2102" t="e">
        <f>VLOOKUP(Tabla3[[#This Row],[DESCRIPCION MATERIAL]],'CODIGO MAT'!$C$2:$D$390,2,FALSE)</f>
        <v>#N/A</v>
      </c>
      <c r="I2102" s="64" t="s">
        <v>50</v>
      </c>
      <c r="J2102">
        <v>1</v>
      </c>
      <c r="K2102">
        <v>0</v>
      </c>
    </row>
    <row r="2103" spans="1:11" x14ac:dyDescent="0.25">
      <c r="A2103" t="s">
        <v>1682</v>
      </c>
      <c r="B2103" t="s">
        <v>510</v>
      </c>
      <c r="C2103" t="s">
        <v>1681</v>
      </c>
      <c r="D2103" t="s">
        <v>50</v>
      </c>
      <c r="E2103" s="8" t="s">
        <v>1354</v>
      </c>
      <c r="F2103">
        <v>2.1000000000000001E-2</v>
      </c>
      <c r="G2103" t="s">
        <v>78</v>
      </c>
      <c r="H2103" t="e">
        <f>VLOOKUP(Tabla3[[#This Row],[DESCRIPCION MATERIAL]],'CODIGO MAT'!$C$2:$D$390,2,FALSE)</f>
        <v>#N/A</v>
      </c>
      <c r="I2103" s="64" t="s">
        <v>50</v>
      </c>
      <c r="J2103">
        <v>1</v>
      </c>
      <c r="K2103">
        <v>0</v>
      </c>
    </row>
    <row r="2104" spans="1:11" x14ac:dyDescent="0.25">
      <c r="A2104" t="s">
        <v>1682</v>
      </c>
      <c r="B2104" t="s">
        <v>510</v>
      </c>
      <c r="C2104" t="s">
        <v>1681</v>
      </c>
      <c r="D2104" t="s">
        <v>50</v>
      </c>
      <c r="E2104" s="8" t="s">
        <v>145</v>
      </c>
      <c r="F2104">
        <v>0.62</v>
      </c>
      <c r="G2104" t="s">
        <v>78</v>
      </c>
      <c r="H2104" t="str">
        <f>VLOOKUP(Tabla3[[#This Row],[DESCRIPCION MATERIAL]],'CODIGO MAT'!$C$2:$D$390,2,FALSE)</f>
        <v>TEL0000072</v>
      </c>
      <c r="J2104">
        <v>1</v>
      </c>
      <c r="K2104">
        <v>0</v>
      </c>
    </row>
    <row r="2105" spans="1:11" x14ac:dyDescent="0.25">
      <c r="A2105" t="s">
        <v>1682</v>
      </c>
      <c r="B2105" t="s">
        <v>510</v>
      </c>
      <c r="C2105" t="s">
        <v>1681</v>
      </c>
      <c r="D2105" t="s">
        <v>50</v>
      </c>
      <c r="E2105" s="8" t="s">
        <v>1232</v>
      </c>
      <c r="F2105">
        <v>0.59799999999999998</v>
      </c>
      <c r="G2105" t="s">
        <v>78</v>
      </c>
      <c r="H2105" t="e">
        <f>VLOOKUP(Tabla3[[#This Row],[DESCRIPCION MATERIAL]],'CODIGO MAT'!$C$2:$D$390,2,FALSE)</f>
        <v>#N/A</v>
      </c>
      <c r="I2105" s="64" t="s">
        <v>50</v>
      </c>
      <c r="J2105">
        <v>1</v>
      </c>
      <c r="K2105">
        <v>0</v>
      </c>
    </row>
    <row r="2106" spans="1:11" x14ac:dyDescent="0.25">
      <c r="A2106" t="s">
        <v>1682</v>
      </c>
      <c r="B2106" t="s">
        <v>510</v>
      </c>
      <c r="C2106" t="s">
        <v>1681</v>
      </c>
      <c r="D2106" t="s">
        <v>50</v>
      </c>
      <c r="E2106" s="8" t="s">
        <v>1257</v>
      </c>
      <c r="F2106">
        <v>0.39100000000000001</v>
      </c>
      <c r="G2106" t="s">
        <v>78</v>
      </c>
      <c r="H2106" t="e">
        <f>VLOOKUP(Tabla3[[#This Row],[DESCRIPCION MATERIAL]],'CODIGO MAT'!$C$2:$D$390,2,FALSE)</f>
        <v>#N/A</v>
      </c>
      <c r="I2106" s="64" t="s">
        <v>50</v>
      </c>
      <c r="J2106">
        <v>1</v>
      </c>
      <c r="K2106">
        <v>0</v>
      </c>
    </row>
    <row r="2107" spans="1:11" x14ac:dyDescent="0.25">
      <c r="A2107" t="s">
        <v>1682</v>
      </c>
      <c r="B2107" t="s">
        <v>510</v>
      </c>
      <c r="C2107" t="s">
        <v>1681</v>
      </c>
      <c r="D2107" t="s">
        <v>51</v>
      </c>
      <c r="E2107" s="8" t="s">
        <v>378</v>
      </c>
      <c r="F2107">
        <v>1</v>
      </c>
      <c r="G2107" t="s">
        <v>396</v>
      </c>
      <c r="H2107" t="str">
        <f>VLOOKUP(Tabla3[[#This Row],[DESCRIPCION MATERIAL]],'CODIGO MAT'!$C$2:$D$390,2,FALSE)</f>
        <v>AVI0000115</v>
      </c>
      <c r="J2107">
        <v>1</v>
      </c>
      <c r="K2107">
        <v>0</v>
      </c>
    </row>
    <row r="2108" spans="1:11" x14ac:dyDescent="0.25">
      <c r="A2108" t="s">
        <v>1682</v>
      </c>
      <c r="B2108" t="s">
        <v>510</v>
      </c>
      <c r="C2108" t="s">
        <v>1681</v>
      </c>
      <c r="D2108" t="s">
        <v>51</v>
      </c>
      <c r="E2108" s="8" t="s">
        <v>242</v>
      </c>
      <c r="F2108">
        <v>8.0000000000000002E-3</v>
      </c>
      <c r="G2108" t="s">
        <v>78</v>
      </c>
      <c r="H2108" t="str">
        <f>VLOOKUP(Tabla3[[#This Row],[DESCRIPCION MATERIAL]],'CODIGO MAT'!$C$2:$D$390,2,FALSE)</f>
        <v>TEL0000170</v>
      </c>
    </row>
    <row r="2109" spans="1:11" x14ac:dyDescent="0.25">
      <c r="A2109" t="s">
        <v>1684</v>
      </c>
      <c r="B2109" t="s">
        <v>510</v>
      </c>
      <c r="C2109" t="s">
        <v>1683</v>
      </c>
      <c r="D2109" t="s">
        <v>50</v>
      </c>
      <c r="E2109" s="8" t="s">
        <v>1351</v>
      </c>
      <c r="F2109">
        <v>0.23799999999999999</v>
      </c>
      <c r="G2109" t="s">
        <v>78</v>
      </c>
      <c r="H2109" t="e">
        <f>VLOOKUP(Tabla3[[#This Row],[DESCRIPCION MATERIAL]],'CODIGO MAT'!$C$2:$D$390,2,FALSE)</f>
        <v>#N/A</v>
      </c>
      <c r="I2109" s="64" t="s">
        <v>50</v>
      </c>
      <c r="J2109">
        <v>1</v>
      </c>
      <c r="K2109">
        <v>0</v>
      </c>
    </row>
    <row r="2110" spans="1:11" x14ac:dyDescent="0.25">
      <c r="A2110" t="s">
        <v>1684</v>
      </c>
      <c r="B2110" t="s">
        <v>510</v>
      </c>
      <c r="C2110" t="s">
        <v>1683</v>
      </c>
      <c r="D2110" t="s">
        <v>50</v>
      </c>
      <c r="E2110" s="8" t="s">
        <v>1356</v>
      </c>
      <c r="F2110">
        <v>3.6999999999999998E-2</v>
      </c>
      <c r="G2110" t="s">
        <v>78</v>
      </c>
      <c r="H2110" t="e">
        <f>VLOOKUP(Tabla3[[#This Row],[DESCRIPCION MATERIAL]],'CODIGO MAT'!$C$2:$D$390,2,FALSE)</f>
        <v>#N/A</v>
      </c>
      <c r="I2110" s="64" t="s">
        <v>50</v>
      </c>
      <c r="J2110">
        <v>1</v>
      </c>
      <c r="K2110">
        <v>0</v>
      </c>
    </row>
    <row r="2111" spans="1:11" x14ac:dyDescent="0.25">
      <c r="A2111" t="s">
        <v>1684</v>
      </c>
      <c r="B2111" t="s">
        <v>510</v>
      </c>
      <c r="C2111" t="s">
        <v>1683</v>
      </c>
      <c r="D2111" t="s">
        <v>50</v>
      </c>
      <c r="E2111" s="8" t="s">
        <v>1230</v>
      </c>
      <c r="F2111">
        <v>0.4</v>
      </c>
      <c r="G2111" t="s">
        <v>78</v>
      </c>
      <c r="H2111" t="e">
        <f>VLOOKUP(Tabla3[[#This Row],[DESCRIPCION MATERIAL]],'CODIGO MAT'!$C$2:$D$390,2,FALSE)</f>
        <v>#N/A</v>
      </c>
      <c r="I2111" s="64" t="s">
        <v>50</v>
      </c>
      <c r="J2111">
        <v>1</v>
      </c>
      <c r="K2111">
        <v>0</v>
      </c>
    </row>
    <row r="2112" spans="1:11" x14ac:dyDescent="0.25">
      <c r="A2112" t="s">
        <v>1684</v>
      </c>
      <c r="B2112" t="s">
        <v>510</v>
      </c>
      <c r="C2112" t="s">
        <v>1683</v>
      </c>
      <c r="D2112" t="s">
        <v>50</v>
      </c>
      <c r="E2112" s="8" t="s">
        <v>1216</v>
      </c>
      <c r="F2112">
        <v>0.55100000000000005</v>
      </c>
      <c r="G2112" t="s">
        <v>78</v>
      </c>
      <c r="H2112" t="e">
        <f>VLOOKUP(Tabla3[[#This Row],[DESCRIPCION MATERIAL]],'CODIGO MAT'!$C$2:$D$390,2,FALSE)</f>
        <v>#N/A</v>
      </c>
      <c r="I2112" s="64" t="s">
        <v>50</v>
      </c>
      <c r="J2112">
        <v>1</v>
      </c>
      <c r="K2112">
        <v>0</v>
      </c>
    </row>
    <row r="2113" spans="1:11" x14ac:dyDescent="0.25">
      <c r="A2113" t="s">
        <v>1684</v>
      </c>
      <c r="B2113" t="s">
        <v>510</v>
      </c>
      <c r="C2113" t="s">
        <v>1683</v>
      </c>
      <c r="D2113" t="s">
        <v>50</v>
      </c>
      <c r="E2113" s="8" t="s">
        <v>115</v>
      </c>
      <c r="F2113">
        <v>0.55100000000000005</v>
      </c>
      <c r="G2113" t="s">
        <v>78</v>
      </c>
      <c r="H2113" t="str">
        <f>VLOOKUP(Tabla3[[#This Row],[DESCRIPCION MATERIAL]],'CODIGO MAT'!$C$2:$D$390,2,FALSE)</f>
        <v>TEL0000038</v>
      </c>
      <c r="J2113">
        <v>1</v>
      </c>
      <c r="K2113">
        <v>0</v>
      </c>
    </row>
    <row r="2114" spans="1:11" x14ac:dyDescent="0.25">
      <c r="A2114" t="s">
        <v>1684</v>
      </c>
      <c r="B2114" t="s">
        <v>510</v>
      </c>
      <c r="C2114" t="s">
        <v>1683</v>
      </c>
      <c r="D2114" t="s">
        <v>51</v>
      </c>
      <c r="E2114" s="8" t="s">
        <v>1272</v>
      </c>
      <c r="F2114">
        <v>1.2</v>
      </c>
      <c r="G2114" t="s">
        <v>78</v>
      </c>
      <c r="H2114" t="e">
        <f>VLOOKUP(Tabla3[[#This Row],[DESCRIPCION MATERIAL]],'CODIGO MAT'!$C$2:$D$390,2,FALSE)</f>
        <v>#N/A</v>
      </c>
      <c r="I2114" s="64" t="s">
        <v>51</v>
      </c>
      <c r="J2114">
        <v>1</v>
      </c>
      <c r="K2114">
        <v>1.02</v>
      </c>
    </row>
    <row r="2115" spans="1:11" x14ac:dyDescent="0.25">
      <c r="A2115" t="s">
        <v>1684</v>
      </c>
      <c r="B2115" t="s">
        <v>510</v>
      </c>
      <c r="C2115" t="s">
        <v>1683</v>
      </c>
      <c r="D2115" t="s">
        <v>51</v>
      </c>
      <c r="E2115" s="8" t="s">
        <v>379</v>
      </c>
      <c r="F2115">
        <v>1</v>
      </c>
      <c r="G2115" t="s">
        <v>396</v>
      </c>
      <c r="H2115" t="str">
        <f>VLOOKUP(Tabla3[[#This Row],[DESCRIPCION MATERIAL]],'CODIGO MAT'!$C$2:$D$390,2,FALSE)</f>
        <v>AVI0000116</v>
      </c>
      <c r="J2115">
        <v>1</v>
      </c>
      <c r="K2115">
        <v>0</v>
      </c>
    </row>
    <row r="2116" spans="1:11" x14ac:dyDescent="0.25">
      <c r="A2116" t="s">
        <v>1684</v>
      </c>
      <c r="B2116" t="s">
        <v>510</v>
      </c>
      <c r="C2116" t="s">
        <v>1683</v>
      </c>
      <c r="D2116" t="s">
        <v>51</v>
      </c>
      <c r="E2116" s="8" t="s">
        <v>315</v>
      </c>
      <c r="F2116">
        <v>0</v>
      </c>
      <c r="G2116" t="s">
        <v>78</v>
      </c>
      <c r="H2116" t="str">
        <f>VLOOKUP(Tabla3[[#This Row],[DESCRIPCION MATERIAL]],'CODIGO MAT'!$C$2:$D$390,2,FALSE)</f>
        <v>AVI0000055</v>
      </c>
      <c r="J2116">
        <v>1</v>
      </c>
      <c r="K2116">
        <v>0</v>
      </c>
    </row>
    <row r="2117" spans="1:11" x14ac:dyDescent="0.25">
      <c r="A2117" t="s">
        <v>1684</v>
      </c>
      <c r="B2117" t="s">
        <v>510</v>
      </c>
      <c r="C2117" t="s">
        <v>1683</v>
      </c>
      <c r="D2117" t="s">
        <v>51</v>
      </c>
      <c r="E2117" s="8" t="s">
        <v>192</v>
      </c>
      <c r="F2117">
        <v>0.29299999999999998</v>
      </c>
      <c r="G2117" t="s">
        <v>78</v>
      </c>
      <c r="H2117" t="str">
        <f>VLOOKUP(Tabla3[[#This Row],[DESCRIPCION MATERIAL]],'CODIGO MAT'!$C$2:$D$390,2,FALSE)</f>
        <v>TEL0000119</v>
      </c>
      <c r="J2117">
        <v>1</v>
      </c>
      <c r="K2117">
        <v>0</v>
      </c>
    </row>
    <row r="2118" spans="1:11" x14ac:dyDescent="0.25">
      <c r="A2118" t="s">
        <v>1686</v>
      </c>
      <c r="B2118" t="s">
        <v>510</v>
      </c>
      <c r="C2118" t="s">
        <v>1685</v>
      </c>
      <c r="D2118" t="s">
        <v>50</v>
      </c>
      <c r="E2118" s="8" t="s">
        <v>92</v>
      </c>
      <c r="F2118">
        <v>0.54200000000000004</v>
      </c>
      <c r="G2118" t="s">
        <v>78</v>
      </c>
      <c r="H2118" t="str">
        <f>VLOOKUP(Tabla3[[#This Row],[DESCRIPCION MATERIAL]],'CODIGO MAT'!$C$2:$D$390,2,FALSE)</f>
        <v>TEL0000015</v>
      </c>
      <c r="J2118">
        <v>1</v>
      </c>
      <c r="K2118">
        <v>0</v>
      </c>
    </row>
    <row r="2119" spans="1:11" x14ac:dyDescent="0.25">
      <c r="A2119" t="s">
        <v>1686</v>
      </c>
      <c r="B2119" t="s">
        <v>510</v>
      </c>
      <c r="C2119" t="s">
        <v>1685</v>
      </c>
      <c r="D2119" t="s">
        <v>50</v>
      </c>
      <c r="E2119" s="8" t="s">
        <v>95</v>
      </c>
      <c r="F2119">
        <v>0.76400000000000001</v>
      </c>
      <c r="G2119" t="s">
        <v>78</v>
      </c>
      <c r="H2119" t="str">
        <f>VLOOKUP(Tabla3[[#This Row],[DESCRIPCION MATERIAL]],'CODIGO MAT'!$C$2:$D$390,2,FALSE)</f>
        <v>TEL0000018</v>
      </c>
      <c r="J2119">
        <v>1</v>
      </c>
      <c r="K2119">
        <v>0</v>
      </c>
    </row>
    <row r="2120" spans="1:11" x14ac:dyDescent="0.25">
      <c r="A2120" t="s">
        <v>1686</v>
      </c>
      <c r="B2120" t="s">
        <v>510</v>
      </c>
      <c r="C2120" t="s">
        <v>1685</v>
      </c>
      <c r="D2120" t="s">
        <v>50</v>
      </c>
      <c r="E2120" s="8" t="s">
        <v>88</v>
      </c>
      <c r="F2120">
        <v>6.5000000000000002E-2</v>
      </c>
      <c r="G2120" t="s">
        <v>78</v>
      </c>
      <c r="H2120" t="str">
        <f>VLOOKUP(Tabla3[[#This Row],[DESCRIPCION MATERIAL]],'CODIGO MAT'!$C$2:$D$390,2,FALSE)</f>
        <v>TEL0000011</v>
      </c>
      <c r="J2120">
        <v>1</v>
      </c>
      <c r="K2120">
        <v>0</v>
      </c>
    </row>
    <row r="2121" spans="1:11" x14ac:dyDescent="0.25">
      <c r="A2121" t="s">
        <v>1686</v>
      </c>
      <c r="B2121" t="s">
        <v>510</v>
      </c>
      <c r="C2121" t="s">
        <v>1685</v>
      </c>
      <c r="D2121" t="s">
        <v>50</v>
      </c>
      <c r="E2121" s="8" t="s">
        <v>104</v>
      </c>
      <c r="F2121">
        <v>5.2999999999999999E-2</v>
      </c>
      <c r="G2121" t="s">
        <v>78</v>
      </c>
      <c r="H2121" t="str">
        <f>VLOOKUP(Tabla3[[#This Row],[DESCRIPCION MATERIAL]],'CODIGO MAT'!$C$2:$D$390,2,FALSE)</f>
        <v>TEL0000027</v>
      </c>
      <c r="J2121">
        <v>1</v>
      </c>
      <c r="K2121">
        <v>0</v>
      </c>
    </row>
    <row r="2122" spans="1:11" x14ac:dyDescent="0.25">
      <c r="A2122" t="s">
        <v>1686</v>
      </c>
      <c r="B2122" t="s">
        <v>510</v>
      </c>
      <c r="C2122" t="s">
        <v>1685</v>
      </c>
      <c r="D2122" t="s">
        <v>51</v>
      </c>
      <c r="E2122" s="8" t="s">
        <v>372</v>
      </c>
      <c r="F2122">
        <v>1</v>
      </c>
      <c r="G2122" t="s">
        <v>396</v>
      </c>
      <c r="H2122" t="str">
        <f>VLOOKUP(Tabla3[[#This Row],[DESCRIPCION MATERIAL]],'CODIGO MAT'!$C$2:$D$390,2,FALSE)</f>
        <v>AVI0000109</v>
      </c>
      <c r="J2122">
        <v>1</v>
      </c>
      <c r="K2122">
        <v>0</v>
      </c>
    </row>
    <row r="2123" spans="1:11" x14ac:dyDescent="0.25">
      <c r="A2123" t="s">
        <v>1686</v>
      </c>
      <c r="B2123" t="s">
        <v>510</v>
      </c>
      <c r="C2123" t="s">
        <v>1685</v>
      </c>
      <c r="D2123" t="s">
        <v>50</v>
      </c>
      <c r="E2123" s="8" t="s">
        <v>243</v>
      </c>
      <c r="F2123">
        <v>2.1999999999999999E-2</v>
      </c>
      <c r="G2123" t="s">
        <v>78</v>
      </c>
      <c r="H2123" t="str">
        <f>VLOOKUP(Tabla3[[#This Row],[DESCRIPCION MATERIAL]],'CODIGO MAT'!$C$2:$D$390,2,FALSE)</f>
        <v>TEL0000171</v>
      </c>
      <c r="J2123">
        <v>1</v>
      </c>
      <c r="K2123">
        <v>0</v>
      </c>
    </row>
    <row r="2124" spans="1:11" x14ac:dyDescent="0.25">
      <c r="A2124" t="s">
        <v>1686</v>
      </c>
      <c r="B2124" t="s">
        <v>510</v>
      </c>
      <c r="C2124" t="s">
        <v>1685</v>
      </c>
      <c r="D2124" t="s">
        <v>50</v>
      </c>
      <c r="E2124" s="8" t="s">
        <v>163</v>
      </c>
      <c r="F2124">
        <v>2.1999999999999999E-2</v>
      </c>
      <c r="G2124" t="s">
        <v>78</v>
      </c>
      <c r="H2124" t="str">
        <f>VLOOKUP(Tabla3[[#This Row],[DESCRIPCION MATERIAL]],'CODIGO MAT'!$C$2:$D$390,2,FALSE)</f>
        <v>TEL0000090</v>
      </c>
      <c r="J2124">
        <v>1</v>
      </c>
      <c r="K2124">
        <v>0</v>
      </c>
    </row>
    <row r="2125" spans="1:11" x14ac:dyDescent="0.25">
      <c r="A2125" t="s">
        <v>1686</v>
      </c>
      <c r="B2125" t="s">
        <v>510</v>
      </c>
      <c r="C2125" t="s">
        <v>1685</v>
      </c>
      <c r="D2125" t="s">
        <v>51</v>
      </c>
      <c r="E2125" s="8" t="s">
        <v>1282</v>
      </c>
      <c r="F2125">
        <v>0.66</v>
      </c>
      <c r="G2125" t="s">
        <v>78</v>
      </c>
      <c r="H2125" t="e">
        <f>VLOOKUP(Tabla3[[#This Row],[DESCRIPCION MATERIAL]],'CODIGO MAT'!$C$2:$D$390,2,FALSE)</f>
        <v>#N/A</v>
      </c>
      <c r="I2125" s="64" t="s">
        <v>51</v>
      </c>
      <c r="J2125">
        <v>1</v>
      </c>
      <c r="K2125">
        <v>0</v>
      </c>
    </row>
    <row r="2126" spans="1:11" x14ac:dyDescent="0.25">
      <c r="A2126" t="s">
        <v>1690</v>
      </c>
      <c r="B2126" t="s">
        <v>512</v>
      </c>
      <c r="C2126" t="s">
        <v>1689</v>
      </c>
      <c r="D2126" t="s">
        <v>50</v>
      </c>
      <c r="E2126" s="8" t="s">
        <v>149</v>
      </c>
      <c r="F2126">
        <v>0.68</v>
      </c>
      <c r="G2126" t="s">
        <v>78</v>
      </c>
      <c r="H2126" t="str">
        <f>VLOOKUP(Tabla3[[#This Row],[DESCRIPCION MATERIAL]],'CODIGO MAT'!$C$2:$D$390,2,FALSE)</f>
        <v>TEL0000076</v>
      </c>
      <c r="J2126">
        <v>1</v>
      </c>
      <c r="K2126">
        <v>0</v>
      </c>
    </row>
    <row r="2127" spans="1:11" x14ac:dyDescent="0.25">
      <c r="A2127" t="s">
        <v>1690</v>
      </c>
      <c r="B2127" t="s">
        <v>512</v>
      </c>
      <c r="C2127" t="s">
        <v>1689</v>
      </c>
      <c r="D2127" t="s">
        <v>50</v>
      </c>
      <c r="E2127" s="8" t="s">
        <v>147</v>
      </c>
      <c r="F2127">
        <v>4.2000000000000003E-2</v>
      </c>
      <c r="G2127" t="s">
        <v>78</v>
      </c>
      <c r="H2127" t="str">
        <f>VLOOKUP(Tabla3[[#This Row],[DESCRIPCION MATERIAL]],'CODIGO MAT'!$C$2:$D$390,2,FALSE)</f>
        <v>TEL0000074</v>
      </c>
      <c r="J2127">
        <v>1</v>
      </c>
      <c r="K2127">
        <v>0</v>
      </c>
    </row>
    <row r="2128" spans="1:11" x14ac:dyDescent="0.25">
      <c r="A2128" t="s">
        <v>1690</v>
      </c>
      <c r="B2128" t="s">
        <v>512</v>
      </c>
      <c r="C2128" t="s">
        <v>1689</v>
      </c>
      <c r="D2128" t="s">
        <v>50</v>
      </c>
      <c r="E2128" s="8" t="s">
        <v>1203</v>
      </c>
      <c r="F2128">
        <v>0.436</v>
      </c>
      <c r="G2128" t="s">
        <v>78</v>
      </c>
      <c r="H2128" t="e">
        <f>VLOOKUP(Tabla3[[#This Row],[DESCRIPCION MATERIAL]],'CODIGO MAT'!$C$2:$D$390,2,FALSE)</f>
        <v>#N/A</v>
      </c>
      <c r="I2128" s="64" t="s">
        <v>50</v>
      </c>
      <c r="J2128">
        <v>1</v>
      </c>
      <c r="K2128">
        <v>0</v>
      </c>
    </row>
    <row r="2129" spans="1:11" x14ac:dyDescent="0.25">
      <c r="A2129" t="s">
        <v>1690</v>
      </c>
      <c r="B2129" t="s">
        <v>512</v>
      </c>
      <c r="C2129" t="s">
        <v>1689</v>
      </c>
      <c r="D2129" t="s">
        <v>50</v>
      </c>
      <c r="E2129" s="8" t="s">
        <v>1687</v>
      </c>
      <c r="F2129">
        <v>9.6000000000000002E-2</v>
      </c>
      <c r="G2129" t="s">
        <v>78</v>
      </c>
      <c r="H2129" t="e">
        <f>VLOOKUP(Tabla3[[#This Row],[DESCRIPCION MATERIAL]],'CODIGO MAT'!$C$2:$D$390,2,FALSE)</f>
        <v>#N/A</v>
      </c>
      <c r="I2129" s="64" t="s">
        <v>50</v>
      </c>
      <c r="J2129">
        <v>1</v>
      </c>
      <c r="K2129">
        <v>0</v>
      </c>
    </row>
    <row r="2130" spans="1:11" x14ac:dyDescent="0.25">
      <c r="A2130" t="s">
        <v>1690</v>
      </c>
      <c r="B2130" t="s">
        <v>512</v>
      </c>
      <c r="C2130" t="s">
        <v>1689</v>
      </c>
      <c r="D2130" t="s">
        <v>51</v>
      </c>
      <c r="E2130" s="8" t="s">
        <v>1326</v>
      </c>
      <c r="F2130">
        <v>0.44</v>
      </c>
      <c r="G2130" t="s">
        <v>78</v>
      </c>
      <c r="H2130" t="e">
        <f>VLOOKUP(Tabla3[[#This Row],[DESCRIPCION MATERIAL]],'CODIGO MAT'!$C$2:$D$390,2,FALSE)</f>
        <v>#N/A</v>
      </c>
      <c r="I2130" s="64" t="s">
        <v>51</v>
      </c>
      <c r="J2130">
        <v>1</v>
      </c>
      <c r="K2130">
        <v>0</v>
      </c>
    </row>
    <row r="2131" spans="1:11" x14ac:dyDescent="0.25">
      <c r="A2131" t="s">
        <v>1690</v>
      </c>
      <c r="B2131" t="s">
        <v>512</v>
      </c>
      <c r="C2131" t="s">
        <v>1689</v>
      </c>
      <c r="D2131" t="s">
        <v>51</v>
      </c>
      <c r="E2131" s="8" t="s">
        <v>326</v>
      </c>
      <c r="F2131">
        <v>6.234</v>
      </c>
      <c r="G2131" t="s">
        <v>78</v>
      </c>
      <c r="H2131" t="str">
        <f>VLOOKUP(Tabla3[[#This Row],[DESCRIPCION MATERIAL]],'CODIGO MAT'!$C$2:$D$390,2,FALSE)</f>
        <v>AVI0000064</v>
      </c>
      <c r="J2131">
        <v>1</v>
      </c>
      <c r="K2131">
        <v>0</v>
      </c>
    </row>
    <row r="2132" spans="1:11" x14ac:dyDescent="0.25">
      <c r="A2132" t="s">
        <v>1690</v>
      </c>
      <c r="B2132" t="s">
        <v>512</v>
      </c>
      <c r="C2132" t="s">
        <v>1689</v>
      </c>
      <c r="D2132" t="s">
        <v>51</v>
      </c>
      <c r="E2132" s="8" t="s">
        <v>378</v>
      </c>
      <c r="F2132">
        <v>1</v>
      </c>
      <c r="G2132" t="s">
        <v>396</v>
      </c>
      <c r="H2132" t="str">
        <f>VLOOKUP(Tabla3[[#This Row],[DESCRIPCION MATERIAL]],'CODIGO MAT'!$C$2:$D$390,2,FALSE)</f>
        <v>AVI0000115</v>
      </c>
      <c r="J2132">
        <v>1</v>
      </c>
      <c r="K2132">
        <v>0</v>
      </c>
    </row>
    <row r="2133" spans="1:11" x14ac:dyDescent="0.25">
      <c r="A2133" t="s">
        <v>1690</v>
      </c>
      <c r="B2133" t="s">
        <v>512</v>
      </c>
      <c r="C2133" t="s">
        <v>1689</v>
      </c>
      <c r="D2133" t="s">
        <v>51</v>
      </c>
      <c r="E2133" s="8" t="s">
        <v>152</v>
      </c>
      <c r="F2133">
        <v>7.0000000000000001E-3</v>
      </c>
      <c r="G2133" t="s">
        <v>78</v>
      </c>
      <c r="H2133" t="str">
        <f>VLOOKUP(Tabla3[[#This Row],[DESCRIPCION MATERIAL]],'CODIGO MAT'!$C$2:$D$390,2,FALSE)</f>
        <v>TEL0000079</v>
      </c>
    </row>
    <row r="2134" spans="1:11" x14ac:dyDescent="0.25">
      <c r="A2134" t="s">
        <v>1692</v>
      </c>
      <c r="B2134" t="s">
        <v>512</v>
      </c>
      <c r="C2134" t="s">
        <v>1691</v>
      </c>
      <c r="D2134" t="s">
        <v>50</v>
      </c>
      <c r="E2134" s="8" t="s">
        <v>149</v>
      </c>
      <c r="F2134">
        <v>0.97499999999999998</v>
      </c>
      <c r="G2134" t="s">
        <v>78</v>
      </c>
      <c r="H2134" t="str">
        <f>VLOOKUP(Tabla3[[#This Row],[DESCRIPCION MATERIAL]],'CODIGO MAT'!$C$2:$D$390,2,FALSE)</f>
        <v>TEL0000076</v>
      </c>
      <c r="J2134">
        <v>1</v>
      </c>
      <c r="K2134">
        <v>0</v>
      </c>
    </row>
    <row r="2135" spans="1:11" x14ac:dyDescent="0.25">
      <c r="A2135" t="s">
        <v>1692</v>
      </c>
      <c r="B2135" t="s">
        <v>512</v>
      </c>
      <c r="C2135" t="s">
        <v>1691</v>
      </c>
      <c r="D2135" t="s">
        <v>50</v>
      </c>
      <c r="E2135" s="8" t="s">
        <v>1687</v>
      </c>
      <c r="F2135">
        <v>0.11799999999999999</v>
      </c>
      <c r="G2135" t="s">
        <v>78</v>
      </c>
      <c r="H2135" t="e">
        <f>VLOOKUP(Tabla3[[#This Row],[DESCRIPCION MATERIAL]],'CODIGO MAT'!$C$2:$D$390,2,FALSE)</f>
        <v>#N/A</v>
      </c>
      <c r="I2135" s="64" t="s">
        <v>50</v>
      </c>
      <c r="J2135">
        <v>1</v>
      </c>
      <c r="K2135">
        <v>0</v>
      </c>
    </row>
    <row r="2136" spans="1:11" x14ac:dyDescent="0.25">
      <c r="A2136" t="s">
        <v>1692</v>
      </c>
      <c r="B2136" t="s">
        <v>512</v>
      </c>
      <c r="C2136" t="s">
        <v>1691</v>
      </c>
      <c r="D2136" t="s">
        <v>50</v>
      </c>
      <c r="E2136" s="8" t="s">
        <v>192</v>
      </c>
      <c r="F2136">
        <v>0.16600000000000001</v>
      </c>
      <c r="G2136" t="s">
        <v>78</v>
      </c>
      <c r="H2136" t="str">
        <f>VLOOKUP(Tabla3[[#This Row],[DESCRIPCION MATERIAL]],'CODIGO MAT'!$C$2:$D$390,2,FALSE)</f>
        <v>TEL0000119</v>
      </c>
      <c r="J2136">
        <v>1</v>
      </c>
      <c r="K2136">
        <v>0</v>
      </c>
    </row>
    <row r="2137" spans="1:11" x14ac:dyDescent="0.25">
      <c r="A2137" t="s">
        <v>1692</v>
      </c>
      <c r="B2137" t="s">
        <v>512</v>
      </c>
      <c r="C2137" t="s">
        <v>1691</v>
      </c>
      <c r="D2137" t="s">
        <v>50</v>
      </c>
      <c r="E2137" s="8" t="s">
        <v>244</v>
      </c>
      <c r="F2137">
        <v>2.8000000000000001E-2</v>
      </c>
      <c r="G2137" t="s">
        <v>78</v>
      </c>
      <c r="H2137" t="str">
        <f>VLOOKUP(Tabla3[[#This Row],[DESCRIPCION MATERIAL]],'CODIGO MAT'!$C$2:$D$390,2,FALSE)</f>
        <v>TEL0000172</v>
      </c>
      <c r="J2137">
        <v>1</v>
      </c>
      <c r="K2137">
        <v>0</v>
      </c>
    </row>
    <row r="2138" spans="1:11" x14ac:dyDescent="0.25">
      <c r="A2138" t="s">
        <v>1692</v>
      </c>
      <c r="B2138" t="s">
        <v>512</v>
      </c>
      <c r="C2138" t="s">
        <v>1691</v>
      </c>
      <c r="D2138" t="s">
        <v>50</v>
      </c>
      <c r="E2138" s="8" t="s">
        <v>183</v>
      </c>
      <c r="F2138">
        <v>1.7000000000000001E-2</v>
      </c>
      <c r="G2138" t="s">
        <v>78</v>
      </c>
      <c r="H2138" t="str">
        <f>VLOOKUP(Tabla3[[#This Row],[DESCRIPCION MATERIAL]],'CODIGO MAT'!$C$2:$D$390,2,FALSE)</f>
        <v>TEL0000110</v>
      </c>
      <c r="J2138">
        <v>1</v>
      </c>
      <c r="K2138">
        <v>0</v>
      </c>
    </row>
    <row r="2139" spans="1:11" x14ac:dyDescent="0.25">
      <c r="A2139" t="s">
        <v>1692</v>
      </c>
      <c r="B2139" t="s">
        <v>512</v>
      </c>
      <c r="C2139" t="s">
        <v>1691</v>
      </c>
      <c r="D2139" t="s">
        <v>50</v>
      </c>
      <c r="E2139" s="8" t="s">
        <v>11</v>
      </c>
      <c r="F2139">
        <v>8.9999999999999993E-3</v>
      </c>
      <c r="G2139" t="s">
        <v>78</v>
      </c>
      <c r="H2139" t="str">
        <f>VLOOKUP(Tabla3[[#This Row],[DESCRIPCION MATERIAL]],'CODIGO MAT'!$C$2:$D$390,2,FALSE)</f>
        <v>TEL0000149</v>
      </c>
      <c r="J2139">
        <v>1</v>
      </c>
      <c r="K2139">
        <v>0</v>
      </c>
    </row>
    <row r="2140" spans="1:11" x14ac:dyDescent="0.25">
      <c r="A2140" t="s">
        <v>1692</v>
      </c>
      <c r="B2140" t="s">
        <v>512</v>
      </c>
      <c r="C2140" t="s">
        <v>1691</v>
      </c>
      <c r="D2140" t="s">
        <v>51</v>
      </c>
      <c r="E2140" s="8" t="s">
        <v>36</v>
      </c>
      <c r="F2140">
        <v>4</v>
      </c>
      <c r="G2140" t="s">
        <v>396</v>
      </c>
      <c r="H2140" t="str">
        <f>VLOOKUP(Tabla3[[#This Row],[DESCRIPCION MATERIAL]],'CODIGO MAT'!$C$2:$D$390,2,FALSE)</f>
        <v>AVI0000135</v>
      </c>
      <c r="J2140">
        <v>1</v>
      </c>
      <c r="K2140">
        <v>0</v>
      </c>
    </row>
    <row r="2141" spans="1:11" x14ac:dyDescent="0.25">
      <c r="A2141" t="s">
        <v>1692</v>
      </c>
      <c r="B2141" t="s">
        <v>512</v>
      </c>
      <c r="C2141" t="s">
        <v>1691</v>
      </c>
      <c r="D2141" t="s">
        <v>51</v>
      </c>
      <c r="E2141" s="8" t="s">
        <v>996</v>
      </c>
      <c r="F2141">
        <v>0.52</v>
      </c>
      <c r="G2141" t="s">
        <v>78</v>
      </c>
      <c r="H2141" t="str">
        <f>VLOOKUP(Tabla3[[#This Row],[DESCRIPCION MATERIAL]],'CODIGO MAT'!$C$2:$D$390,2,FALSE)</f>
        <v>AVI0000148</v>
      </c>
      <c r="J2141">
        <v>1</v>
      </c>
      <c r="K2141">
        <v>0</v>
      </c>
    </row>
    <row r="2142" spans="1:11" x14ac:dyDescent="0.25">
      <c r="A2142" t="s">
        <v>1692</v>
      </c>
      <c r="B2142" t="s">
        <v>512</v>
      </c>
      <c r="C2142" t="s">
        <v>1691</v>
      </c>
      <c r="D2142" t="s">
        <v>51</v>
      </c>
      <c r="E2142" s="8" t="s">
        <v>315</v>
      </c>
      <c r="F2142">
        <v>0.28000000000000003</v>
      </c>
      <c r="G2142" t="s">
        <v>78</v>
      </c>
      <c r="H2142" t="str">
        <f>VLOOKUP(Tabla3[[#This Row],[DESCRIPCION MATERIAL]],'CODIGO MAT'!$C$2:$D$390,2,FALSE)</f>
        <v>AVI0000055</v>
      </c>
      <c r="J2142">
        <v>1</v>
      </c>
      <c r="K2142">
        <v>0</v>
      </c>
    </row>
    <row r="2143" spans="1:11" x14ac:dyDescent="0.25">
      <c r="A2143" t="s">
        <v>1692</v>
      </c>
      <c r="B2143" t="s">
        <v>512</v>
      </c>
      <c r="C2143" t="s">
        <v>1691</v>
      </c>
      <c r="D2143" t="s">
        <v>50</v>
      </c>
      <c r="E2143" s="8" t="s">
        <v>152</v>
      </c>
      <c r="F2143">
        <v>7.0000000000000001E-3</v>
      </c>
      <c r="G2143" t="s">
        <v>78</v>
      </c>
      <c r="H2143" t="str">
        <f>VLOOKUP(Tabla3[[#This Row],[DESCRIPCION MATERIAL]],'CODIGO MAT'!$C$2:$D$390,2,FALSE)</f>
        <v>TEL0000079</v>
      </c>
    </row>
    <row r="2144" spans="1:11" x14ac:dyDescent="0.25">
      <c r="A2144" t="s">
        <v>1695</v>
      </c>
      <c r="B2144" t="s">
        <v>512</v>
      </c>
      <c r="C2144" t="s">
        <v>1694</v>
      </c>
      <c r="D2144" t="s">
        <v>50</v>
      </c>
      <c r="E2144" s="8" t="s">
        <v>1693</v>
      </c>
      <c r="F2144">
        <v>0.85</v>
      </c>
      <c r="G2144" t="s">
        <v>78</v>
      </c>
      <c r="H2144" t="e">
        <f>VLOOKUP(Tabla3[[#This Row],[DESCRIPCION MATERIAL]],'CODIGO MAT'!$C$2:$D$390,2,FALSE)</f>
        <v>#N/A</v>
      </c>
      <c r="I2144" s="64" t="s">
        <v>50</v>
      </c>
      <c r="J2144">
        <v>1</v>
      </c>
      <c r="K2144">
        <v>0</v>
      </c>
    </row>
    <row r="2145" spans="1:11" x14ac:dyDescent="0.25">
      <c r="A2145" t="s">
        <v>1695</v>
      </c>
      <c r="B2145" t="s">
        <v>512</v>
      </c>
      <c r="C2145" t="s">
        <v>1694</v>
      </c>
      <c r="D2145" t="s">
        <v>50</v>
      </c>
      <c r="E2145" s="8" t="s">
        <v>149</v>
      </c>
      <c r="F2145">
        <v>0.129</v>
      </c>
      <c r="G2145" t="s">
        <v>78</v>
      </c>
      <c r="H2145" t="str">
        <f>VLOOKUP(Tabla3[[#This Row],[DESCRIPCION MATERIAL]],'CODIGO MAT'!$C$2:$D$390,2,FALSE)</f>
        <v>TEL0000076</v>
      </c>
      <c r="J2145">
        <v>1</v>
      </c>
      <c r="K2145">
        <v>0</v>
      </c>
    </row>
    <row r="2146" spans="1:11" x14ac:dyDescent="0.25">
      <c r="A2146" t="s">
        <v>1695</v>
      </c>
      <c r="B2146" t="s">
        <v>512</v>
      </c>
      <c r="C2146" t="s">
        <v>1694</v>
      </c>
      <c r="D2146" t="s">
        <v>50</v>
      </c>
      <c r="E2146" s="8" t="s">
        <v>227</v>
      </c>
      <c r="F2146">
        <v>7.0999999999999994E-2</v>
      </c>
      <c r="G2146" t="s">
        <v>78</v>
      </c>
      <c r="H2146" t="str">
        <f>VLOOKUP(Tabla3[[#This Row],[DESCRIPCION MATERIAL]],'CODIGO MAT'!$C$2:$D$390,2,FALSE)</f>
        <v>TEL0000155</v>
      </c>
      <c r="J2146">
        <v>1</v>
      </c>
      <c r="K2146">
        <v>0</v>
      </c>
    </row>
    <row r="2147" spans="1:11" x14ac:dyDescent="0.25">
      <c r="A2147" t="s">
        <v>1695</v>
      </c>
      <c r="B2147" t="s">
        <v>512</v>
      </c>
      <c r="C2147" t="s">
        <v>1694</v>
      </c>
      <c r="D2147" t="s">
        <v>50</v>
      </c>
      <c r="E2147" s="8" t="s">
        <v>1487</v>
      </c>
      <c r="F2147">
        <v>0.34200000000000003</v>
      </c>
      <c r="G2147" t="s">
        <v>78</v>
      </c>
      <c r="H2147" t="e">
        <f>VLOOKUP(Tabla3[[#This Row],[DESCRIPCION MATERIAL]],'CODIGO MAT'!$C$2:$D$390,2,FALSE)</f>
        <v>#N/A</v>
      </c>
      <c r="I2147" s="64" t="s">
        <v>50</v>
      </c>
      <c r="J2147">
        <v>1</v>
      </c>
      <c r="K2147">
        <v>0</v>
      </c>
    </row>
    <row r="2148" spans="1:11" x14ac:dyDescent="0.25">
      <c r="A2148" t="s">
        <v>1695</v>
      </c>
      <c r="B2148" t="s">
        <v>512</v>
      </c>
      <c r="C2148" t="s">
        <v>1694</v>
      </c>
      <c r="D2148" t="s">
        <v>50</v>
      </c>
      <c r="E2148" s="8" t="s">
        <v>11</v>
      </c>
      <c r="F2148">
        <v>0.14899999999999999</v>
      </c>
      <c r="G2148" t="s">
        <v>78</v>
      </c>
      <c r="H2148" t="str">
        <f>VLOOKUP(Tabla3[[#This Row],[DESCRIPCION MATERIAL]],'CODIGO MAT'!$C$2:$D$390,2,FALSE)</f>
        <v>TEL0000149</v>
      </c>
      <c r="J2148">
        <v>1</v>
      </c>
      <c r="K2148">
        <v>0</v>
      </c>
    </row>
    <row r="2149" spans="1:11" x14ac:dyDescent="0.25">
      <c r="A2149" t="s">
        <v>1695</v>
      </c>
      <c r="B2149" t="s">
        <v>512</v>
      </c>
      <c r="C2149" t="s">
        <v>1694</v>
      </c>
      <c r="D2149" t="s">
        <v>50</v>
      </c>
      <c r="E2149" s="8" t="s">
        <v>186</v>
      </c>
      <c r="F2149">
        <v>0</v>
      </c>
      <c r="G2149" t="s">
        <v>78</v>
      </c>
      <c r="H2149" t="str">
        <f>VLOOKUP(Tabla3[[#This Row],[DESCRIPCION MATERIAL]],'CODIGO MAT'!$C$2:$D$390,2,FALSE)</f>
        <v>TEL0000113</v>
      </c>
      <c r="J2149">
        <v>1</v>
      </c>
      <c r="K2149">
        <v>0</v>
      </c>
    </row>
    <row r="2150" spans="1:11" x14ac:dyDescent="0.25">
      <c r="A2150" t="s">
        <v>1695</v>
      </c>
      <c r="B2150" t="s">
        <v>512</v>
      </c>
      <c r="C2150" t="s">
        <v>1694</v>
      </c>
      <c r="D2150" t="s">
        <v>50</v>
      </c>
      <c r="E2150" s="8" t="s">
        <v>244</v>
      </c>
      <c r="F2150">
        <v>2.8000000000000001E-2</v>
      </c>
      <c r="G2150" t="s">
        <v>78</v>
      </c>
      <c r="H2150" t="str">
        <f>VLOOKUP(Tabla3[[#This Row],[DESCRIPCION MATERIAL]],'CODIGO MAT'!$C$2:$D$390,2,FALSE)</f>
        <v>TEL0000172</v>
      </c>
      <c r="J2150">
        <v>1</v>
      </c>
      <c r="K2150">
        <v>0</v>
      </c>
    </row>
    <row r="2151" spans="1:11" x14ac:dyDescent="0.25">
      <c r="A2151" t="s">
        <v>1695</v>
      </c>
      <c r="B2151" t="s">
        <v>512</v>
      </c>
      <c r="C2151" t="s">
        <v>1694</v>
      </c>
      <c r="D2151" t="s">
        <v>50</v>
      </c>
      <c r="E2151" s="8" t="s">
        <v>183</v>
      </c>
      <c r="F2151">
        <v>1.7000000000000001E-2</v>
      </c>
      <c r="G2151" t="s">
        <v>78</v>
      </c>
      <c r="H2151" t="str">
        <f>VLOOKUP(Tabla3[[#This Row],[DESCRIPCION MATERIAL]],'CODIGO MAT'!$C$2:$D$390,2,FALSE)</f>
        <v>TEL0000110</v>
      </c>
      <c r="J2151">
        <v>1</v>
      </c>
      <c r="K2151">
        <v>0</v>
      </c>
    </row>
    <row r="2152" spans="1:11" x14ac:dyDescent="0.25">
      <c r="A2152" t="s">
        <v>1695</v>
      </c>
      <c r="B2152" t="s">
        <v>512</v>
      </c>
      <c r="C2152" t="s">
        <v>1694</v>
      </c>
      <c r="D2152" t="s">
        <v>51</v>
      </c>
      <c r="E2152" s="8" t="s">
        <v>1495</v>
      </c>
      <c r="F2152">
        <v>0.4</v>
      </c>
      <c r="G2152" t="s">
        <v>78</v>
      </c>
      <c r="H2152" t="e">
        <f>VLOOKUP(Tabla3[[#This Row],[DESCRIPCION MATERIAL]],'CODIGO MAT'!$C$2:$D$390,2,FALSE)</f>
        <v>#N/A</v>
      </c>
      <c r="I2152" s="64" t="s">
        <v>51</v>
      </c>
      <c r="J2152">
        <v>1</v>
      </c>
      <c r="K2152">
        <v>0</v>
      </c>
    </row>
    <row r="2153" spans="1:11" x14ac:dyDescent="0.25">
      <c r="A2153" t="s">
        <v>1695</v>
      </c>
      <c r="B2153" t="s">
        <v>512</v>
      </c>
      <c r="C2153" t="s">
        <v>1694</v>
      </c>
      <c r="D2153" t="s">
        <v>51</v>
      </c>
      <c r="E2153" s="8" t="s">
        <v>996</v>
      </c>
      <c r="F2153">
        <v>0.52</v>
      </c>
      <c r="G2153" t="s">
        <v>78</v>
      </c>
      <c r="H2153" t="str">
        <f>VLOOKUP(Tabla3[[#This Row],[DESCRIPCION MATERIAL]],'CODIGO MAT'!$C$2:$D$390,2,FALSE)</f>
        <v>AVI0000148</v>
      </c>
      <c r="J2153">
        <v>1</v>
      </c>
      <c r="K2153">
        <v>0</v>
      </c>
    </row>
    <row r="2154" spans="1:11" x14ac:dyDescent="0.25">
      <c r="A2154" t="s">
        <v>1695</v>
      </c>
      <c r="B2154" t="s">
        <v>512</v>
      </c>
      <c r="C2154" t="s">
        <v>1694</v>
      </c>
      <c r="D2154" t="s">
        <v>51</v>
      </c>
      <c r="E2154" s="8" t="s">
        <v>315</v>
      </c>
      <c r="F2154">
        <v>0.15</v>
      </c>
      <c r="G2154" t="s">
        <v>78</v>
      </c>
      <c r="H2154" t="str">
        <f>VLOOKUP(Tabla3[[#This Row],[DESCRIPCION MATERIAL]],'CODIGO MAT'!$C$2:$D$390,2,FALSE)</f>
        <v>AVI0000055</v>
      </c>
      <c r="J2154">
        <v>1</v>
      </c>
      <c r="K2154">
        <v>0</v>
      </c>
    </row>
    <row r="2155" spans="1:11" x14ac:dyDescent="0.25">
      <c r="A2155" t="s">
        <v>1695</v>
      </c>
      <c r="B2155" t="s">
        <v>512</v>
      </c>
      <c r="C2155" t="s">
        <v>1694</v>
      </c>
      <c r="D2155" t="s">
        <v>51</v>
      </c>
      <c r="E2155" s="8" t="s">
        <v>1698</v>
      </c>
      <c r="F2155">
        <v>1</v>
      </c>
      <c r="G2155" t="s">
        <v>396</v>
      </c>
      <c r="H2155" t="e">
        <f>VLOOKUP(Tabla3[[#This Row],[DESCRIPCION MATERIAL]],'CODIGO MAT'!$C$2:$D$390,2,FALSE)</f>
        <v>#N/A</v>
      </c>
      <c r="I2155" s="64" t="s">
        <v>51</v>
      </c>
    </row>
    <row r="2156" spans="1:11" x14ac:dyDescent="0.25">
      <c r="A2156" t="s">
        <v>1700</v>
      </c>
      <c r="B2156" t="s">
        <v>512</v>
      </c>
      <c r="C2156" t="s">
        <v>1699</v>
      </c>
      <c r="D2156" t="s">
        <v>50</v>
      </c>
      <c r="E2156" s="8" t="s">
        <v>149</v>
      </c>
      <c r="F2156">
        <v>0.28999999999999998</v>
      </c>
      <c r="G2156" t="s">
        <v>78</v>
      </c>
      <c r="H2156" t="str">
        <f>VLOOKUP(Tabla3[[#This Row],[DESCRIPCION MATERIAL]],'CODIGO MAT'!$C$2:$D$390,2,FALSE)</f>
        <v>TEL0000076</v>
      </c>
      <c r="J2156">
        <v>1</v>
      </c>
      <c r="K2156">
        <v>0</v>
      </c>
    </row>
    <row r="2157" spans="1:11" x14ac:dyDescent="0.25">
      <c r="A2157" t="s">
        <v>1700</v>
      </c>
      <c r="B2157" t="s">
        <v>512</v>
      </c>
      <c r="C2157" t="s">
        <v>1699</v>
      </c>
      <c r="D2157" t="s">
        <v>50</v>
      </c>
      <c r="E2157" s="8" t="s">
        <v>1693</v>
      </c>
      <c r="F2157">
        <v>0.62</v>
      </c>
      <c r="G2157" t="s">
        <v>78</v>
      </c>
      <c r="H2157" t="e">
        <f>VLOOKUP(Tabla3[[#This Row],[DESCRIPCION MATERIAL]],'CODIGO MAT'!$C$2:$D$390,2,FALSE)</f>
        <v>#N/A</v>
      </c>
      <c r="I2157" s="64" t="s">
        <v>51</v>
      </c>
      <c r="J2157">
        <v>1</v>
      </c>
      <c r="K2157">
        <v>0</v>
      </c>
    </row>
    <row r="2158" spans="1:11" x14ac:dyDescent="0.25">
      <c r="A2158" t="s">
        <v>1700</v>
      </c>
      <c r="B2158" t="s">
        <v>512</v>
      </c>
      <c r="C2158" t="s">
        <v>1699</v>
      </c>
      <c r="D2158" t="s">
        <v>50</v>
      </c>
      <c r="E2158" s="8" t="s">
        <v>1487</v>
      </c>
      <c r="F2158">
        <v>0.16</v>
      </c>
      <c r="G2158" t="s">
        <v>78</v>
      </c>
      <c r="H2158" t="e">
        <f>VLOOKUP(Tabla3[[#This Row],[DESCRIPCION MATERIAL]],'CODIGO MAT'!$C$2:$D$390,2,FALSE)</f>
        <v>#N/A</v>
      </c>
      <c r="I2158" s="64" t="s">
        <v>51</v>
      </c>
      <c r="J2158">
        <v>1</v>
      </c>
      <c r="K2158">
        <v>0</v>
      </c>
    </row>
    <row r="2159" spans="1:11" x14ac:dyDescent="0.25">
      <c r="A2159" t="s">
        <v>1700</v>
      </c>
      <c r="B2159" t="s">
        <v>512</v>
      </c>
      <c r="C2159" t="s">
        <v>1699</v>
      </c>
      <c r="D2159" t="s">
        <v>50</v>
      </c>
      <c r="E2159" s="8" t="s">
        <v>1256</v>
      </c>
      <c r="F2159">
        <v>0.32100000000000001</v>
      </c>
      <c r="G2159" t="s">
        <v>78</v>
      </c>
      <c r="H2159" t="e">
        <f>VLOOKUP(Tabla3[[#This Row],[DESCRIPCION MATERIAL]],'CODIGO MAT'!$C$2:$D$390,2,FALSE)</f>
        <v>#N/A</v>
      </c>
      <c r="I2159" s="64" t="s">
        <v>51</v>
      </c>
      <c r="J2159">
        <v>1</v>
      </c>
      <c r="K2159">
        <v>0</v>
      </c>
    </row>
    <row r="2160" spans="1:11" x14ac:dyDescent="0.25">
      <c r="A2160" t="s">
        <v>1700</v>
      </c>
      <c r="B2160" t="s">
        <v>512</v>
      </c>
      <c r="C2160" t="s">
        <v>1699</v>
      </c>
      <c r="D2160" t="s">
        <v>50</v>
      </c>
      <c r="E2160" s="8" t="s">
        <v>11</v>
      </c>
      <c r="F2160">
        <v>0.14299999999999999</v>
      </c>
      <c r="G2160" t="s">
        <v>78</v>
      </c>
      <c r="H2160" t="str">
        <f>VLOOKUP(Tabla3[[#This Row],[DESCRIPCION MATERIAL]],'CODIGO MAT'!$C$2:$D$390,2,FALSE)</f>
        <v>TEL0000149</v>
      </c>
      <c r="J2160">
        <v>1</v>
      </c>
      <c r="K2160">
        <v>0</v>
      </c>
    </row>
    <row r="2161" spans="1:11" x14ac:dyDescent="0.25">
      <c r="A2161" t="s">
        <v>1700</v>
      </c>
      <c r="B2161" t="s">
        <v>512</v>
      </c>
      <c r="C2161" t="s">
        <v>1699</v>
      </c>
      <c r="D2161" t="s">
        <v>50</v>
      </c>
      <c r="E2161" s="8" t="s">
        <v>187</v>
      </c>
      <c r="F2161">
        <v>6.2E-2</v>
      </c>
      <c r="G2161" t="s">
        <v>78</v>
      </c>
      <c r="H2161" t="str">
        <f>VLOOKUP(Tabla3[[#This Row],[DESCRIPCION MATERIAL]],'CODIGO MAT'!$C$2:$D$390,2,FALSE)</f>
        <v>TEL0000114</v>
      </c>
      <c r="J2161">
        <v>1</v>
      </c>
      <c r="K2161">
        <v>0</v>
      </c>
    </row>
    <row r="2162" spans="1:11" x14ac:dyDescent="0.25">
      <c r="A2162" t="s">
        <v>1700</v>
      </c>
      <c r="B2162" t="s">
        <v>512</v>
      </c>
      <c r="C2162" t="s">
        <v>1699</v>
      </c>
      <c r="D2162" t="s">
        <v>51</v>
      </c>
      <c r="E2162" s="8" t="s">
        <v>379</v>
      </c>
      <c r="F2162">
        <v>1</v>
      </c>
      <c r="G2162" t="s">
        <v>396</v>
      </c>
      <c r="H2162" t="str">
        <f>VLOOKUP(Tabla3[[#This Row],[DESCRIPCION MATERIAL]],'CODIGO MAT'!$C$2:$D$390,2,FALSE)</f>
        <v>AVI0000116</v>
      </c>
      <c r="J2162">
        <v>1</v>
      </c>
      <c r="K2162">
        <v>0</v>
      </c>
    </row>
    <row r="2163" spans="1:11" x14ac:dyDescent="0.25">
      <c r="A2163" t="s">
        <v>1700</v>
      </c>
      <c r="B2163" t="s">
        <v>512</v>
      </c>
      <c r="C2163" t="s">
        <v>1699</v>
      </c>
      <c r="D2163" t="s">
        <v>50</v>
      </c>
      <c r="E2163" s="8" t="s">
        <v>244</v>
      </c>
      <c r="F2163">
        <v>2.3E-2</v>
      </c>
      <c r="G2163" t="s">
        <v>78</v>
      </c>
      <c r="H2163" t="str">
        <f>VLOOKUP(Tabla3[[#This Row],[DESCRIPCION MATERIAL]],'CODIGO MAT'!$C$2:$D$390,2,FALSE)</f>
        <v>TEL0000172</v>
      </c>
      <c r="J2163">
        <v>1</v>
      </c>
      <c r="K2163">
        <v>0</v>
      </c>
    </row>
    <row r="2164" spans="1:11" x14ac:dyDescent="0.25">
      <c r="A2164" t="s">
        <v>1700</v>
      </c>
      <c r="B2164" t="s">
        <v>512</v>
      </c>
      <c r="C2164" t="s">
        <v>1699</v>
      </c>
      <c r="D2164" t="s">
        <v>51</v>
      </c>
      <c r="E2164" s="8" t="s">
        <v>404</v>
      </c>
      <c r="F2164">
        <v>1</v>
      </c>
      <c r="G2164" t="s">
        <v>396</v>
      </c>
      <c r="H2164" t="str">
        <f>VLOOKUP(Tabla3[[#This Row],[DESCRIPCION MATERIAL]],'CODIGO MAT'!$C$2:$D$390,2,FALSE)</f>
        <v>AVI0000139</v>
      </c>
    </row>
    <row r="2165" spans="1:11" x14ac:dyDescent="0.25">
      <c r="A2165" t="s">
        <v>1700</v>
      </c>
      <c r="B2165" t="s">
        <v>512</v>
      </c>
      <c r="C2165" t="s">
        <v>1699</v>
      </c>
      <c r="D2165" t="s">
        <v>51</v>
      </c>
      <c r="E2165" s="8" t="s">
        <v>1697</v>
      </c>
      <c r="F2165">
        <v>0.88</v>
      </c>
      <c r="G2165" t="s">
        <v>78</v>
      </c>
      <c r="H2165" t="e">
        <f>VLOOKUP(Tabla3[[#This Row],[DESCRIPCION MATERIAL]],'CODIGO MAT'!$C$2:$D$390,2,FALSE)</f>
        <v>#N/A</v>
      </c>
      <c r="I2165" s="64" t="s">
        <v>51</v>
      </c>
      <c r="J2165">
        <v>1</v>
      </c>
      <c r="K2165">
        <v>0</v>
      </c>
    </row>
    <row r="2166" spans="1:11" x14ac:dyDescent="0.25">
      <c r="A2166" t="s">
        <v>1700</v>
      </c>
      <c r="B2166" t="s">
        <v>512</v>
      </c>
      <c r="C2166" t="s">
        <v>1699</v>
      </c>
      <c r="D2166" t="s">
        <v>51</v>
      </c>
      <c r="E2166" s="8" t="s">
        <v>1696</v>
      </c>
      <c r="F2166">
        <v>1.6</v>
      </c>
      <c r="G2166" t="s">
        <v>78</v>
      </c>
      <c r="H2166" t="e">
        <f>VLOOKUP(Tabla3[[#This Row],[DESCRIPCION MATERIAL]],'CODIGO MAT'!$C$2:$D$390,2,FALSE)</f>
        <v>#N/A</v>
      </c>
      <c r="I2166" s="64" t="s">
        <v>51</v>
      </c>
      <c r="J2166">
        <v>1</v>
      </c>
      <c r="K2166">
        <v>0</v>
      </c>
    </row>
    <row r="2167" spans="1:11" x14ac:dyDescent="0.25">
      <c r="A2167" t="s">
        <v>1700</v>
      </c>
      <c r="B2167" t="s">
        <v>512</v>
      </c>
      <c r="C2167" t="s">
        <v>1699</v>
      </c>
      <c r="D2167" t="s">
        <v>51</v>
      </c>
      <c r="E2167" s="8" t="s">
        <v>1698</v>
      </c>
      <c r="F2167">
        <v>1</v>
      </c>
      <c r="G2167" t="s">
        <v>396</v>
      </c>
      <c r="H2167" t="e">
        <f>VLOOKUP(Tabla3[[#This Row],[DESCRIPCION MATERIAL]],'CODIGO MAT'!$C$2:$D$390,2,FALSE)</f>
        <v>#N/A</v>
      </c>
      <c r="I2167" s="64" t="s">
        <v>51</v>
      </c>
    </row>
    <row r="2168" spans="1:11" x14ac:dyDescent="0.25">
      <c r="A2168" t="s">
        <v>1704</v>
      </c>
      <c r="B2168" t="s">
        <v>512</v>
      </c>
      <c r="C2168" t="s">
        <v>1701</v>
      </c>
      <c r="D2168" t="s">
        <v>50</v>
      </c>
      <c r="E2168" s="8" t="s">
        <v>12</v>
      </c>
      <c r="F2168">
        <v>0.93</v>
      </c>
      <c r="G2168" t="s">
        <v>78</v>
      </c>
      <c r="H2168" t="str">
        <f>VLOOKUP(Tabla3[[#This Row],[DESCRIPCION MATERIAL]],'CODIGO MAT'!$C$2:$D$390,2,FALSE)</f>
        <v>TEL0000040</v>
      </c>
      <c r="J2168">
        <v>1</v>
      </c>
      <c r="K2168">
        <v>0</v>
      </c>
    </row>
    <row r="2169" spans="1:11" x14ac:dyDescent="0.25">
      <c r="A2169" t="s">
        <v>1704</v>
      </c>
      <c r="B2169" t="s">
        <v>512</v>
      </c>
      <c r="C2169" t="s">
        <v>1702</v>
      </c>
      <c r="D2169" t="s">
        <v>51</v>
      </c>
      <c r="E2169" s="8" t="s">
        <v>1607</v>
      </c>
      <c r="F2169">
        <v>0.51</v>
      </c>
      <c r="G2169" t="s">
        <v>78</v>
      </c>
      <c r="H2169" t="e">
        <f>VLOOKUP(Tabla3[[#This Row],[DESCRIPCION MATERIAL]],'CODIGO MAT'!$C$2:$D$390,2,FALSE)</f>
        <v>#N/A</v>
      </c>
      <c r="I2169" s="64" t="s">
        <v>51</v>
      </c>
      <c r="J2169">
        <v>1</v>
      </c>
      <c r="K2169">
        <v>0</v>
      </c>
    </row>
    <row r="2170" spans="1:11" x14ac:dyDescent="0.25">
      <c r="A2170" t="s">
        <v>1704</v>
      </c>
      <c r="B2170" t="s">
        <v>512</v>
      </c>
      <c r="C2170" t="s">
        <v>1703</v>
      </c>
      <c r="D2170" t="s">
        <v>51</v>
      </c>
      <c r="E2170" s="8" t="s">
        <v>35</v>
      </c>
      <c r="F2170">
        <v>3.06</v>
      </c>
      <c r="G2170" t="s">
        <v>78</v>
      </c>
      <c r="H2170" t="str">
        <f>VLOOKUP(Tabla3[[#This Row],[DESCRIPCION MATERIAL]],'CODIGO MAT'!$C$2:$D$390,2,FALSE)</f>
        <v>AVI0000031</v>
      </c>
      <c r="J2170">
        <v>1</v>
      </c>
      <c r="K2170">
        <v>0</v>
      </c>
    </row>
    <row r="2171" spans="1:11" x14ac:dyDescent="0.25">
      <c r="A2171" t="s">
        <v>1706</v>
      </c>
      <c r="B2171" t="s">
        <v>512</v>
      </c>
      <c r="C2171" t="s">
        <v>1705</v>
      </c>
      <c r="D2171" t="s">
        <v>50</v>
      </c>
      <c r="E2171" s="8" t="s">
        <v>12</v>
      </c>
      <c r="F2171">
        <v>0.93</v>
      </c>
      <c r="G2171" t="s">
        <v>78</v>
      </c>
      <c r="H2171" t="str">
        <f>VLOOKUP(Tabla3[[#This Row],[DESCRIPCION MATERIAL]],'CODIGO MAT'!$C$2:$D$390,2,FALSE)</f>
        <v>TEL0000040</v>
      </c>
      <c r="J2171">
        <v>1</v>
      </c>
      <c r="K2171">
        <v>0</v>
      </c>
    </row>
    <row r="2172" spans="1:11" x14ac:dyDescent="0.25">
      <c r="A2172" t="s">
        <v>1706</v>
      </c>
      <c r="B2172" t="s">
        <v>512</v>
      </c>
      <c r="C2172" t="s">
        <v>1705</v>
      </c>
      <c r="D2172" t="s">
        <v>50</v>
      </c>
      <c r="E2172" s="8" t="s">
        <v>33</v>
      </c>
      <c r="F2172">
        <v>0.30099999999999999</v>
      </c>
      <c r="G2172" t="s">
        <v>78</v>
      </c>
      <c r="H2172" t="str">
        <f>VLOOKUP(Tabla3[[#This Row],[DESCRIPCION MATERIAL]],'CODIGO MAT'!$C$2:$D$390,2,FALSE)</f>
        <v>TEL0000043</v>
      </c>
      <c r="J2172">
        <v>1</v>
      </c>
      <c r="K2172">
        <v>0</v>
      </c>
    </row>
    <row r="2173" spans="1:11" x14ac:dyDescent="0.25">
      <c r="A2173" t="s">
        <v>1706</v>
      </c>
      <c r="B2173" t="s">
        <v>512</v>
      </c>
      <c r="C2173" t="s">
        <v>1705</v>
      </c>
      <c r="D2173" t="s">
        <v>50</v>
      </c>
      <c r="E2173" s="8" t="s">
        <v>155</v>
      </c>
      <c r="F2173">
        <v>1.6E-2</v>
      </c>
      <c r="G2173" t="s">
        <v>78</v>
      </c>
      <c r="H2173" t="str">
        <f>VLOOKUP(Tabla3[[#This Row],[DESCRIPCION MATERIAL]],'CODIGO MAT'!$C$2:$D$390,2,FALSE)</f>
        <v>TEL0000082</v>
      </c>
      <c r="J2173">
        <v>1</v>
      </c>
      <c r="K2173">
        <v>0</v>
      </c>
    </row>
    <row r="2174" spans="1:11" x14ac:dyDescent="0.25">
      <c r="A2174" t="s">
        <v>1709</v>
      </c>
      <c r="B2174" t="s">
        <v>512</v>
      </c>
      <c r="C2174" t="s">
        <v>1708</v>
      </c>
      <c r="D2174" t="s">
        <v>50</v>
      </c>
      <c r="E2174" s="8" t="s">
        <v>12</v>
      </c>
      <c r="F2174">
        <v>0.93</v>
      </c>
      <c r="G2174" t="s">
        <v>78</v>
      </c>
      <c r="H2174" t="str">
        <f>VLOOKUP(Tabla3[[#This Row],[DESCRIPCION MATERIAL]],'CODIGO MAT'!$C$2:$D$390,2,FALSE)</f>
        <v>TEL0000040</v>
      </c>
      <c r="J2174">
        <v>1</v>
      </c>
      <c r="K2174">
        <v>0</v>
      </c>
    </row>
    <row r="2175" spans="1:11" x14ac:dyDescent="0.25">
      <c r="A2175" t="s">
        <v>1709</v>
      </c>
      <c r="B2175" t="s">
        <v>512</v>
      </c>
      <c r="C2175" t="s">
        <v>1708</v>
      </c>
      <c r="D2175" t="s">
        <v>50</v>
      </c>
      <c r="E2175" s="8" t="s">
        <v>1707</v>
      </c>
      <c r="F2175">
        <v>0.53500000000000003</v>
      </c>
      <c r="G2175" t="s">
        <v>78</v>
      </c>
      <c r="H2175" t="e">
        <f>VLOOKUP(Tabla3[[#This Row],[DESCRIPCION MATERIAL]],'CODIGO MAT'!$C$2:$D$390,2,FALSE)</f>
        <v>#N/A</v>
      </c>
      <c r="I2175" s="64" t="s">
        <v>50</v>
      </c>
      <c r="J2175">
        <v>1</v>
      </c>
      <c r="K2175">
        <v>0</v>
      </c>
    </row>
    <row r="2176" spans="1:11" x14ac:dyDescent="0.25">
      <c r="A2176" t="s">
        <v>1709</v>
      </c>
      <c r="B2176" t="s">
        <v>512</v>
      </c>
      <c r="C2176" t="s">
        <v>1708</v>
      </c>
      <c r="D2176" t="s">
        <v>50</v>
      </c>
      <c r="E2176" s="8" t="s">
        <v>1231</v>
      </c>
      <c r="F2176">
        <v>0.28799999999999998</v>
      </c>
      <c r="G2176" t="s">
        <v>78</v>
      </c>
      <c r="H2176" t="e">
        <f>VLOOKUP(Tabla3[[#This Row],[DESCRIPCION MATERIAL]],'CODIGO MAT'!$C$2:$D$390,2,FALSE)</f>
        <v>#N/A</v>
      </c>
      <c r="I2176" s="64" t="s">
        <v>50</v>
      </c>
      <c r="J2176">
        <v>1</v>
      </c>
      <c r="K2176">
        <v>0</v>
      </c>
    </row>
    <row r="2177" spans="1:11" x14ac:dyDescent="0.25">
      <c r="A2177" t="s">
        <v>1709</v>
      </c>
      <c r="B2177" t="s">
        <v>512</v>
      </c>
      <c r="C2177" t="s">
        <v>1708</v>
      </c>
      <c r="D2177" t="s">
        <v>51</v>
      </c>
      <c r="E2177" s="8" t="s">
        <v>34</v>
      </c>
      <c r="F2177">
        <v>0.28000000000000003</v>
      </c>
      <c r="G2177" t="s">
        <v>78</v>
      </c>
      <c r="H2177" t="str">
        <f>VLOOKUP(Tabla3[[#This Row],[DESCRIPCION MATERIAL]],'CODIGO MAT'!$C$2:$D$390,2,FALSE)</f>
        <v>AVI0000034</v>
      </c>
      <c r="J2177">
        <v>1</v>
      </c>
      <c r="K2177">
        <v>0</v>
      </c>
    </row>
    <row r="2178" spans="1:11" x14ac:dyDescent="0.25">
      <c r="A2178" t="s">
        <v>1709</v>
      </c>
      <c r="B2178" t="s">
        <v>512</v>
      </c>
      <c r="C2178" t="s">
        <v>1708</v>
      </c>
      <c r="D2178" t="s">
        <v>51</v>
      </c>
      <c r="E2178" s="8" t="s">
        <v>35</v>
      </c>
      <c r="F2178">
        <v>2.2599999999999998</v>
      </c>
      <c r="G2178" t="s">
        <v>78</v>
      </c>
      <c r="H2178" t="str">
        <f>VLOOKUP(Tabla3[[#This Row],[DESCRIPCION MATERIAL]],'CODIGO MAT'!$C$2:$D$390,2,FALSE)</f>
        <v>AVI0000031</v>
      </c>
      <c r="J2178">
        <v>1</v>
      </c>
      <c r="K2178">
        <v>0</v>
      </c>
    </row>
    <row r="2179" spans="1:11" x14ac:dyDescent="0.25">
      <c r="A2179" t="s">
        <v>1709</v>
      </c>
      <c r="B2179" t="s">
        <v>512</v>
      </c>
      <c r="C2179" t="s">
        <v>1708</v>
      </c>
      <c r="D2179" t="s">
        <v>51</v>
      </c>
      <c r="E2179" s="8" t="s">
        <v>356</v>
      </c>
      <c r="F2179">
        <v>0.4</v>
      </c>
      <c r="G2179" t="s">
        <v>78</v>
      </c>
      <c r="H2179" t="str">
        <f>VLOOKUP(Tabla3[[#This Row],[DESCRIPCION MATERIAL]],'CODIGO MAT'!$C$2:$D$390,2,FALSE)</f>
        <v>AVI0000094</v>
      </c>
      <c r="J2179">
        <v>1</v>
      </c>
      <c r="K2179">
        <v>0</v>
      </c>
    </row>
    <row r="2180" spans="1:11" x14ac:dyDescent="0.25">
      <c r="A2180" t="s">
        <v>1709</v>
      </c>
      <c r="B2180" t="s">
        <v>512</v>
      </c>
      <c r="C2180" t="s">
        <v>1708</v>
      </c>
      <c r="D2180" t="s">
        <v>51</v>
      </c>
      <c r="E2180" s="8" t="s">
        <v>315</v>
      </c>
      <c r="F2180">
        <v>0.2</v>
      </c>
      <c r="G2180" t="s">
        <v>78</v>
      </c>
      <c r="H2180" t="str">
        <f>VLOOKUP(Tabla3[[#This Row],[DESCRIPCION MATERIAL]],'CODIGO MAT'!$C$2:$D$390,2,FALSE)</f>
        <v>AVI0000055</v>
      </c>
      <c r="J2180">
        <v>1</v>
      </c>
      <c r="K2180">
        <v>0</v>
      </c>
    </row>
    <row r="2181" spans="1:11" x14ac:dyDescent="0.25">
      <c r="A2181" t="s">
        <v>1711</v>
      </c>
      <c r="B2181" t="s">
        <v>512</v>
      </c>
      <c r="C2181" t="s">
        <v>1710</v>
      </c>
      <c r="D2181" t="s">
        <v>50</v>
      </c>
      <c r="E2181" s="8" t="s">
        <v>123</v>
      </c>
      <c r="F2181">
        <v>0.93</v>
      </c>
      <c r="G2181" t="s">
        <v>78</v>
      </c>
      <c r="H2181" t="str">
        <f>VLOOKUP(Tabla3[[#This Row],[DESCRIPCION MATERIAL]],'CODIGO MAT'!$C$2:$D$390,2,FALSE)</f>
        <v>TEL0000050</v>
      </c>
      <c r="J2181">
        <v>1</v>
      </c>
      <c r="K2181">
        <v>0</v>
      </c>
    </row>
    <row r="2182" spans="1:11" x14ac:dyDescent="0.25">
      <c r="A2182" t="s">
        <v>1711</v>
      </c>
      <c r="B2182" t="s">
        <v>512</v>
      </c>
      <c r="C2182" t="s">
        <v>1710</v>
      </c>
      <c r="D2182" t="s">
        <v>50</v>
      </c>
      <c r="E2182" s="8" t="s">
        <v>33</v>
      </c>
      <c r="F2182">
        <v>0.71299999999999997</v>
      </c>
      <c r="G2182" t="s">
        <v>78</v>
      </c>
      <c r="H2182" t="str">
        <f>VLOOKUP(Tabla3[[#This Row],[DESCRIPCION MATERIAL]],'CODIGO MAT'!$C$2:$D$390,2,FALSE)</f>
        <v>TEL0000043</v>
      </c>
      <c r="J2182">
        <v>1</v>
      </c>
      <c r="K2182">
        <v>0</v>
      </c>
    </row>
    <row r="2183" spans="1:11" x14ac:dyDescent="0.25">
      <c r="A2183" t="s">
        <v>1711</v>
      </c>
      <c r="B2183" t="s">
        <v>512</v>
      </c>
      <c r="C2183" t="s">
        <v>1710</v>
      </c>
      <c r="D2183" t="s">
        <v>50</v>
      </c>
      <c r="E2183" s="8" t="s">
        <v>11</v>
      </c>
      <c r="F2183">
        <v>9.2999999999999999E-2</v>
      </c>
      <c r="G2183" t="s">
        <v>78</v>
      </c>
      <c r="H2183" t="str">
        <f>VLOOKUP(Tabla3[[#This Row],[DESCRIPCION MATERIAL]],'CODIGO MAT'!$C$2:$D$390,2,FALSE)</f>
        <v>TEL0000149</v>
      </c>
      <c r="J2183">
        <v>1</v>
      </c>
      <c r="K2183">
        <v>0</v>
      </c>
    </row>
    <row r="2184" spans="1:11" x14ac:dyDescent="0.25">
      <c r="A2184" t="s">
        <v>1711</v>
      </c>
      <c r="B2184" t="s">
        <v>512</v>
      </c>
      <c r="C2184" t="s">
        <v>1710</v>
      </c>
      <c r="D2184" t="s">
        <v>50</v>
      </c>
      <c r="E2184" s="8" t="s">
        <v>1251</v>
      </c>
      <c r="F2184">
        <v>0.11799999999999999</v>
      </c>
      <c r="G2184" t="s">
        <v>78</v>
      </c>
      <c r="H2184" t="e">
        <f>VLOOKUP(Tabla3[[#This Row],[DESCRIPCION MATERIAL]],'CODIGO MAT'!$C$2:$D$390,2,FALSE)</f>
        <v>#N/A</v>
      </c>
      <c r="I2184" s="64" t="s">
        <v>50</v>
      </c>
      <c r="J2184">
        <v>1</v>
      </c>
      <c r="K2184">
        <v>0</v>
      </c>
    </row>
    <row r="2185" spans="1:11" x14ac:dyDescent="0.25">
      <c r="A2185" t="s">
        <v>1711</v>
      </c>
      <c r="B2185" t="s">
        <v>512</v>
      </c>
      <c r="C2185" t="s">
        <v>1710</v>
      </c>
      <c r="D2185" t="s">
        <v>50</v>
      </c>
      <c r="E2185" s="8" t="s">
        <v>1687</v>
      </c>
      <c r="F2185">
        <v>7.0000000000000007E-2</v>
      </c>
      <c r="G2185" t="s">
        <v>78</v>
      </c>
      <c r="H2185" t="e">
        <f>VLOOKUP(Tabla3[[#This Row],[DESCRIPCION MATERIAL]],'CODIGO MAT'!$C$2:$D$390,2,FALSE)</f>
        <v>#N/A</v>
      </c>
      <c r="I2185" s="64" t="s">
        <v>50</v>
      </c>
      <c r="J2185">
        <v>1</v>
      </c>
      <c r="K2185">
        <v>0</v>
      </c>
    </row>
    <row r="2186" spans="1:11" x14ac:dyDescent="0.25">
      <c r="A2186" t="s">
        <v>1711</v>
      </c>
      <c r="B2186" t="s">
        <v>512</v>
      </c>
      <c r="C2186" t="s">
        <v>1710</v>
      </c>
      <c r="D2186" t="s">
        <v>51</v>
      </c>
      <c r="E2186" s="8" t="s">
        <v>34</v>
      </c>
      <c r="F2186">
        <v>2.11</v>
      </c>
      <c r="G2186" t="s">
        <v>78</v>
      </c>
      <c r="H2186" t="str">
        <f>VLOOKUP(Tabla3[[#This Row],[DESCRIPCION MATERIAL]],'CODIGO MAT'!$C$2:$D$390,2,FALSE)</f>
        <v>AVI0000034</v>
      </c>
      <c r="J2186">
        <v>1</v>
      </c>
      <c r="K2186">
        <v>0.9</v>
      </c>
    </row>
    <row r="2187" spans="1:11" x14ac:dyDescent="0.25">
      <c r="A2187" t="s">
        <v>1711</v>
      </c>
      <c r="B2187" t="s">
        <v>512</v>
      </c>
      <c r="C2187" t="s">
        <v>1710</v>
      </c>
      <c r="D2187" t="s">
        <v>51</v>
      </c>
      <c r="E2187" s="8" t="s">
        <v>364</v>
      </c>
      <c r="F2187">
        <v>0.4</v>
      </c>
      <c r="G2187" t="s">
        <v>78</v>
      </c>
      <c r="H2187" t="str">
        <f>VLOOKUP(Tabla3[[#This Row],[DESCRIPCION MATERIAL]],'CODIGO MAT'!$C$2:$D$390,2,FALSE)</f>
        <v>AVI0000102</v>
      </c>
      <c r="J2187">
        <v>1</v>
      </c>
      <c r="K2187">
        <v>0</v>
      </c>
    </row>
    <row r="2188" spans="1:11" x14ac:dyDescent="0.25">
      <c r="A2188" t="s">
        <v>1711</v>
      </c>
      <c r="B2188" t="s">
        <v>512</v>
      </c>
      <c r="C2188" t="s">
        <v>1710</v>
      </c>
      <c r="D2188" t="s">
        <v>51</v>
      </c>
      <c r="E2188" s="8" t="s">
        <v>363</v>
      </c>
      <c r="F2188">
        <v>0.04</v>
      </c>
      <c r="G2188" t="s">
        <v>78</v>
      </c>
      <c r="H2188" t="str">
        <f>VLOOKUP(Tabla3[[#This Row],[DESCRIPCION MATERIAL]],'CODIGO MAT'!$C$2:$D$390,2,FALSE)</f>
        <v>AVI0000101</v>
      </c>
      <c r="J2188">
        <v>1</v>
      </c>
      <c r="K2188">
        <v>0</v>
      </c>
    </row>
    <row r="2189" spans="1:11" x14ac:dyDescent="0.25">
      <c r="A2189" t="s">
        <v>1721</v>
      </c>
      <c r="B2189" t="s">
        <v>512</v>
      </c>
      <c r="C2189" t="s">
        <v>1713</v>
      </c>
      <c r="D2189" t="s">
        <v>50</v>
      </c>
      <c r="E2189" s="8" t="s">
        <v>1712</v>
      </c>
      <c r="F2189">
        <v>0.93</v>
      </c>
      <c r="G2189" t="s">
        <v>78</v>
      </c>
      <c r="H2189" t="e">
        <f>VLOOKUP(Tabla3[[#This Row],[DESCRIPCION MATERIAL]],'CODIGO MAT'!$C$2:$D$390,2,FALSE)</f>
        <v>#N/A</v>
      </c>
      <c r="I2189" s="64" t="s">
        <v>50</v>
      </c>
      <c r="J2189">
        <v>1</v>
      </c>
      <c r="K2189">
        <v>0</v>
      </c>
    </row>
    <row r="2190" spans="1:11" x14ac:dyDescent="0.25">
      <c r="A2190" t="s">
        <v>1721</v>
      </c>
      <c r="B2190" t="s">
        <v>512</v>
      </c>
      <c r="C2190" t="s">
        <v>1714</v>
      </c>
      <c r="D2190" t="s">
        <v>50</v>
      </c>
      <c r="E2190" s="8" t="s">
        <v>13</v>
      </c>
      <c r="F2190">
        <v>0.64400000000000002</v>
      </c>
      <c r="G2190" t="s">
        <v>78</v>
      </c>
      <c r="H2190" t="str">
        <f>VLOOKUP(Tabla3[[#This Row],[DESCRIPCION MATERIAL]],'CODIGO MAT'!$C$2:$D$390,2,FALSE)</f>
        <v>TEL0000042</v>
      </c>
      <c r="J2190">
        <v>1</v>
      </c>
      <c r="K2190">
        <v>0</v>
      </c>
    </row>
    <row r="2191" spans="1:11" x14ac:dyDescent="0.25">
      <c r="A2191" t="s">
        <v>1721</v>
      </c>
      <c r="B2191" t="s">
        <v>512</v>
      </c>
      <c r="C2191" t="s">
        <v>1715</v>
      </c>
      <c r="D2191" t="s">
        <v>50</v>
      </c>
      <c r="E2191" s="8" t="s">
        <v>164</v>
      </c>
      <c r="F2191">
        <v>5.5E-2</v>
      </c>
      <c r="G2191" t="s">
        <v>78</v>
      </c>
      <c r="H2191" t="str">
        <f>VLOOKUP(Tabla3[[#This Row],[DESCRIPCION MATERIAL]],'CODIGO MAT'!$C$2:$D$390,2,FALSE)</f>
        <v>TEL0000091</v>
      </c>
      <c r="J2191">
        <v>1</v>
      </c>
      <c r="K2191">
        <v>0</v>
      </c>
    </row>
    <row r="2192" spans="1:11" x14ac:dyDescent="0.25">
      <c r="A2192" t="s">
        <v>1721</v>
      </c>
      <c r="B2192" t="s">
        <v>512</v>
      </c>
      <c r="C2192" t="s">
        <v>1716</v>
      </c>
      <c r="D2192" t="s">
        <v>50</v>
      </c>
      <c r="E2192" s="8" t="s">
        <v>1251</v>
      </c>
      <c r="F2192">
        <v>0.11799999999999999</v>
      </c>
      <c r="G2192" t="s">
        <v>78</v>
      </c>
      <c r="H2192" t="e">
        <f>VLOOKUP(Tabla3[[#This Row],[DESCRIPCION MATERIAL]],'CODIGO MAT'!$C$2:$D$390,2,FALSE)</f>
        <v>#N/A</v>
      </c>
      <c r="I2192" s="64" t="s">
        <v>50</v>
      </c>
      <c r="J2192">
        <v>1</v>
      </c>
      <c r="K2192">
        <v>0</v>
      </c>
    </row>
    <row r="2193" spans="1:11" x14ac:dyDescent="0.25">
      <c r="A2193" t="s">
        <v>1721</v>
      </c>
      <c r="B2193" t="s">
        <v>512</v>
      </c>
      <c r="C2193" t="s">
        <v>1717</v>
      </c>
      <c r="D2193" t="s">
        <v>50</v>
      </c>
      <c r="E2193" s="8" t="s">
        <v>1687</v>
      </c>
      <c r="F2193">
        <v>7.0000000000000007E-2</v>
      </c>
      <c r="G2193" t="s">
        <v>78</v>
      </c>
      <c r="H2193" t="e">
        <f>VLOOKUP(Tabla3[[#This Row],[DESCRIPCION MATERIAL]],'CODIGO MAT'!$C$2:$D$390,2,FALSE)</f>
        <v>#N/A</v>
      </c>
      <c r="I2193" s="64" t="s">
        <v>50</v>
      </c>
      <c r="J2193">
        <v>1</v>
      </c>
      <c r="K2193">
        <v>0</v>
      </c>
    </row>
    <row r="2194" spans="1:11" x14ac:dyDescent="0.25">
      <c r="A2194" t="s">
        <v>1721</v>
      </c>
      <c r="B2194" t="s">
        <v>512</v>
      </c>
      <c r="C2194" t="s">
        <v>1718</v>
      </c>
      <c r="D2194" t="s">
        <v>51</v>
      </c>
      <c r="E2194" s="8" t="s">
        <v>34</v>
      </c>
      <c r="F2194">
        <v>1.21</v>
      </c>
      <c r="G2194" t="s">
        <v>78</v>
      </c>
      <c r="H2194" t="str">
        <f>VLOOKUP(Tabla3[[#This Row],[DESCRIPCION MATERIAL]],'CODIGO MAT'!$C$2:$D$390,2,FALSE)</f>
        <v>AVI0000034</v>
      </c>
      <c r="J2194">
        <v>1</v>
      </c>
      <c r="K2194">
        <v>0</v>
      </c>
    </row>
    <row r="2195" spans="1:11" x14ac:dyDescent="0.25">
      <c r="A2195" t="s">
        <v>1721</v>
      </c>
      <c r="B2195" t="s">
        <v>512</v>
      </c>
      <c r="C2195" t="s">
        <v>1719</v>
      </c>
      <c r="D2195" t="s">
        <v>51</v>
      </c>
      <c r="E2195" s="8" t="s">
        <v>362</v>
      </c>
      <c r="F2195">
        <v>0.4</v>
      </c>
      <c r="G2195" t="s">
        <v>78</v>
      </c>
      <c r="H2195" t="str">
        <f>VLOOKUP(Tabla3[[#This Row],[DESCRIPCION MATERIAL]],'CODIGO MAT'!$C$2:$D$390,2,FALSE)</f>
        <v>AVI0000100</v>
      </c>
      <c r="J2195">
        <v>1</v>
      </c>
      <c r="K2195">
        <v>0</v>
      </c>
    </row>
    <row r="2196" spans="1:11" x14ac:dyDescent="0.25">
      <c r="A2196" t="s">
        <v>1721</v>
      </c>
      <c r="B2196" t="s">
        <v>512</v>
      </c>
      <c r="C2196" t="s">
        <v>1720</v>
      </c>
      <c r="D2196" t="s">
        <v>51</v>
      </c>
      <c r="E2196" s="8" t="s">
        <v>1466</v>
      </c>
      <c r="F2196">
        <v>0.4</v>
      </c>
      <c r="G2196" t="s">
        <v>78</v>
      </c>
      <c r="H2196" t="e">
        <f>VLOOKUP(Tabla3[[#This Row],[DESCRIPCION MATERIAL]],'CODIGO MAT'!$C$2:$D$390,2,FALSE)</f>
        <v>#N/A</v>
      </c>
      <c r="I2196" s="64" t="s">
        <v>51</v>
      </c>
      <c r="J2196">
        <v>1</v>
      </c>
      <c r="K2196">
        <v>0</v>
      </c>
    </row>
    <row r="2197" spans="1:11" x14ac:dyDescent="0.25">
      <c r="A2197" t="s">
        <v>1724</v>
      </c>
      <c r="B2197" t="s">
        <v>512</v>
      </c>
      <c r="C2197" t="s">
        <v>1723</v>
      </c>
      <c r="D2197" t="s">
        <v>50</v>
      </c>
      <c r="E2197" s="8" t="s">
        <v>138</v>
      </c>
      <c r="F2197">
        <v>0.93</v>
      </c>
      <c r="G2197" t="s">
        <v>78</v>
      </c>
      <c r="H2197" t="str">
        <f>VLOOKUP(Tabla3[[#This Row],[DESCRIPCION MATERIAL]],'CODIGO MAT'!$C$2:$D$390,2,FALSE)</f>
        <v>TEL0000065</v>
      </c>
      <c r="J2197">
        <v>1</v>
      </c>
      <c r="K2197">
        <v>0</v>
      </c>
    </row>
    <row r="2198" spans="1:11" x14ac:dyDescent="0.25">
      <c r="A2198" t="s">
        <v>1724</v>
      </c>
      <c r="B2198" t="s">
        <v>512</v>
      </c>
      <c r="C2198" t="s">
        <v>1723</v>
      </c>
      <c r="D2198" t="s">
        <v>50</v>
      </c>
      <c r="E2198" s="8" t="s">
        <v>131</v>
      </c>
      <c r="F2198">
        <v>0.64400000000000002</v>
      </c>
      <c r="G2198" t="s">
        <v>78</v>
      </c>
      <c r="H2198" t="str">
        <f>VLOOKUP(Tabla3[[#This Row],[DESCRIPCION MATERIAL]],'CODIGO MAT'!$C$2:$D$390,2,FALSE)</f>
        <v>TEL0000058</v>
      </c>
      <c r="J2198">
        <v>1</v>
      </c>
      <c r="K2198">
        <v>0</v>
      </c>
    </row>
    <row r="2199" spans="1:11" x14ac:dyDescent="0.25">
      <c r="A2199" t="s">
        <v>1724</v>
      </c>
      <c r="B2199" t="s">
        <v>512</v>
      </c>
      <c r="C2199" t="s">
        <v>1723</v>
      </c>
      <c r="D2199" t="s">
        <v>50</v>
      </c>
      <c r="E2199" s="8" t="s">
        <v>164</v>
      </c>
      <c r="F2199">
        <v>5.5E-2</v>
      </c>
      <c r="G2199" t="s">
        <v>78</v>
      </c>
      <c r="H2199" t="str">
        <f>VLOOKUP(Tabla3[[#This Row],[DESCRIPCION MATERIAL]],'CODIGO MAT'!$C$2:$D$390,2,FALSE)</f>
        <v>TEL0000091</v>
      </c>
      <c r="J2199">
        <v>1</v>
      </c>
      <c r="K2199">
        <v>0</v>
      </c>
    </row>
    <row r="2200" spans="1:11" x14ac:dyDescent="0.25">
      <c r="A2200" t="s">
        <v>1724</v>
      </c>
      <c r="B2200" t="s">
        <v>512</v>
      </c>
      <c r="C2200" t="s">
        <v>1723</v>
      </c>
      <c r="D2200" t="s">
        <v>50</v>
      </c>
      <c r="E2200" s="8" t="s">
        <v>1251</v>
      </c>
      <c r="F2200">
        <v>0.11799999999999999</v>
      </c>
      <c r="G2200" t="s">
        <v>78</v>
      </c>
      <c r="H2200" t="e">
        <f>VLOOKUP(Tabla3[[#This Row],[DESCRIPCION MATERIAL]],'CODIGO MAT'!$C$2:$D$390,2,FALSE)</f>
        <v>#N/A</v>
      </c>
      <c r="I2200" s="64" t="s">
        <v>50</v>
      </c>
      <c r="J2200">
        <v>1</v>
      </c>
      <c r="K2200">
        <v>0</v>
      </c>
    </row>
    <row r="2201" spans="1:11" x14ac:dyDescent="0.25">
      <c r="A2201" t="s">
        <v>1724</v>
      </c>
      <c r="B2201" t="s">
        <v>512</v>
      </c>
      <c r="C2201" t="s">
        <v>1723</v>
      </c>
      <c r="D2201" t="s">
        <v>50</v>
      </c>
      <c r="E2201" s="8" t="s">
        <v>1687</v>
      </c>
      <c r="F2201">
        <v>7.0000000000000007E-2</v>
      </c>
      <c r="G2201" t="s">
        <v>78</v>
      </c>
      <c r="H2201" t="e">
        <f>VLOOKUP(Tabla3[[#This Row],[DESCRIPCION MATERIAL]],'CODIGO MAT'!$C$2:$D$390,2,FALSE)</f>
        <v>#N/A</v>
      </c>
      <c r="I2201" s="64" t="s">
        <v>50</v>
      </c>
      <c r="J2201">
        <v>1</v>
      </c>
      <c r="K2201">
        <v>0</v>
      </c>
    </row>
    <row r="2202" spans="1:11" x14ac:dyDescent="0.25">
      <c r="A2202" t="s">
        <v>1724</v>
      </c>
      <c r="B2202" t="s">
        <v>512</v>
      </c>
      <c r="C2202" t="s">
        <v>1723</v>
      </c>
      <c r="D2202" t="s">
        <v>51</v>
      </c>
      <c r="E2202" s="8" t="s">
        <v>34</v>
      </c>
      <c r="F2202">
        <v>1.21</v>
      </c>
      <c r="G2202" t="s">
        <v>78</v>
      </c>
      <c r="H2202" t="str">
        <f>VLOOKUP(Tabla3[[#This Row],[DESCRIPCION MATERIAL]],'CODIGO MAT'!$C$2:$D$390,2,FALSE)</f>
        <v>AVI0000034</v>
      </c>
      <c r="J2202">
        <v>1</v>
      </c>
      <c r="K2202">
        <v>0</v>
      </c>
    </row>
    <row r="2203" spans="1:11" x14ac:dyDescent="0.25">
      <c r="A2203" t="s">
        <v>1724</v>
      </c>
      <c r="B2203" t="s">
        <v>512</v>
      </c>
      <c r="C2203" t="s">
        <v>1723</v>
      </c>
      <c r="D2203" t="s">
        <v>51</v>
      </c>
      <c r="E2203" s="8" t="s">
        <v>360</v>
      </c>
      <c r="F2203">
        <v>0.4</v>
      </c>
      <c r="G2203" t="s">
        <v>78</v>
      </c>
      <c r="H2203" t="str">
        <f>VLOOKUP(Tabla3[[#This Row],[DESCRIPCION MATERIAL]],'CODIGO MAT'!$C$2:$D$390,2,FALSE)</f>
        <v>AVI0000098</v>
      </c>
      <c r="J2203">
        <v>1</v>
      </c>
      <c r="K2203">
        <v>0</v>
      </c>
    </row>
    <row r="2204" spans="1:11" x14ac:dyDescent="0.25">
      <c r="A2204" t="s">
        <v>1724</v>
      </c>
      <c r="B2204" t="s">
        <v>512</v>
      </c>
      <c r="C2204" t="s">
        <v>1723</v>
      </c>
      <c r="D2204" t="s">
        <v>51</v>
      </c>
      <c r="E2204" s="8" t="s">
        <v>1722</v>
      </c>
      <c r="F2204">
        <v>0.4</v>
      </c>
      <c r="G2204" t="s">
        <v>78</v>
      </c>
      <c r="H2204" t="e">
        <f>VLOOKUP(Tabla3[[#This Row],[DESCRIPCION MATERIAL]],'CODIGO MAT'!$C$2:$D$390,2,FALSE)</f>
        <v>#N/A</v>
      </c>
      <c r="I2204" s="64" t="s">
        <v>51</v>
      </c>
      <c r="J2204">
        <v>1</v>
      </c>
      <c r="K2204">
        <v>0</v>
      </c>
    </row>
    <row r="2205" spans="1:11" x14ac:dyDescent="0.25">
      <c r="A2205" t="s">
        <v>1726</v>
      </c>
      <c r="B2205" t="s">
        <v>512</v>
      </c>
      <c r="C2205" t="s">
        <v>1725</v>
      </c>
      <c r="D2205" t="s">
        <v>50</v>
      </c>
      <c r="E2205" s="8" t="s">
        <v>136</v>
      </c>
      <c r="F2205">
        <v>1.05</v>
      </c>
      <c r="G2205" t="s">
        <v>78</v>
      </c>
      <c r="H2205" t="str">
        <f>VLOOKUP(Tabla3[[#This Row],[DESCRIPCION MATERIAL]],'CODIGO MAT'!$C$2:$D$390,2,FALSE)</f>
        <v>TEL0000063</v>
      </c>
      <c r="J2205">
        <v>1</v>
      </c>
      <c r="K2205">
        <v>0</v>
      </c>
    </row>
    <row r="2206" spans="1:11" x14ac:dyDescent="0.25">
      <c r="A2206" t="s">
        <v>1726</v>
      </c>
      <c r="B2206" t="s">
        <v>512</v>
      </c>
      <c r="C2206" t="s">
        <v>1725</v>
      </c>
      <c r="D2206" t="s">
        <v>50</v>
      </c>
      <c r="E2206" s="8" t="s">
        <v>127</v>
      </c>
      <c r="F2206">
        <v>0.65</v>
      </c>
      <c r="G2206" t="s">
        <v>78</v>
      </c>
      <c r="H2206" t="str">
        <f>VLOOKUP(Tabla3[[#This Row],[DESCRIPCION MATERIAL]],'CODIGO MAT'!$C$2:$D$390,2,FALSE)</f>
        <v>TEL0000054</v>
      </c>
      <c r="J2206">
        <v>1</v>
      </c>
      <c r="K2206">
        <v>0</v>
      </c>
    </row>
    <row r="2207" spans="1:11" x14ac:dyDescent="0.25">
      <c r="A2207" t="s">
        <v>1726</v>
      </c>
      <c r="B2207" t="s">
        <v>512</v>
      </c>
      <c r="C2207" t="s">
        <v>1725</v>
      </c>
      <c r="D2207" t="s">
        <v>50</v>
      </c>
      <c r="E2207" s="8" t="s">
        <v>11</v>
      </c>
      <c r="F2207">
        <v>9.2999999999999999E-2</v>
      </c>
      <c r="G2207" t="s">
        <v>78</v>
      </c>
      <c r="H2207" t="str">
        <f>VLOOKUP(Tabla3[[#This Row],[DESCRIPCION MATERIAL]],'CODIGO MAT'!$C$2:$D$390,2,FALSE)</f>
        <v>TEL0000149</v>
      </c>
      <c r="J2207">
        <v>1</v>
      </c>
      <c r="K2207">
        <v>0</v>
      </c>
    </row>
    <row r="2208" spans="1:11" x14ac:dyDescent="0.25">
      <c r="A2208" t="s">
        <v>1726</v>
      </c>
      <c r="B2208" t="s">
        <v>512</v>
      </c>
      <c r="C2208" t="s">
        <v>1725</v>
      </c>
      <c r="D2208" t="s">
        <v>51</v>
      </c>
      <c r="E2208" s="8" t="s">
        <v>34</v>
      </c>
      <c r="F2208">
        <v>1.1499999999999999</v>
      </c>
      <c r="G2208" t="s">
        <v>78</v>
      </c>
      <c r="H2208" t="str">
        <f>VLOOKUP(Tabla3[[#This Row],[DESCRIPCION MATERIAL]],'CODIGO MAT'!$C$2:$D$390,2,FALSE)</f>
        <v>AVI0000034</v>
      </c>
      <c r="J2208">
        <v>1</v>
      </c>
      <c r="K2208">
        <v>0.9</v>
      </c>
    </row>
    <row r="2209" spans="1:11" x14ac:dyDescent="0.25">
      <c r="A2209" t="s">
        <v>1726</v>
      </c>
      <c r="B2209" t="s">
        <v>512</v>
      </c>
      <c r="C2209" t="s">
        <v>1725</v>
      </c>
      <c r="D2209" t="s">
        <v>51</v>
      </c>
      <c r="E2209" s="8" t="s">
        <v>357</v>
      </c>
      <c r="F2209">
        <v>0.4</v>
      </c>
      <c r="G2209" t="s">
        <v>78</v>
      </c>
      <c r="H2209" t="str">
        <f>VLOOKUP(Tabla3[[#This Row],[DESCRIPCION MATERIAL]],'CODIGO MAT'!$C$2:$D$390,2,FALSE)</f>
        <v>AVI0000095</v>
      </c>
      <c r="J2209">
        <v>1</v>
      </c>
      <c r="K2209">
        <v>0</v>
      </c>
    </row>
    <row r="2210" spans="1:11" x14ac:dyDescent="0.25">
      <c r="A2210" t="s">
        <v>1728</v>
      </c>
      <c r="B2210" t="s">
        <v>512</v>
      </c>
      <c r="C2210" t="s">
        <v>1727</v>
      </c>
      <c r="D2210" t="s">
        <v>50</v>
      </c>
      <c r="E2210" s="8" t="s">
        <v>126</v>
      </c>
      <c r="F2210">
        <v>1.05</v>
      </c>
      <c r="G2210" t="s">
        <v>78</v>
      </c>
      <c r="H2210" t="str">
        <f>VLOOKUP(Tabla3[[#This Row],[DESCRIPCION MATERIAL]],'CODIGO MAT'!$C$2:$D$390,2,FALSE)</f>
        <v>TEL0000053</v>
      </c>
      <c r="J2210">
        <v>1</v>
      </c>
      <c r="K2210">
        <v>0</v>
      </c>
    </row>
    <row r="2211" spans="1:11" x14ac:dyDescent="0.25">
      <c r="A2211" t="s">
        <v>1728</v>
      </c>
      <c r="B2211" t="s">
        <v>512</v>
      </c>
      <c r="C2211" t="s">
        <v>1727</v>
      </c>
      <c r="D2211" t="s">
        <v>50</v>
      </c>
      <c r="E2211" s="8" t="s">
        <v>131</v>
      </c>
      <c r="F2211">
        <v>0.55800000000000005</v>
      </c>
      <c r="G2211" t="s">
        <v>78</v>
      </c>
      <c r="H2211" t="str">
        <f>VLOOKUP(Tabla3[[#This Row],[DESCRIPCION MATERIAL]],'CODIGO MAT'!$C$2:$D$390,2,FALSE)</f>
        <v>TEL0000058</v>
      </c>
      <c r="J2211">
        <v>1</v>
      </c>
      <c r="K2211">
        <v>0</v>
      </c>
    </row>
    <row r="2212" spans="1:11" x14ac:dyDescent="0.25">
      <c r="A2212" t="s">
        <v>1728</v>
      </c>
      <c r="B2212" t="s">
        <v>512</v>
      </c>
      <c r="C2212" t="s">
        <v>1727</v>
      </c>
      <c r="D2212" t="s">
        <v>50</v>
      </c>
      <c r="E2212" s="8" t="s">
        <v>11</v>
      </c>
      <c r="F2212">
        <v>9.2999999999999999E-2</v>
      </c>
      <c r="G2212" t="s">
        <v>78</v>
      </c>
      <c r="H2212" t="str">
        <f>VLOOKUP(Tabla3[[#This Row],[DESCRIPCION MATERIAL]],'CODIGO MAT'!$C$2:$D$390,2,FALSE)</f>
        <v>TEL0000149</v>
      </c>
      <c r="J2212">
        <v>1</v>
      </c>
      <c r="K2212">
        <v>0</v>
      </c>
    </row>
    <row r="2213" spans="1:11" x14ac:dyDescent="0.25">
      <c r="A2213" t="s">
        <v>1728</v>
      </c>
      <c r="B2213" t="s">
        <v>512</v>
      </c>
      <c r="C2213" t="s">
        <v>1727</v>
      </c>
      <c r="D2213" t="s">
        <v>51</v>
      </c>
      <c r="E2213" s="8" t="s">
        <v>34</v>
      </c>
      <c r="F2213">
        <v>5.03</v>
      </c>
      <c r="G2213" t="s">
        <v>78</v>
      </c>
      <c r="H2213" t="str">
        <f>VLOOKUP(Tabla3[[#This Row],[DESCRIPCION MATERIAL]],'CODIGO MAT'!$C$2:$D$390,2,FALSE)</f>
        <v>AVI0000034</v>
      </c>
      <c r="J2213">
        <v>1</v>
      </c>
      <c r="K2213">
        <v>0.9</v>
      </c>
    </row>
    <row r="2214" spans="1:11" x14ac:dyDescent="0.25">
      <c r="A2214" t="s">
        <v>1728</v>
      </c>
      <c r="B2214" t="s">
        <v>512</v>
      </c>
      <c r="C2214" t="s">
        <v>1727</v>
      </c>
      <c r="D2214" t="s">
        <v>51</v>
      </c>
      <c r="E2214" s="8" t="s">
        <v>361</v>
      </c>
      <c r="F2214">
        <v>0.4</v>
      </c>
      <c r="G2214" t="s">
        <v>78</v>
      </c>
      <c r="H2214" t="str">
        <f>VLOOKUP(Tabla3[[#This Row],[DESCRIPCION MATERIAL]],'CODIGO MAT'!$C$2:$D$390,2,FALSE)</f>
        <v>AVI0000099</v>
      </c>
      <c r="J2214">
        <v>1</v>
      </c>
      <c r="K2214">
        <v>0</v>
      </c>
    </row>
    <row r="2215" spans="1:11" x14ac:dyDescent="0.25">
      <c r="E2215" s="8"/>
      <c r="H2215" t="e">
        <f>VLOOKUP(Tabla3[[#This Row],[DESCRIPCION MATERIAL]],'CODIGO MAT'!$C$2:$D$390,2,FALSE)</f>
        <v>#N/A</v>
      </c>
    </row>
    <row r="2216" spans="1:11" x14ac:dyDescent="0.25">
      <c r="E2216" s="65"/>
      <c r="H2216" s="66" t="e">
        <f>VLOOKUP(Tabla3[[#This Row],[DESCRIPCION MATERIAL]],'CODIGO MAT'!$C$2:$D$390,2,FALSE)</f>
        <v>#N/A</v>
      </c>
    </row>
  </sheetData>
  <phoneticPr fontId="2" type="noConversion"/>
  <dataValidations count="1">
    <dataValidation type="list" allowBlank="1" showInputMessage="1" showErrorMessage="1" sqref="E22:E2216" xr:uid="{7295DDDF-E400-4F90-9E74-873666D9104C}">
      <formula1>INDIRECT("T_Materiales[Materiales]")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9E98-DE05-498C-A807-0D303C201155}">
  <sheetPr codeName="Hoja12"/>
  <dimension ref="B1:T666"/>
  <sheetViews>
    <sheetView zoomScale="142" zoomScaleNormal="142" workbookViewId="0">
      <pane ySplit="2" topLeftCell="A573" activePane="bottomLeft" state="frozen"/>
      <selection pane="bottomLeft" activeCell="D87" sqref="D87"/>
    </sheetView>
  </sheetViews>
  <sheetFormatPr baseColWidth="10" defaultColWidth="11.5703125" defaultRowHeight="15" x14ac:dyDescent="0.25"/>
  <cols>
    <col min="1" max="1" width="3.42578125" style="12" customWidth="1"/>
    <col min="2" max="2" width="22.7109375" style="12" customWidth="1"/>
    <col min="3" max="3" width="44.5703125" style="12" bestFit="1" customWidth="1"/>
    <col min="4" max="4" width="28.28515625" style="12" bestFit="1" customWidth="1"/>
    <col min="5" max="5" width="19.7109375" style="12" customWidth="1"/>
    <col min="6" max="6" width="10.42578125" style="12" customWidth="1"/>
    <col min="7" max="12" width="9.42578125" style="12" customWidth="1"/>
    <col min="13" max="14" width="9.42578125" style="21" customWidth="1"/>
    <col min="16" max="17" width="20.5703125" style="12" customWidth="1"/>
    <col min="18" max="18" width="21.28515625" style="12" customWidth="1"/>
    <col min="19" max="19" width="11.5703125" style="12" customWidth="1"/>
    <col min="20" max="20" width="17" style="22" bestFit="1" customWidth="1"/>
    <col min="21" max="21" width="21.28515625" style="12" customWidth="1"/>
    <col min="22" max="23" width="11.5703125" style="12"/>
    <col min="24" max="24" width="18.85546875" style="12" customWidth="1"/>
    <col min="25" max="25" width="13.7109375" style="12" customWidth="1"/>
    <col min="26" max="26" width="20.140625" style="12" customWidth="1"/>
    <col min="27" max="27" width="43.5703125" style="12" bestFit="1" customWidth="1"/>
    <col min="28" max="16384" width="11.5703125" style="12"/>
  </cols>
  <sheetData>
    <row r="1" spans="2:7" x14ac:dyDescent="0.25">
      <c r="B1" s="9" t="s">
        <v>71</v>
      </c>
      <c r="C1" s="9"/>
      <c r="D1" s="10"/>
      <c r="E1" s="11" t="s">
        <v>72</v>
      </c>
      <c r="F1" s="11"/>
      <c r="G1" s="3"/>
    </row>
    <row r="2" spans="2:7" x14ac:dyDescent="0.25">
      <c r="B2" s="2" t="s">
        <v>19</v>
      </c>
      <c r="C2" s="2" t="s">
        <v>71</v>
      </c>
      <c r="D2" s="2" t="s">
        <v>73</v>
      </c>
      <c r="E2" s="2" t="s">
        <v>74</v>
      </c>
      <c r="F2" s="2" t="s">
        <v>75</v>
      </c>
      <c r="G2" s="2" t="s">
        <v>76</v>
      </c>
    </row>
    <row r="3" spans="2:7" ht="18" customHeight="1" x14ac:dyDescent="0.25">
      <c r="B3" s="2" t="s">
        <v>406</v>
      </c>
      <c r="C3" s="12" t="s">
        <v>428</v>
      </c>
      <c r="D3" s="8" t="s">
        <v>408</v>
      </c>
      <c r="E3" s="45">
        <v>60</v>
      </c>
      <c r="F3" s="16">
        <v>1</v>
      </c>
      <c r="G3" s="2" t="s">
        <v>426</v>
      </c>
    </row>
    <row r="4" spans="2:7" x14ac:dyDescent="0.25">
      <c r="B4" s="2" t="s">
        <v>406</v>
      </c>
      <c r="C4" s="12" t="s">
        <v>429</v>
      </c>
      <c r="D4" s="8" t="s">
        <v>408</v>
      </c>
      <c r="E4" s="45">
        <v>16</v>
      </c>
      <c r="F4" s="16">
        <v>1</v>
      </c>
      <c r="G4" s="2" t="s">
        <v>426</v>
      </c>
    </row>
    <row r="5" spans="2:7" x14ac:dyDescent="0.25">
      <c r="B5" s="2" t="s">
        <v>50</v>
      </c>
      <c r="C5" s="2" t="s">
        <v>164</v>
      </c>
      <c r="D5" s="2" t="s">
        <v>78</v>
      </c>
      <c r="E5" s="45">
        <v>12</v>
      </c>
      <c r="F5" s="13">
        <v>1</v>
      </c>
      <c r="G5" s="2" t="str">
        <f>IFERROR(VLOOKUP(T_Materiales[[#This Row],[UNIDAD DE COMPRA]],#REF!,3,0),"")</f>
        <v/>
      </c>
    </row>
    <row r="6" spans="2:7" x14ac:dyDescent="0.25">
      <c r="B6" s="2" t="s">
        <v>50</v>
      </c>
      <c r="C6" s="2" t="s">
        <v>165</v>
      </c>
      <c r="D6" s="2" t="s">
        <v>78</v>
      </c>
      <c r="E6" s="45">
        <v>12</v>
      </c>
      <c r="F6" s="13">
        <v>1</v>
      </c>
      <c r="G6" s="14" t="str">
        <f>IFERROR(VLOOKUP(T_Materiales[[#This Row],[UNIDAD DE COMPRA]],#REF!,3,0),"")</f>
        <v/>
      </c>
    </row>
    <row r="7" spans="2:7" x14ac:dyDescent="0.25">
      <c r="B7" s="2" t="s">
        <v>50</v>
      </c>
      <c r="C7" s="2" t="s">
        <v>162</v>
      </c>
      <c r="D7" s="2" t="s">
        <v>78</v>
      </c>
      <c r="E7" s="46">
        <v>15</v>
      </c>
      <c r="F7" s="13">
        <v>1</v>
      </c>
      <c r="G7" s="14" t="str">
        <f>IFERROR(VLOOKUP(T_Materiales[[#This Row],[UNIDAD DE COMPRA]],#REF!,3,0),"")</f>
        <v/>
      </c>
    </row>
    <row r="8" spans="2:7" x14ac:dyDescent="0.25">
      <c r="B8" s="2" t="s">
        <v>50</v>
      </c>
      <c r="C8" s="2" t="s">
        <v>163</v>
      </c>
      <c r="D8" s="2" t="s">
        <v>78</v>
      </c>
      <c r="E8" s="46">
        <v>15</v>
      </c>
      <c r="F8" s="13">
        <v>1</v>
      </c>
      <c r="G8" s="2" t="str">
        <f>IFERROR(VLOOKUP(T_Materiales[[#This Row],[UNIDAD DE COMPRA]],#REF!,3,0),"")</f>
        <v/>
      </c>
    </row>
    <row r="9" spans="2:7" x14ac:dyDescent="0.25">
      <c r="B9" s="2" t="s">
        <v>258</v>
      </c>
      <c r="C9" s="2" t="s">
        <v>427</v>
      </c>
      <c r="D9" s="8" t="s">
        <v>78</v>
      </c>
      <c r="E9" s="45">
        <v>4</v>
      </c>
      <c r="F9" s="16">
        <v>1</v>
      </c>
      <c r="G9" s="2" t="str">
        <f>IFERROR(VLOOKUP(T_Materiales[[#This Row],[UNIDAD DE COMPRA]],#REF!,3,0),"")</f>
        <v/>
      </c>
    </row>
    <row r="10" spans="2:7" x14ac:dyDescent="0.25">
      <c r="B10" s="2" t="s">
        <v>258</v>
      </c>
      <c r="C10" s="2" t="s">
        <v>403</v>
      </c>
      <c r="D10" s="8" t="s">
        <v>286</v>
      </c>
      <c r="E10" s="45">
        <v>50</v>
      </c>
      <c r="F10" s="13">
        <v>1</v>
      </c>
      <c r="G10" s="2" t="str">
        <f>IFERROR(VLOOKUP(T_Materiales[[#This Row],[UNIDAD DE COMPRA]],#REF!,3,0),"")</f>
        <v/>
      </c>
    </row>
    <row r="11" spans="2:7" x14ac:dyDescent="0.25">
      <c r="B11" s="2" t="s">
        <v>258</v>
      </c>
      <c r="C11" s="8" t="s">
        <v>1124</v>
      </c>
      <c r="D11" s="8" t="s">
        <v>1123</v>
      </c>
      <c r="E11" s="46">
        <v>60</v>
      </c>
      <c r="F11" s="13">
        <v>1</v>
      </c>
      <c r="G11" s="2" t="s">
        <v>396</v>
      </c>
    </row>
    <row r="12" spans="2:7" x14ac:dyDescent="0.25">
      <c r="B12" s="2" t="s">
        <v>258</v>
      </c>
      <c r="C12" s="2" t="s">
        <v>36</v>
      </c>
      <c r="D12" s="8" t="s">
        <v>381</v>
      </c>
      <c r="E12" s="45">
        <v>50</v>
      </c>
      <c r="F12" s="13">
        <v>1</v>
      </c>
      <c r="G12" s="2" t="str">
        <f>IFERROR(VLOOKUP(T_Materiales[[#This Row],[UNIDAD DE COMPRA]],#REF!,3,0),"")</f>
        <v/>
      </c>
    </row>
    <row r="13" spans="2:7" x14ac:dyDescent="0.25">
      <c r="B13" s="2" t="s">
        <v>258</v>
      </c>
      <c r="C13" s="2" t="s">
        <v>401</v>
      </c>
      <c r="D13" s="8" t="s">
        <v>381</v>
      </c>
      <c r="E13" s="45">
        <v>75</v>
      </c>
      <c r="F13" s="13">
        <v>1</v>
      </c>
      <c r="G13" s="2" t="str">
        <f>IFERROR(VLOOKUP(T_Materiales[[#This Row],[UNIDAD DE COMPRA]],#REF!,3,0),"")</f>
        <v/>
      </c>
    </row>
    <row r="14" spans="2:7" x14ac:dyDescent="0.25">
      <c r="B14" s="2" t="s">
        <v>258</v>
      </c>
      <c r="C14" s="8" t="s">
        <v>398</v>
      </c>
      <c r="D14" s="8" t="s">
        <v>381</v>
      </c>
      <c r="E14" s="45">
        <v>30</v>
      </c>
      <c r="F14" s="13">
        <v>1</v>
      </c>
      <c r="G14" s="2" t="str">
        <f>IFERROR(VLOOKUP(T_Materiales[[#This Row],[UNIDAD DE COMPRA]],#REF!,3,0),"")</f>
        <v/>
      </c>
    </row>
    <row r="15" spans="2:7" x14ac:dyDescent="0.25">
      <c r="B15" s="2" t="s">
        <v>258</v>
      </c>
      <c r="C15" s="8" t="s">
        <v>399</v>
      </c>
      <c r="D15" s="8" t="s">
        <v>381</v>
      </c>
      <c r="E15" s="45">
        <v>45</v>
      </c>
      <c r="F15" s="13">
        <v>1</v>
      </c>
      <c r="G15" s="2" t="str">
        <f>IFERROR(VLOOKUP(T_Materiales[[#This Row],[UNIDAD DE COMPRA]],#REF!,3,0),"")</f>
        <v/>
      </c>
    </row>
    <row r="16" spans="2:7" x14ac:dyDescent="0.25">
      <c r="B16" s="2" t="s">
        <v>258</v>
      </c>
      <c r="C16" s="2" t="s">
        <v>402</v>
      </c>
      <c r="D16" s="8" t="s">
        <v>381</v>
      </c>
      <c r="E16" s="45">
        <v>65</v>
      </c>
      <c r="F16" s="13">
        <v>1</v>
      </c>
      <c r="G16" s="2" t="str">
        <f>IFERROR(VLOOKUP(T_Materiales[[#This Row],[UNIDAD DE COMPRA]],#REF!,3,0),"")</f>
        <v/>
      </c>
    </row>
    <row r="17" spans="2:7" x14ac:dyDescent="0.25">
      <c r="B17" s="2" t="s">
        <v>258</v>
      </c>
      <c r="C17" s="2" t="s">
        <v>400</v>
      </c>
      <c r="D17" s="8" t="s">
        <v>381</v>
      </c>
      <c r="E17" s="45">
        <v>85</v>
      </c>
      <c r="F17" s="13">
        <v>1</v>
      </c>
      <c r="G17" s="2" t="str">
        <f>IFERROR(VLOOKUP(T_Materiales[[#This Row],[UNIDAD DE COMPRA]],#REF!,3,0),"")</f>
        <v/>
      </c>
    </row>
    <row r="18" spans="2:7" x14ac:dyDescent="0.25">
      <c r="B18" s="2" t="s">
        <v>258</v>
      </c>
      <c r="C18" s="8" t="s">
        <v>394</v>
      </c>
      <c r="D18" s="8" t="s">
        <v>385</v>
      </c>
      <c r="E18" s="45">
        <v>60</v>
      </c>
      <c r="F18" s="13">
        <v>1</v>
      </c>
      <c r="G18" s="2" t="str">
        <f>IFERROR(VLOOKUP(T_Materiales[[#This Row],[UNIDAD DE COMPRA]],#REF!,3,0),"")</f>
        <v/>
      </c>
    </row>
    <row r="19" spans="2:7" x14ac:dyDescent="0.25">
      <c r="B19" s="2" t="s">
        <v>258</v>
      </c>
      <c r="C19" s="8" t="s">
        <v>395</v>
      </c>
      <c r="D19" s="8" t="s">
        <v>385</v>
      </c>
      <c r="E19" s="45">
        <v>60</v>
      </c>
      <c r="F19" s="13">
        <v>1</v>
      </c>
      <c r="G19" s="2" t="s">
        <v>396</v>
      </c>
    </row>
    <row r="20" spans="2:7" x14ac:dyDescent="0.25">
      <c r="B20" s="2" t="s">
        <v>258</v>
      </c>
      <c r="C20" s="8" t="s">
        <v>389</v>
      </c>
      <c r="D20" s="8" t="s">
        <v>385</v>
      </c>
      <c r="E20" s="45">
        <v>60</v>
      </c>
      <c r="F20" s="13">
        <v>1</v>
      </c>
      <c r="G20" s="2" t="str">
        <f>IFERROR(VLOOKUP(T_Materiales[[#This Row],[UNIDAD DE COMPRA]],#REF!,3,0),"")</f>
        <v/>
      </c>
    </row>
    <row r="21" spans="2:7" x14ac:dyDescent="0.25">
      <c r="B21" s="2" t="s">
        <v>258</v>
      </c>
      <c r="C21" s="8" t="s">
        <v>390</v>
      </c>
      <c r="D21" s="8" t="s">
        <v>385</v>
      </c>
      <c r="E21" s="45">
        <v>60</v>
      </c>
      <c r="F21" s="13">
        <v>1</v>
      </c>
      <c r="G21" s="2" t="str">
        <f>IFERROR(VLOOKUP(T_Materiales[[#This Row],[UNIDAD DE COMPRA]],#REF!,3,0),"")</f>
        <v/>
      </c>
    </row>
    <row r="22" spans="2:7" x14ac:dyDescent="0.25">
      <c r="B22" s="2" t="s">
        <v>258</v>
      </c>
      <c r="C22" s="8" t="s">
        <v>387</v>
      </c>
      <c r="D22" s="8" t="s">
        <v>385</v>
      </c>
      <c r="E22" s="45">
        <v>60</v>
      </c>
      <c r="F22" s="13">
        <v>1</v>
      </c>
      <c r="G22" s="2" t="str">
        <f>IFERROR(VLOOKUP(T_Materiales[[#This Row],[UNIDAD DE COMPRA]],#REF!,3,0),"")</f>
        <v/>
      </c>
    </row>
    <row r="23" spans="2:7" x14ac:dyDescent="0.25">
      <c r="B23" s="2" t="s">
        <v>258</v>
      </c>
      <c r="C23" s="8" t="s">
        <v>391</v>
      </c>
      <c r="D23" s="8" t="s">
        <v>385</v>
      </c>
      <c r="E23" s="45">
        <v>60</v>
      </c>
      <c r="F23" s="13">
        <v>1</v>
      </c>
      <c r="G23" s="2" t="str">
        <f>IFERROR(VLOOKUP(T_Materiales[[#This Row],[UNIDAD DE COMPRA]],#REF!,3,0),"")</f>
        <v/>
      </c>
    </row>
    <row r="24" spans="2:7" x14ac:dyDescent="0.25">
      <c r="B24" s="2" t="s">
        <v>258</v>
      </c>
      <c r="C24" s="8" t="s">
        <v>388</v>
      </c>
      <c r="D24" s="8" t="s">
        <v>385</v>
      </c>
      <c r="E24" s="45">
        <v>60</v>
      </c>
      <c r="F24" s="13">
        <v>1</v>
      </c>
      <c r="G24" s="2" t="str">
        <f>IFERROR(VLOOKUP(T_Materiales[[#This Row],[UNIDAD DE COMPRA]],#REF!,3,0),"")</f>
        <v/>
      </c>
    </row>
    <row r="25" spans="2:7" x14ac:dyDescent="0.25">
      <c r="B25" s="2" t="s">
        <v>258</v>
      </c>
      <c r="C25" s="8" t="s">
        <v>392</v>
      </c>
      <c r="D25" s="8" t="s">
        <v>385</v>
      </c>
      <c r="E25" s="45">
        <v>60</v>
      </c>
      <c r="F25" s="13">
        <v>1</v>
      </c>
      <c r="G25" s="2" t="str">
        <f>IFERROR(VLOOKUP(T_Materiales[[#This Row],[UNIDAD DE COMPRA]],#REF!,3,0),"")</f>
        <v/>
      </c>
    </row>
    <row r="26" spans="2:7" x14ac:dyDescent="0.25">
      <c r="B26" s="2" t="s">
        <v>258</v>
      </c>
      <c r="C26" s="8" t="s">
        <v>397</v>
      </c>
      <c r="D26" s="8" t="s">
        <v>385</v>
      </c>
      <c r="E26" s="45">
        <v>60</v>
      </c>
      <c r="F26" s="13">
        <v>1</v>
      </c>
      <c r="G26" s="2" t="str">
        <f>IFERROR(VLOOKUP(T_Materiales[[#This Row],[UNIDAD DE COMPRA]],#REF!,3,0),"")</f>
        <v/>
      </c>
    </row>
    <row r="27" spans="2:7" x14ac:dyDescent="0.25">
      <c r="B27" s="2" t="s">
        <v>258</v>
      </c>
      <c r="C27" s="8" t="s">
        <v>393</v>
      </c>
      <c r="D27" s="8" t="s">
        <v>385</v>
      </c>
      <c r="E27" s="45">
        <v>60</v>
      </c>
      <c r="F27" s="13">
        <v>1</v>
      </c>
      <c r="G27" s="2" t="str">
        <f>IFERROR(VLOOKUP(T_Materiales[[#This Row],[UNIDAD DE COMPRA]],#REF!,3,0),"")</f>
        <v/>
      </c>
    </row>
    <row r="28" spans="2:7" x14ac:dyDescent="0.25">
      <c r="B28" s="2" t="s">
        <v>258</v>
      </c>
      <c r="C28" s="8" t="s">
        <v>386</v>
      </c>
      <c r="D28" s="8" t="s">
        <v>385</v>
      </c>
      <c r="E28" s="45">
        <v>60</v>
      </c>
      <c r="F28" s="13">
        <v>1</v>
      </c>
      <c r="G28" s="2" t="str">
        <f>IFERROR(VLOOKUP(T_Materiales[[#This Row],[UNIDAD DE COMPRA]],#REF!,3,0),"")</f>
        <v/>
      </c>
    </row>
    <row r="29" spans="2:7" x14ac:dyDescent="0.25">
      <c r="B29" s="2" t="s">
        <v>258</v>
      </c>
      <c r="C29" s="8" t="s">
        <v>384</v>
      </c>
      <c r="D29" s="8" t="s">
        <v>385</v>
      </c>
      <c r="E29" s="45">
        <v>60</v>
      </c>
      <c r="F29" s="13">
        <v>1</v>
      </c>
      <c r="G29" s="2" t="str">
        <f>IFERROR(VLOOKUP(T_Materiales[[#This Row],[UNIDAD DE COMPRA]],#REF!,3,0),"")</f>
        <v/>
      </c>
    </row>
    <row r="30" spans="2:7" x14ac:dyDescent="0.25">
      <c r="B30" s="2" t="s">
        <v>258</v>
      </c>
      <c r="C30" s="8" t="s">
        <v>304</v>
      </c>
      <c r="D30" s="8" t="s">
        <v>260</v>
      </c>
      <c r="E30" s="45">
        <v>8</v>
      </c>
      <c r="F30" s="13">
        <v>1</v>
      </c>
      <c r="G30" s="2" t="str">
        <f>IFERROR(VLOOKUP(T_Materiales[[#This Row],[UNIDAD DE COMPRA]],#REF!,3,0),"")</f>
        <v/>
      </c>
    </row>
    <row r="31" spans="2:7" x14ac:dyDescent="0.25">
      <c r="B31" s="2" t="s">
        <v>50</v>
      </c>
      <c r="C31" s="8" t="s">
        <v>248</v>
      </c>
      <c r="D31" s="2" t="s">
        <v>78</v>
      </c>
      <c r="E31" s="45">
        <v>5</v>
      </c>
      <c r="F31" s="13">
        <v>1</v>
      </c>
      <c r="G31" s="14" t="str">
        <f>IFERROR(VLOOKUP(T_Materiales[[#This Row],[UNIDAD DE COMPRA]],#REF!,3,0),"")</f>
        <v/>
      </c>
    </row>
    <row r="32" spans="2:7" x14ac:dyDescent="0.25">
      <c r="B32" s="2" t="s">
        <v>50</v>
      </c>
      <c r="C32" s="8" t="s">
        <v>251</v>
      </c>
      <c r="D32" s="2" t="s">
        <v>78</v>
      </c>
      <c r="E32" s="45">
        <v>5</v>
      </c>
      <c r="F32" s="13">
        <v>1</v>
      </c>
      <c r="G32" s="14" t="str">
        <f>IFERROR(VLOOKUP(T_Materiales[[#This Row],[UNIDAD DE COMPRA]],#REF!,3,0),"")</f>
        <v/>
      </c>
    </row>
    <row r="33" spans="2:7" x14ac:dyDescent="0.25">
      <c r="B33" s="2" t="s">
        <v>50</v>
      </c>
      <c r="C33" s="8" t="s">
        <v>249</v>
      </c>
      <c r="D33" s="2" t="s">
        <v>78</v>
      </c>
      <c r="E33" s="45">
        <v>5</v>
      </c>
      <c r="F33" s="13">
        <v>1</v>
      </c>
      <c r="G33" s="14" t="str">
        <f>IFERROR(VLOOKUP(T_Materiales[[#This Row],[UNIDAD DE COMPRA]],#REF!,3,0),"")</f>
        <v/>
      </c>
    </row>
    <row r="34" spans="2:7" x14ac:dyDescent="0.25">
      <c r="B34" s="2" t="s">
        <v>50</v>
      </c>
      <c r="C34" s="8" t="s">
        <v>247</v>
      </c>
      <c r="D34" s="2" t="s">
        <v>78</v>
      </c>
      <c r="E34" s="45">
        <v>5</v>
      </c>
      <c r="F34" s="13">
        <v>1</v>
      </c>
      <c r="G34" s="2" t="str">
        <f>IFERROR(VLOOKUP(T_Materiales[[#This Row],[UNIDAD DE COMPRA]],#REF!,3,0),"")</f>
        <v/>
      </c>
    </row>
    <row r="35" spans="2:7" x14ac:dyDescent="0.25">
      <c r="B35" s="2" t="s">
        <v>50</v>
      </c>
      <c r="C35" s="8" t="s">
        <v>250</v>
      </c>
      <c r="D35" s="2" t="s">
        <v>78</v>
      </c>
      <c r="E35" s="45">
        <v>5</v>
      </c>
      <c r="F35" s="13">
        <v>1</v>
      </c>
      <c r="G35" s="14" t="str">
        <f>IFERROR(VLOOKUP(T_Materiales[[#This Row],[UNIDAD DE COMPRA]],#REF!,3,0),"")</f>
        <v/>
      </c>
    </row>
    <row r="36" spans="2:7" x14ac:dyDescent="0.25">
      <c r="B36" s="2" t="s">
        <v>258</v>
      </c>
      <c r="C36" s="8" t="s">
        <v>380</v>
      </c>
      <c r="D36" s="8" t="s">
        <v>381</v>
      </c>
      <c r="E36" s="45">
        <v>0.09</v>
      </c>
      <c r="F36" s="13">
        <v>1</v>
      </c>
      <c r="G36" s="2" t="str">
        <f>IFERROR(VLOOKUP(T_Materiales[[#This Row],[UNIDAD DE COMPRA]],#REF!,3,0),"")</f>
        <v/>
      </c>
    </row>
    <row r="37" spans="2:7" x14ac:dyDescent="0.25">
      <c r="B37" s="2" t="s">
        <v>50</v>
      </c>
      <c r="C37" s="8" t="s">
        <v>241</v>
      </c>
      <c r="D37" s="2" t="s">
        <v>78</v>
      </c>
      <c r="E37" s="45">
        <v>7.8</v>
      </c>
      <c r="F37" s="13">
        <v>1</v>
      </c>
      <c r="G37" s="2" t="str">
        <f>IFERROR(VLOOKUP(T_Materiales[[#This Row],[UNIDAD DE COMPRA]],#REF!,3,0),"")</f>
        <v/>
      </c>
    </row>
    <row r="38" spans="2:7" x14ac:dyDescent="0.25">
      <c r="B38" s="2" t="s">
        <v>50</v>
      </c>
      <c r="C38" s="8" t="s">
        <v>245</v>
      </c>
      <c r="D38" s="2" t="s">
        <v>78</v>
      </c>
      <c r="E38" s="45">
        <v>11</v>
      </c>
      <c r="F38" s="13">
        <v>1</v>
      </c>
      <c r="G38" s="14" t="str">
        <f>IFERROR(VLOOKUP(T_Materiales[[#This Row],[UNIDAD DE COMPRA]],#REF!,3,0),"")</f>
        <v/>
      </c>
    </row>
    <row r="39" spans="2:7" x14ac:dyDescent="0.25">
      <c r="B39" s="2" t="s">
        <v>50</v>
      </c>
      <c r="C39" s="8" t="s">
        <v>246</v>
      </c>
      <c r="D39" s="2" t="s">
        <v>78</v>
      </c>
      <c r="E39" s="45">
        <v>11</v>
      </c>
      <c r="F39" s="13">
        <v>1</v>
      </c>
      <c r="G39" s="14" t="str">
        <f>IFERROR(VLOOKUP(T_Materiales[[#This Row],[UNIDAD DE COMPRA]],#REF!,3,0),"")</f>
        <v/>
      </c>
    </row>
    <row r="40" spans="2:7" x14ac:dyDescent="0.25">
      <c r="B40" s="2" t="s">
        <v>50</v>
      </c>
      <c r="C40" s="8" t="s">
        <v>242</v>
      </c>
      <c r="D40" s="2" t="s">
        <v>78</v>
      </c>
      <c r="E40" s="45">
        <v>11</v>
      </c>
      <c r="F40" s="13">
        <v>1</v>
      </c>
      <c r="G40" s="2" t="str">
        <f>IFERROR(VLOOKUP(T_Materiales[[#This Row],[UNIDAD DE COMPRA]],#REF!,3,0),"")</f>
        <v/>
      </c>
    </row>
    <row r="41" spans="2:7" x14ac:dyDescent="0.25">
      <c r="B41" s="2" t="s">
        <v>50</v>
      </c>
      <c r="C41" s="8" t="s">
        <v>244</v>
      </c>
      <c r="D41" s="2" t="s">
        <v>78</v>
      </c>
      <c r="E41" s="45">
        <v>11</v>
      </c>
      <c r="F41" s="13">
        <v>1</v>
      </c>
      <c r="G41" s="14" t="str">
        <f>IFERROR(VLOOKUP(T_Materiales[[#This Row],[UNIDAD DE COMPRA]],#REF!,3,0),"")</f>
        <v/>
      </c>
    </row>
    <row r="42" spans="2:7" x14ac:dyDescent="0.25">
      <c r="B42" s="2" t="s">
        <v>50</v>
      </c>
      <c r="C42" s="8" t="s">
        <v>243</v>
      </c>
      <c r="D42" s="2" t="s">
        <v>78</v>
      </c>
      <c r="E42" s="45">
        <v>11</v>
      </c>
      <c r="F42" s="13">
        <v>1</v>
      </c>
      <c r="G42" s="14" t="str">
        <f>IFERROR(VLOOKUP(T_Materiales[[#This Row],[UNIDAD DE COMPRA]],#REF!,3,0),"")</f>
        <v/>
      </c>
    </row>
    <row r="43" spans="2:7" x14ac:dyDescent="0.25">
      <c r="B43" s="2" t="s">
        <v>258</v>
      </c>
      <c r="C43" s="8" t="s">
        <v>376</v>
      </c>
      <c r="D43" s="8" t="s">
        <v>368</v>
      </c>
      <c r="E43" s="45">
        <v>35</v>
      </c>
      <c r="F43" s="13">
        <v>1</v>
      </c>
      <c r="G43" s="2" t="str">
        <f>IFERROR(VLOOKUP(T_Materiales[[#This Row],[UNIDAD DE COMPRA]],#REF!,3,0),"")</f>
        <v/>
      </c>
    </row>
    <row r="44" spans="2:7" x14ac:dyDescent="0.25">
      <c r="B44" s="2" t="s">
        <v>258</v>
      </c>
      <c r="C44" s="8" t="s">
        <v>377</v>
      </c>
      <c r="D44" s="8" t="s">
        <v>368</v>
      </c>
      <c r="E44" s="45">
        <v>35</v>
      </c>
      <c r="F44" s="13">
        <v>1</v>
      </c>
      <c r="G44" s="14" t="str">
        <f>IFERROR(VLOOKUP(T_Materiales[[#This Row],[UNIDAD DE COMPRA]],#REF!,3,0),"")</f>
        <v/>
      </c>
    </row>
    <row r="45" spans="2:7" x14ac:dyDescent="0.25">
      <c r="B45" s="2" t="s">
        <v>258</v>
      </c>
      <c r="C45" s="8" t="s">
        <v>378</v>
      </c>
      <c r="D45" s="8" t="s">
        <v>368</v>
      </c>
      <c r="E45" s="45">
        <v>35</v>
      </c>
      <c r="F45" s="13">
        <v>1</v>
      </c>
      <c r="G45" s="2" t="str">
        <f>IFERROR(VLOOKUP(T_Materiales[[#This Row],[UNIDAD DE COMPRA]],#REF!,3,0),"")</f>
        <v/>
      </c>
    </row>
    <row r="46" spans="2:7" x14ac:dyDescent="0.25">
      <c r="B46" s="2" t="s">
        <v>258</v>
      </c>
      <c r="C46" s="8" t="s">
        <v>379</v>
      </c>
      <c r="D46" s="8" t="s">
        <v>368</v>
      </c>
      <c r="E46" s="45">
        <v>35</v>
      </c>
      <c r="F46" s="13">
        <v>1</v>
      </c>
      <c r="G46" s="14" t="str">
        <f>IFERROR(VLOOKUP(T_Materiales[[#This Row],[UNIDAD DE COMPRA]],#REF!,3,0),"")</f>
        <v/>
      </c>
    </row>
    <row r="47" spans="2:7" x14ac:dyDescent="0.25">
      <c r="B47" s="2" t="s">
        <v>258</v>
      </c>
      <c r="C47" s="8" t="s">
        <v>370</v>
      </c>
      <c r="D47" s="8" t="s">
        <v>368</v>
      </c>
      <c r="E47" s="45">
        <v>60</v>
      </c>
      <c r="F47" s="13">
        <v>1</v>
      </c>
      <c r="G47" s="2" t="str">
        <f>IFERROR(VLOOKUP(T_Materiales[[#This Row],[UNIDAD DE COMPRA]],#REF!,3,0),"")</f>
        <v/>
      </c>
    </row>
    <row r="48" spans="2:7" x14ac:dyDescent="0.25">
      <c r="B48" s="2" t="s">
        <v>258</v>
      </c>
      <c r="C48" s="8" t="s">
        <v>369</v>
      </c>
      <c r="D48" s="8" t="s">
        <v>368</v>
      </c>
      <c r="E48" s="45">
        <v>60</v>
      </c>
      <c r="F48" s="13">
        <v>1</v>
      </c>
      <c r="G48" s="2" t="str">
        <f>IFERROR(VLOOKUP(T_Materiales[[#This Row],[UNIDAD DE COMPRA]],#REF!,3,0),"")</f>
        <v/>
      </c>
    </row>
    <row r="49" spans="2:7" x14ac:dyDescent="0.25">
      <c r="B49" s="2" t="s">
        <v>258</v>
      </c>
      <c r="C49" s="8" t="s">
        <v>372</v>
      </c>
      <c r="D49" s="8" t="s">
        <v>368</v>
      </c>
      <c r="E49" s="45">
        <v>60</v>
      </c>
      <c r="F49" s="13">
        <v>1</v>
      </c>
      <c r="G49" s="2" t="str">
        <f>IFERROR(VLOOKUP(T_Materiales[[#This Row],[UNIDAD DE COMPRA]],#REF!,3,0),"")</f>
        <v/>
      </c>
    </row>
    <row r="50" spans="2:7" x14ac:dyDescent="0.25">
      <c r="B50" s="2" t="s">
        <v>258</v>
      </c>
      <c r="C50" s="8" t="s">
        <v>371</v>
      </c>
      <c r="D50" s="8" t="s">
        <v>368</v>
      </c>
      <c r="E50" s="45">
        <v>60</v>
      </c>
      <c r="F50" s="13">
        <v>1</v>
      </c>
      <c r="G50" s="2" t="str">
        <f>IFERROR(VLOOKUP(T_Materiales[[#This Row],[UNIDAD DE COMPRA]],#REF!,3,0),"")</f>
        <v/>
      </c>
    </row>
    <row r="51" spans="2:7" x14ac:dyDescent="0.25">
      <c r="B51" s="2" t="s">
        <v>258</v>
      </c>
      <c r="C51" s="8" t="s">
        <v>367</v>
      </c>
      <c r="D51" s="8" t="s">
        <v>368</v>
      </c>
      <c r="E51" s="45">
        <v>60</v>
      </c>
      <c r="F51" s="13">
        <v>1</v>
      </c>
      <c r="G51" s="2" t="str">
        <f>IFERROR(VLOOKUP(T_Materiales[[#This Row],[UNIDAD DE COMPRA]],#REF!,3,0),"")</f>
        <v/>
      </c>
    </row>
    <row r="52" spans="2:7" x14ac:dyDescent="0.25">
      <c r="B52" s="2" t="s">
        <v>258</v>
      </c>
      <c r="C52" s="8" t="s">
        <v>373</v>
      </c>
      <c r="D52" s="8" t="s">
        <v>368</v>
      </c>
      <c r="E52" s="45">
        <v>60</v>
      </c>
      <c r="F52" s="13">
        <v>1</v>
      </c>
      <c r="G52" s="2" t="str">
        <f>IFERROR(VLOOKUP(T_Materiales[[#This Row],[UNIDAD DE COMPRA]],#REF!,3,0),"")</f>
        <v/>
      </c>
    </row>
    <row r="53" spans="2:7" x14ac:dyDescent="0.25">
      <c r="B53" s="2" t="s">
        <v>258</v>
      </c>
      <c r="C53" s="8" t="s">
        <v>374</v>
      </c>
      <c r="D53" s="8" t="s">
        <v>368</v>
      </c>
      <c r="E53" s="45">
        <v>60</v>
      </c>
      <c r="F53" s="13">
        <v>1</v>
      </c>
      <c r="G53" s="2" t="str">
        <f>IFERROR(VLOOKUP(T_Materiales[[#This Row],[UNIDAD DE COMPRA]],#REF!,3,0),"")</f>
        <v/>
      </c>
    </row>
    <row r="54" spans="2:7" x14ac:dyDescent="0.25">
      <c r="B54" s="2" t="s">
        <v>258</v>
      </c>
      <c r="C54" s="8" t="s">
        <v>375</v>
      </c>
      <c r="D54" s="8" t="s">
        <v>368</v>
      </c>
      <c r="E54" s="45">
        <v>60</v>
      </c>
      <c r="F54" s="13">
        <v>1</v>
      </c>
      <c r="G54" s="2" t="str">
        <f>IFERROR(VLOOKUP(T_Materiales[[#This Row],[UNIDAD DE COMPRA]],#REF!,3,0),"")</f>
        <v/>
      </c>
    </row>
    <row r="55" spans="2:7" ht="14.25" customHeight="1" x14ac:dyDescent="0.25">
      <c r="B55" s="2" t="s">
        <v>258</v>
      </c>
      <c r="C55" s="2" t="s">
        <v>405</v>
      </c>
      <c r="D55" s="8" t="s">
        <v>368</v>
      </c>
      <c r="E55" s="45">
        <v>160</v>
      </c>
      <c r="F55" s="13">
        <v>1</v>
      </c>
      <c r="G55" s="2" t="str">
        <f>IFERROR(VLOOKUP(T_Materiales[[#This Row],[UNIDAD DE COMPRA]],#REF!,3,0),"")</f>
        <v/>
      </c>
    </row>
    <row r="56" spans="2:7" ht="14.25" customHeight="1" x14ac:dyDescent="0.25">
      <c r="B56" s="2" t="s">
        <v>258</v>
      </c>
      <c r="C56" s="8" t="s">
        <v>339</v>
      </c>
      <c r="D56" s="8" t="s">
        <v>286</v>
      </c>
      <c r="E56" s="45">
        <v>6</v>
      </c>
      <c r="F56" s="13">
        <v>1</v>
      </c>
      <c r="G56" s="2" t="str">
        <f>IFERROR(VLOOKUP(T_Materiales[[#This Row],[UNIDAD DE COMPRA]],#REF!,3,0),"")</f>
        <v/>
      </c>
    </row>
    <row r="57" spans="2:7" ht="14.25" customHeight="1" x14ac:dyDescent="0.25">
      <c r="B57" s="2" t="s">
        <v>258</v>
      </c>
      <c r="C57" s="8" t="s">
        <v>338</v>
      </c>
      <c r="D57" s="8" t="s">
        <v>286</v>
      </c>
      <c r="E57" s="45">
        <v>31</v>
      </c>
      <c r="F57" s="13">
        <v>1</v>
      </c>
      <c r="G57" s="2" t="str">
        <f>IFERROR(VLOOKUP(T_Materiales[[#This Row],[UNIDAD DE COMPRA]],#REF!,3,0),"")</f>
        <v/>
      </c>
    </row>
    <row r="58" spans="2:7" ht="14.25" customHeight="1" x14ac:dyDescent="0.25">
      <c r="B58" s="2" t="s">
        <v>258</v>
      </c>
      <c r="C58" s="8" t="s">
        <v>337</v>
      </c>
      <c r="D58" s="8" t="s">
        <v>286</v>
      </c>
      <c r="E58" s="45">
        <v>10</v>
      </c>
      <c r="F58" s="13">
        <v>1</v>
      </c>
      <c r="G58" s="2" t="str">
        <f>IFERROR(VLOOKUP(T_Materiales[[#This Row],[UNIDAD DE COMPRA]],#REF!,3,0),"")</f>
        <v/>
      </c>
    </row>
    <row r="59" spans="2:7" ht="14.25" customHeight="1" x14ac:dyDescent="0.25">
      <c r="B59" s="2" t="s">
        <v>258</v>
      </c>
      <c r="C59" s="8" t="s">
        <v>336</v>
      </c>
      <c r="D59" s="8" t="s">
        <v>286</v>
      </c>
      <c r="E59" s="45">
        <v>18</v>
      </c>
      <c r="F59" s="13">
        <v>1</v>
      </c>
      <c r="G59" s="2" t="str">
        <f>IFERROR(VLOOKUP(T_Materiales[[#This Row],[UNIDAD DE COMPRA]],#REF!,3,0),"")</f>
        <v/>
      </c>
    </row>
    <row r="60" spans="2:7" ht="14.25" customHeight="1" x14ac:dyDescent="0.25">
      <c r="B60" s="2" t="s">
        <v>258</v>
      </c>
      <c r="C60" s="8" t="s">
        <v>345</v>
      </c>
      <c r="D60" s="8" t="s">
        <v>289</v>
      </c>
      <c r="E60" s="45">
        <v>1.2</v>
      </c>
      <c r="F60" s="13">
        <v>1</v>
      </c>
      <c r="G60" s="2" t="str">
        <f>IFERROR(VLOOKUP(T_Materiales[[#This Row],[UNIDAD DE COMPRA]],#REF!,3,0),"")</f>
        <v/>
      </c>
    </row>
    <row r="61" spans="2:7" ht="14.25" customHeight="1" x14ac:dyDescent="0.25">
      <c r="B61" s="2" t="s">
        <v>258</v>
      </c>
      <c r="C61" s="8" t="s">
        <v>347</v>
      </c>
      <c r="D61" s="8" t="s">
        <v>289</v>
      </c>
      <c r="E61" s="45">
        <v>1.2</v>
      </c>
      <c r="F61" s="13">
        <v>1</v>
      </c>
      <c r="G61" s="14" t="str">
        <f>IFERROR(VLOOKUP(T_Materiales[[#This Row],[UNIDAD DE COMPRA]],#REF!,3,0),"")</f>
        <v/>
      </c>
    </row>
    <row r="62" spans="2:7" ht="14.25" customHeight="1" x14ac:dyDescent="0.25">
      <c r="B62" s="2" t="s">
        <v>258</v>
      </c>
      <c r="C62" s="8" t="s">
        <v>355</v>
      </c>
      <c r="D62" s="8" t="s">
        <v>289</v>
      </c>
      <c r="E62" s="45">
        <v>1.2</v>
      </c>
      <c r="F62" s="13">
        <v>1</v>
      </c>
      <c r="G62" s="14" t="str">
        <f>IFERROR(VLOOKUP(T_Materiales[[#This Row],[UNIDAD DE COMPRA]],#REF!,3,0),"")</f>
        <v/>
      </c>
    </row>
    <row r="63" spans="2:7" ht="14.25" customHeight="1" x14ac:dyDescent="0.25">
      <c r="B63" s="2" t="s">
        <v>258</v>
      </c>
      <c r="C63" s="8" t="s">
        <v>346</v>
      </c>
      <c r="D63" s="8" t="s">
        <v>289</v>
      </c>
      <c r="E63" s="45">
        <v>1.2</v>
      </c>
      <c r="F63" s="13">
        <v>1</v>
      </c>
      <c r="G63" s="14" t="str">
        <f>IFERROR(VLOOKUP(T_Materiales[[#This Row],[UNIDAD DE COMPRA]],#REF!,3,0),"")</f>
        <v/>
      </c>
    </row>
    <row r="64" spans="2:7" ht="14.25" customHeight="1" x14ac:dyDescent="0.25">
      <c r="B64" s="2" t="s">
        <v>258</v>
      </c>
      <c r="C64" s="8" t="s">
        <v>354</v>
      </c>
      <c r="D64" s="8" t="s">
        <v>289</v>
      </c>
      <c r="E64" s="45">
        <v>1.2</v>
      </c>
      <c r="F64" s="13">
        <v>1</v>
      </c>
      <c r="G64" s="14" t="str">
        <f>IFERROR(VLOOKUP(T_Materiales[[#This Row],[UNIDAD DE COMPRA]],#REF!,3,0),"")</f>
        <v/>
      </c>
    </row>
    <row r="65" spans="2:7" ht="14.25" customHeight="1" x14ac:dyDescent="0.25">
      <c r="B65" s="2" t="s">
        <v>258</v>
      </c>
      <c r="C65" s="8" t="s">
        <v>350</v>
      </c>
      <c r="D65" s="8" t="s">
        <v>289</v>
      </c>
      <c r="E65" s="45">
        <v>1.2</v>
      </c>
      <c r="F65" s="13">
        <v>1</v>
      </c>
      <c r="G65" s="14" t="str">
        <f>IFERROR(VLOOKUP(T_Materiales[[#This Row],[UNIDAD DE COMPRA]],#REF!,3,0),"")</f>
        <v/>
      </c>
    </row>
    <row r="66" spans="2:7" ht="14.25" customHeight="1" x14ac:dyDescent="0.25">
      <c r="B66" s="2" t="s">
        <v>258</v>
      </c>
      <c r="C66" s="8" t="s">
        <v>353</v>
      </c>
      <c r="D66" s="8" t="s">
        <v>289</v>
      </c>
      <c r="E66" s="45">
        <v>1.2</v>
      </c>
      <c r="F66" s="13">
        <v>1</v>
      </c>
      <c r="G66" s="14" t="str">
        <f>IFERROR(VLOOKUP(T_Materiales[[#This Row],[UNIDAD DE COMPRA]],#REF!,3,0),"")</f>
        <v/>
      </c>
    </row>
    <row r="67" spans="2:7" ht="14.25" customHeight="1" x14ac:dyDescent="0.25">
      <c r="B67" s="2" t="s">
        <v>258</v>
      </c>
      <c r="C67" s="8" t="s">
        <v>349</v>
      </c>
      <c r="D67" s="8" t="s">
        <v>289</v>
      </c>
      <c r="E67" s="45">
        <v>1.2</v>
      </c>
      <c r="F67" s="13">
        <v>1</v>
      </c>
      <c r="G67" s="14" t="str">
        <f>IFERROR(VLOOKUP(T_Materiales[[#This Row],[UNIDAD DE COMPRA]],#REF!,3,0),"")</f>
        <v/>
      </c>
    </row>
    <row r="68" spans="2:7" ht="14.25" customHeight="1" x14ac:dyDescent="0.25">
      <c r="B68" s="2" t="s">
        <v>258</v>
      </c>
      <c r="C68" s="8" t="s">
        <v>348</v>
      </c>
      <c r="D68" s="8" t="s">
        <v>289</v>
      </c>
      <c r="E68" s="45">
        <v>1.2</v>
      </c>
      <c r="F68" s="13">
        <v>1</v>
      </c>
      <c r="G68" s="14" t="str">
        <f>IFERROR(VLOOKUP(T_Materiales[[#This Row],[UNIDAD DE COMPRA]],#REF!,3,0),"")</f>
        <v/>
      </c>
    </row>
    <row r="69" spans="2:7" ht="14.25" customHeight="1" x14ac:dyDescent="0.25">
      <c r="B69" s="2" t="s">
        <v>258</v>
      </c>
      <c r="C69" s="8" t="s">
        <v>352</v>
      </c>
      <c r="D69" s="8" t="s">
        <v>289</v>
      </c>
      <c r="E69" s="45">
        <v>1.2</v>
      </c>
      <c r="F69" s="13">
        <v>1</v>
      </c>
      <c r="G69" s="14" t="str">
        <f>IFERROR(VLOOKUP(T_Materiales[[#This Row],[UNIDAD DE COMPRA]],#REF!,3,0),"")</f>
        <v/>
      </c>
    </row>
    <row r="70" spans="2:7" ht="14.25" customHeight="1" x14ac:dyDescent="0.25">
      <c r="B70" s="2" t="s">
        <v>258</v>
      </c>
      <c r="C70" s="8" t="s">
        <v>351</v>
      </c>
      <c r="D70" s="8" t="s">
        <v>289</v>
      </c>
      <c r="E70" s="45">
        <v>1.2</v>
      </c>
      <c r="F70" s="13">
        <v>1</v>
      </c>
      <c r="G70" s="14" t="str">
        <f>IFERROR(VLOOKUP(T_Materiales[[#This Row],[UNIDAD DE COMPRA]],#REF!,3,0),"")</f>
        <v/>
      </c>
    </row>
    <row r="71" spans="2:7" ht="14.25" customHeight="1" x14ac:dyDescent="0.25">
      <c r="B71" s="2" t="s">
        <v>258</v>
      </c>
      <c r="C71" s="8" t="s">
        <v>614</v>
      </c>
      <c r="D71" s="8" t="s">
        <v>286</v>
      </c>
      <c r="E71" s="46">
        <v>0.17</v>
      </c>
      <c r="F71" s="13">
        <v>1</v>
      </c>
      <c r="G71" s="14" t="str">
        <f>IFERROR(VLOOKUP(T_Materiales[[#This Row],[UNIDAD DE COMPRA]],[2]!T_Equivalencias[#All],3,0),"")</f>
        <v/>
      </c>
    </row>
    <row r="72" spans="2:7" x14ac:dyDescent="0.25">
      <c r="B72" s="2" t="s">
        <v>258</v>
      </c>
      <c r="C72" s="8" t="s">
        <v>344</v>
      </c>
      <c r="D72" s="8" t="s">
        <v>286</v>
      </c>
      <c r="E72" s="45">
        <v>0.17</v>
      </c>
      <c r="F72" s="13">
        <v>1</v>
      </c>
      <c r="G72" s="14" t="str">
        <f>IFERROR(VLOOKUP(T_Materiales[[#This Row],[UNIDAD DE COMPRA]],#REF!,3,0),"")</f>
        <v/>
      </c>
    </row>
    <row r="73" spans="2:7" x14ac:dyDescent="0.25">
      <c r="B73" s="2" t="s">
        <v>258</v>
      </c>
      <c r="C73" s="8" t="s">
        <v>341</v>
      </c>
      <c r="D73" s="8" t="s">
        <v>286</v>
      </c>
      <c r="E73" s="45">
        <v>0.17</v>
      </c>
      <c r="F73" s="13">
        <v>1</v>
      </c>
      <c r="G73" s="2" t="str">
        <f>IFERROR(VLOOKUP(T_Materiales[[#This Row],[UNIDAD DE COMPRA]],#REF!,3,0),"")</f>
        <v/>
      </c>
    </row>
    <row r="74" spans="2:7" x14ac:dyDescent="0.25">
      <c r="B74" s="2" t="s">
        <v>258</v>
      </c>
      <c r="C74" s="8" t="s">
        <v>342</v>
      </c>
      <c r="D74" s="8" t="s">
        <v>286</v>
      </c>
      <c r="E74" s="45">
        <v>0.17</v>
      </c>
      <c r="F74" s="13">
        <v>1</v>
      </c>
      <c r="G74" s="14" t="str">
        <f>IFERROR(VLOOKUP(T_Materiales[[#This Row],[UNIDAD DE COMPRA]],#REF!,3,0),"")</f>
        <v/>
      </c>
    </row>
    <row r="75" spans="2:7" x14ac:dyDescent="0.25">
      <c r="B75" s="2" t="s">
        <v>258</v>
      </c>
      <c r="C75" s="8" t="s">
        <v>343</v>
      </c>
      <c r="D75" s="8" t="s">
        <v>286</v>
      </c>
      <c r="E75" s="45">
        <v>0.17</v>
      </c>
      <c r="F75" s="13">
        <v>1</v>
      </c>
      <c r="G75" s="14" t="str">
        <f>IFERROR(VLOOKUP(T_Materiales[[#This Row],[UNIDAD DE COMPRA]],#REF!,3,0),"")</f>
        <v/>
      </c>
    </row>
    <row r="76" spans="2:7" x14ac:dyDescent="0.25">
      <c r="B76" s="2" t="s">
        <v>258</v>
      </c>
      <c r="C76" s="8" t="s">
        <v>340</v>
      </c>
      <c r="D76" s="8" t="s">
        <v>286</v>
      </c>
      <c r="E76" s="45">
        <v>0.26</v>
      </c>
      <c r="F76" s="13">
        <v>1</v>
      </c>
      <c r="G76" s="2" t="str">
        <f>IFERROR(VLOOKUP(T_Materiales[[#This Row],[UNIDAD DE COMPRA]],#REF!,3,0),"")</f>
        <v/>
      </c>
    </row>
    <row r="77" spans="2:7" x14ac:dyDescent="0.25">
      <c r="B77" s="2" t="s">
        <v>258</v>
      </c>
      <c r="C77" s="8" t="s">
        <v>361</v>
      </c>
      <c r="D77" s="8" t="s">
        <v>289</v>
      </c>
      <c r="E77" s="46">
        <v>1</v>
      </c>
      <c r="F77" s="13">
        <v>1</v>
      </c>
      <c r="G77" s="14" t="str">
        <f>IFERROR(VLOOKUP(T_Materiales[[#This Row],[UNIDAD DE COMPRA]],#REF!,3,0),"")</f>
        <v/>
      </c>
    </row>
    <row r="78" spans="2:7" x14ac:dyDescent="0.25">
      <c r="B78" s="2" t="s">
        <v>258</v>
      </c>
      <c r="C78" s="8" t="s">
        <v>365</v>
      </c>
      <c r="D78" s="8" t="s">
        <v>289</v>
      </c>
      <c r="E78" s="46">
        <v>1</v>
      </c>
      <c r="F78" s="13">
        <v>1</v>
      </c>
      <c r="G78" s="14" t="str">
        <f>IFERROR(VLOOKUP(T_Materiales[[#This Row],[UNIDAD DE COMPRA]],#REF!,3,0),"")</f>
        <v/>
      </c>
    </row>
    <row r="79" spans="2:7" x14ac:dyDescent="0.25">
      <c r="B79" s="2" t="s">
        <v>258</v>
      </c>
      <c r="C79" s="8" t="s">
        <v>356</v>
      </c>
      <c r="D79" s="8" t="s">
        <v>289</v>
      </c>
      <c r="E79" s="46">
        <v>0.1</v>
      </c>
      <c r="F79" s="13">
        <v>1</v>
      </c>
      <c r="G79" s="14" t="str">
        <f>IFERROR(VLOOKUP(T_Materiales[[#This Row],[UNIDAD DE COMPRA]],#REF!,3,0),"")</f>
        <v/>
      </c>
    </row>
    <row r="80" spans="2:7" x14ac:dyDescent="0.25">
      <c r="B80" s="2" t="s">
        <v>258</v>
      </c>
      <c r="C80" s="8" t="s">
        <v>360</v>
      </c>
      <c r="D80" s="8" t="s">
        <v>289</v>
      </c>
      <c r="E80" s="46">
        <v>1</v>
      </c>
      <c r="F80" s="13">
        <v>1</v>
      </c>
      <c r="G80" s="14" t="str">
        <f>IFERROR(VLOOKUP(T_Materiales[[#This Row],[UNIDAD DE COMPRA]],#REF!,3,0),"")</f>
        <v/>
      </c>
    </row>
    <row r="81" spans="2:7" x14ac:dyDescent="0.25">
      <c r="B81" s="2" t="s">
        <v>258</v>
      </c>
      <c r="C81" s="8" t="s">
        <v>362</v>
      </c>
      <c r="D81" s="8" t="s">
        <v>289</v>
      </c>
      <c r="E81" s="46">
        <v>1</v>
      </c>
      <c r="F81" s="13">
        <v>1</v>
      </c>
      <c r="G81" s="14" t="str">
        <f>IFERROR(VLOOKUP(T_Materiales[[#This Row],[UNIDAD DE COMPRA]],#REF!,3,0),"")</f>
        <v/>
      </c>
    </row>
    <row r="82" spans="2:7" x14ac:dyDescent="0.25">
      <c r="B82" s="2" t="s">
        <v>258</v>
      </c>
      <c r="C82" s="8" t="s">
        <v>358</v>
      </c>
      <c r="D82" s="8" t="s">
        <v>289</v>
      </c>
      <c r="E82" s="46">
        <v>1</v>
      </c>
      <c r="F82" s="13">
        <v>1</v>
      </c>
      <c r="G82" s="14" t="str">
        <f>IFERROR(VLOOKUP(T_Materiales[[#This Row],[UNIDAD DE COMPRA]],#REF!,3,0),"")</f>
        <v/>
      </c>
    </row>
    <row r="83" spans="2:7" x14ac:dyDescent="0.25">
      <c r="B83" s="2" t="s">
        <v>258</v>
      </c>
      <c r="C83" s="8" t="s">
        <v>359</v>
      </c>
      <c r="D83" s="8" t="s">
        <v>289</v>
      </c>
      <c r="E83" s="46">
        <v>1</v>
      </c>
      <c r="F83" s="13">
        <v>1</v>
      </c>
      <c r="G83" s="14" t="str">
        <f>IFERROR(VLOOKUP(T_Materiales[[#This Row],[UNIDAD DE COMPRA]],#REF!,3,0),"")</f>
        <v/>
      </c>
    </row>
    <row r="84" spans="2:7" x14ac:dyDescent="0.25">
      <c r="B84" s="2" t="s">
        <v>258</v>
      </c>
      <c r="C84" s="8" t="s">
        <v>363</v>
      </c>
      <c r="D84" s="8" t="s">
        <v>289</v>
      </c>
      <c r="E84" s="46">
        <v>1</v>
      </c>
      <c r="F84" s="13">
        <v>1</v>
      </c>
      <c r="G84" s="14" t="str">
        <f>IFERROR(VLOOKUP(T_Materiales[[#This Row],[UNIDAD DE COMPRA]],#REF!,3,0),"")</f>
        <v/>
      </c>
    </row>
    <row r="85" spans="2:7" x14ac:dyDescent="0.25">
      <c r="B85" s="2" t="s">
        <v>258</v>
      </c>
      <c r="C85" s="8" t="s">
        <v>357</v>
      </c>
      <c r="D85" s="8" t="s">
        <v>289</v>
      </c>
      <c r="E85" s="46">
        <v>1</v>
      </c>
      <c r="F85" s="13">
        <v>1</v>
      </c>
      <c r="G85" s="14" t="str">
        <f>IFERROR(VLOOKUP(T_Materiales[[#This Row],[UNIDAD DE COMPRA]],#REF!,3,0),"")</f>
        <v/>
      </c>
    </row>
    <row r="86" spans="2:7" x14ac:dyDescent="0.25">
      <c r="B86" s="2" t="s">
        <v>258</v>
      </c>
      <c r="C86" s="8" t="s">
        <v>364</v>
      </c>
      <c r="D86" s="8" t="s">
        <v>289</v>
      </c>
      <c r="E86" s="46">
        <v>1</v>
      </c>
      <c r="F86" s="13">
        <v>1</v>
      </c>
      <c r="G86" s="14" t="str">
        <f>IFERROR(VLOOKUP(T_Materiales[[#This Row],[UNIDAD DE COMPRA]],#REF!,3,0),"")</f>
        <v/>
      </c>
    </row>
    <row r="87" spans="2:7" x14ac:dyDescent="0.25">
      <c r="B87" s="2" t="s">
        <v>258</v>
      </c>
      <c r="C87" s="8" t="s">
        <v>366</v>
      </c>
      <c r="D87" s="8" t="s">
        <v>289</v>
      </c>
      <c r="E87" s="46">
        <v>1</v>
      </c>
      <c r="F87" s="13">
        <v>1</v>
      </c>
      <c r="G87" s="14" t="str">
        <f>IFERROR(VLOOKUP(T_Materiales[[#This Row],[UNIDAD DE COMPRA]],#REF!,3,0),"")</f>
        <v/>
      </c>
    </row>
    <row r="88" spans="2:7" x14ac:dyDescent="0.25">
      <c r="B88" s="2" t="s">
        <v>258</v>
      </c>
      <c r="C88" s="2" t="s">
        <v>430</v>
      </c>
      <c r="D88" s="8" t="s">
        <v>286</v>
      </c>
      <c r="E88" s="45">
        <v>0.17</v>
      </c>
      <c r="F88" s="16">
        <v>1</v>
      </c>
      <c r="G88" s="2" t="str">
        <f>IFERROR(VLOOKUP(T_Materiales[[#This Row],[UNIDAD DE COMPRA]],#REF!,3,0),"")</f>
        <v/>
      </c>
    </row>
    <row r="89" spans="2:7" x14ac:dyDescent="0.25">
      <c r="B89" s="2" t="s">
        <v>258</v>
      </c>
      <c r="C89" s="2" t="s">
        <v>431</v>
      </c>
      <c r="D89" s="8" t="s">
        <v>286</v>
      </c>
      <c r="E89" s="45">
        <v>0.17</v>
      </c>
      <c r="F89" s="16">
        <v>1</v>
      </c>
      <c r="G89" s="14" t="str">
        <f>IFERROR(VLOOKUP(T_Materiales[[#This Row],[UNIDAD DE COMPRA]],#REF!,3,0),"")</f>
        <v/>
      </c>
    </row>
    <row r="90" spans="2:7" x14ac:dyDescent="0.25">
      <c r="B90" s="2" t="s">
        <v>258</v>
      </c>
      <c r="C90" s="8" t="s">
        <v>334</v>
      </c>
      <c r="D90" s="8" t="s">
        <v>286</v>
      </c>
      <c r="E90" s="45">
        <v>0.28000000000000003</v>
      </c>
      <c r="F90" s="13">
        <v>1</v>
      </c>
      <c r="G90" s="2" t="str">
        <f>IFERROR(VLOOKUP(T_Materiales[[#This Row],[UNIDAD DE COMPRA]],#REF!,3,0),"")</f>
        <v/>
      </c>
    </row>
    <row r="91" spans="2:7" x14ac:dyDescent="0.25">
      <c r="B91" s="2" t="s">
        <v>258</v>
      </c>
      <c r="C91" s="8" t="s">
        <v>335</v>
      </c>
      <c r="D91" s="8" t="s">
        <v>286</v>
      </c>
      <c r="E91" s="45">
        <v>0.28000000000000003</v>
      </c>
      <c r="F91" s="13">
        <v>1</v>
      </c>
      <c r="G91" s="14" t="str">
        <f>IFERROR(VLOOKUP(T_Materiales[[#This Row],[UNIDAD DE COMPRA]],#REF!,3,0),"")</f>
        <v/>
      </c>
    </row>
    <row r="92" spans="2:7" x14ac:dyDescent="0.25">
      <c r="B92" s="2" t="s">
        <v>258</v>
      </c>
      <c r="C92" s="8" t="s">
        <v>329</v>
      </c>
      <c r="D92" s="8" t="s">
        <v>317</v>
      </c>
      <c r="E92" s="45">
        <v>0.1</v>
      </c>
      <c r="F92" s="13">
        <v>1</v>
      </c>
      <c r="G92" s="14" t="str">
        <f>IFERROR(VLOOKUP(T_Materiales[[#This Row],[UNIDAD DE COMPRA]],#REF!,3,0),"")</f>
        <v/>
      </c>
    </row>
    <row r="93" spans="2:7" x14ac:dyDescent="0.25">
      <c r="B93" s="2" t="s">
        <v>258</v>
      </c>
      <c r="C93" s="8" t="s">
        <v>326</v>
      </c>
      <c r="D93" s="8" t="s">
        <v>317</v>
      </c>
      <c r="E93" s="45">
        <v>0.1</v>
      </c>
      <c r="F93" s="13">
        <v>1</v>
      </c>
      <c r="G93" s="14" t="str">
        <f>IFERROR(VLOOKUP(T_Materiales[[#This Row],[UNIDAD DE COMPRA]],#REF!,3,0),"")</f>
        <v/>
      </c>
    </row>
    <row r="94" spans="2:7" x14ac:dyDescent="0.25">
      <c r="B94" s="2" t="s">
        <v>258</v>
      </c>
      <c r="C94" s="8" t="s">
        <v>330</v>
      </c>
      <c r="D94" s="8" t="s">
        <v>317</v>
      </c>
      <c r="E94" s="45">
        <v>0.1</v>
      </c>
      <c r="F94" s="13">
        <v>1</v>
      </c>
      <c r="G94" s="14" t="str">
        <f>IFERROR(VLOOKUP(T_Materiales[[#This Row],[UNIDAD DE COMPRA]],#REF!,3,0),"")</f>
        <v/>
      </c>
    </row>
    <row r="95" spans="2:7" x14ac:dyDescent="0.25">
      <c r="B95" s="2" t="s">
        <v>258</v>
      </c>
      <c r="C95" s="8" t="s">
        <v>331</v>
      </c>
      <c r="D95" s="8" t="s">
        <v>317</v>
      </c>
      <c r="E95" s="45">
        <v>0.1</v>
      </c>
      <c r="F95" s="13">
        <v>1</v>
      </c>
      <c r="G95" s="14" t="str">
        <f>IFERROR(VLOOKUP(T_Materiales[[#This Row],[UNIDAD DE COMPRA]],#REF!,3,0),"")</f>
        <v/>
      </c>
    </row>
    <row r="96" spans="2:7" x14ac:dyDescent="0.25">
      <c r="B96" s="2" t="s">
        <v>258</v>
      </c>
      <c r="C96" s="8" t="s">
        <v>332</v>
      </c>
      <c r="D96" s="8" t="s">
        <v>317</v>
      </c>
      <c r="E96" s="45">
        <v>0.1</v>
      </c>
      <c r="F96" s="13">
        <v>1</v>
      </c>
      <c r="G96" s="14" t="str">
        <f>IFERROR(VLOOKUP(T_Materiales[[#This Row],[UNIDAD DE COMPRA]],#REF!,3,0),"")</f>
        <v/>
      </c>
    </row>
    <row r="97" spans="2:7" x14ac:dyDescent="0.25">
      <c r="B97" s="2" t="s">
        <v>258</v>
      </c>
      <c r="C97" s="8" t="s">
        <v>325</v>
      </c>
      <c r="D97" s="8" t="s">
        <v>317</v>
      </c>
      <c r="E97" s="45">
        <v>0.1</v>
      </c>
      <c r="F97" s="13">
        <v>1</v>
      </c>
      <c r="G97" s="2" t="str">
        <f>IFERROR(VLOOKUP(T_Materiales[[#This Row],[UNIDAD DE COMPRA]],#REF!,3,0),"")</f>
        <v/>
      </c>
    </row>
    <row r="98" spans="2:7" x14ac:dyDescent="0.25">
      <c r="B98" s="2" t="s">
        <v>258</v>
      </c>
      <c r="C98" s="8" t="s">
        <v>327</v>
      </c>
      <c r="D98" s="8" t="s">
        <v>317</v>
      </c>
      <c r="E98" s="45">
        <v>0.1</v>
      </c>
      <c r="F98" s="13">
        <v>1</v>
      </c>
      <c r="G98" s="14" t="str">
        <f>IFERROR(VLOOKUP(T_Materiales[[#This Row],[UNIDAD DE COMPRA]],#REF!,3,0),"")</f>
        <v/>
      </c>
    </row>
    <row r="99" spans="2:7" x14ac:dyDescent="0.25">
      <c r="B99" s="2" t="s">
        <v>258</v>
      </c>
      <c r="C99" s="8" t="s">
        <v>333</v>
      </c>
      <c r="D99" s="8" t="s">
        <v>317</v>
      </c>
      <c r="E99" s="45">
        <v>0.1</v>
      </c>
      <c r="F99" s="13">
        <v>1</v>
      </c>
      <c r="G99" s="14" t="str">
        <f>IFERROR(VLOOKUP(T_Materiales[[#This Row],[UNIDAD DE COMPRA]],#REF!,3,0),"")</f>
        <v/>
      </c>
    </row>
    <row r="100" spans="2:7" x14ac:dyDescent="0.25">
      <c r="B100" s="2" t="s">
        <v>258</v>
      </c>
      <c r="C100" s="8" t="s">
        <v>328</v>
      </c>
      <c r="D100" s="8" t="s">
        <v>317</v>
      </c>
      <c r="E100" s="45">
        <v>0.1</v>
      </c>
      <c r="F100" s="13">
        <v>1</v>
      </c>
      <c r="G100" s="14" t="str">
        <f>IFERROR(VLOOKUP(T_Materiales[[#This Row],[UNIDAD DE COMPRA]],#REF!,3,0),"")</f>
        <v/>
      </c>
    </row>
    <row r="101" spans="2:7" x14ac:dyDescent="0.25">
      <c r="B101" s="2" t="s">
        <v>258</v>
      </c>
      <c r="C101" s="8" t="s">
        <v>323</v>
      </c>
      <c r="D101" s="8" t="s">
        <v>321</v>
      </c>
      <c r="E101" s="45">
        <v>0.1</v>
      </c>
      <c r="F101" s="13">
        <v>1</v>
      </c>
      <c r="G101" s="14" t="str">
        <f>IFERROR(VLOOKUP(T_Materiales[[#This Row],[UNIDAD DE COMPRA]],#REF!,3,0),"")</f>
        <v/>
      </c>
    </row>
    <row r="102" spans="2:7" x14ac:dyDescent="0.25">
      <c r="B102" s="2" t="s">
        <v>258</v>
      </c>
      <c r="C102" s="8" t="s">
        <v>324</v>
      </c>
      <c r="D102" s="8" t="s">
        <v>321</v>
      </c>
      <c r="E102" s="45">
        <v>0.1</v>
      </c>
      <c r="F102" s="13">
        <v>1</v>
      </c>
      <c r="G102" s="14" t="str">
        <f>IFERROR(VLOOKUP(T_Materiales[[#This Row],[UNIDAD DE COMPRA]],#REF!,3,0),"")</f>
        <v/>
      </c>
    </row>
    <row r="103" spans="2:7" x14ac:dyDescent="0.25">
      <c r="B103" s="2" t="s">
        <v>406</v>
      </c>
      <c r="C103" s="12" t="s">
        <v>425</v>
      </c>
      <c r="D103" s="8" t="s">
        <v>408</v>
      </c>
      <c r="E103" s="45">
        <v>6</v>
      </c>
      <c r="F103" s="16">
        <v>1</v>
      </c>
      <c r="G103" s="2" t="s">
        <v>426</v>
      </c>
    </row>
    <row r="104" spans="2:7" x14ac:dyDescent="0.25">
      <c r="B104" s="2" t="s">
        <v>258</v>
      </c>
      <c r="C104" s="8" t="s">
        <v>320</v>
      </c>
      <c r="D104" s="8" t="s">
        <v>321</v>
      </c>
      <c r="E104" s="45">
        <v>0.78</v>
      </c>
      <c r="F104" s="13">
        <v>1</v>
      </c>
      <c r="G104" s="2" t="str">
        <f>IFERROR(VLOOKUP(T_Materiales[[#This Row],[UNIDAD DE COMPRA]],#REF!,3,0),"")</f>
        <v/>
      </c>
    </row>
    <row r="105" spans="2:7" x14ac:dyDescent="0.25">
      <c r="B105" s="2" t="s">
        <v>258</v>
      </c>
      <c r="C105" s="8" t="s">
        <v>322</v>
      </c>
      <c r="D105" s="8" t="s">
        <v>321</v>
      </c>
      <c r="E105" s="45">
        <v>0.67</v>
      </c>
      <c r="F105" s="13">
        <v>1</v>
      </c>
      <c r="G105" s="14" t="str">
        <f>IFERROR(VLOOKUP(T_Materiales[[#This Row],[UNIDAD DE COMPRA]],#REF!,3,0),"")</f>
        <v/>
      </c>
    </row>
    <row r="106" spans="2:7" x14ac:dyDescent="0.25">
      <c r="B106" s="2" t="s">
        <v>50</v>
      </c>
      <c r="C106" s="8" t="s">
        <v>255</v>
      </c>
      <c r="D106" s="2" t="s">
        <v>78</v>
      </c>
      <c r="E106" s="45">
        <v>7.5</v>
      </c>
      <c r="F106" s="13">
        <v>1</v>
      </c>
      <c r="G106" s="14" t="str">
        <f>IFERROR(VLOOKUP(T_Materiales[[#This Row],[UNIDAD DE COMPRA]],#REF!,3,0),"")</f>
        <v/>
      </c>
    </row>
    <row r="107" spans="2:7" x14ac:dyDescent="0.25">
      <c r="B107" s="2" t="s">
        <v>50</v>
      </c>
      <c r="C107" s="8" t="s">
        <v>256</v>
      </c>
      <c r="D107" s="2" t="s">
        <v>78</v>
      </c>
      <c r="E107" s="45">
        <v>7.5</v>
      </c>
      <c r="F107" s="13">
        <v>1</v>
      </c>
      <c r="G107" s="14" t="str">
        <f>IFERROR(VLOOKUP(T_Materiales[[#This Row],[UNIDAD DE COMPRA]],#REF!,3,0),"")</f>
        <v/>
      </c>
    </row>
    <row r="108" spans="2:7" x14ac:dyDescent="0.25">
      <c r="B108" s="2" t="s">
        <v>50</v>
      </c>
      <c r="C108" s="8" t="s">
        <v>254</v>
      </c>
      <c r="D108" s="2" t="s">
        <v>78</v>
      </c>
      <c r="E108" s="45">
        <v>7.5</v>
      </c>
      <c r="F108" s="13">
        <v>1</v>
      </c>
      <c r="G108" s="2" t="str">
        <f>IFERROR(VLOOKUP(T_Materiales[[#This Row],[UNIDAD DE COMPRA]],#REF!,3,0),"")</f>
        <v/>
      </c>
    </row>
    <row r="109" spans="2:7" x14ac:dyDescent="0.25">
      <c r="B109" s="2" t="s">
        <v>50</v>
      </c>
      <c r="C109" s="8" t="s">
        <v>257</v>
      </c>
      <c r="D109" s="2" t="s">
        <v>78</v>
      </c>
      <c r="E109" s="45">
        <v>7.5</v>
      </c>
      <c r="F109" s="13">
        <v>1</v>
      </c>
      <c r="G109" s="14" t="str">
        <f>IFERROR(VLOOKUP(T_Materiales[[#This Row],[UNIDAD DE COMPRA]],#REF!,3,0),"")</f>
        <v/>
      </c>
    </row>
    <row r="110" spans="2:7" x14ac:dyDescent="0.25">
      <c r="B110" s="2" t="s">
        <v>258</v>
      </c>
      <c r="C110" s="8" t="s">
        <v>318</v>
      </c>
      <c r="D110" s="8" t="s">
        <v>317</v>
      </c>
      <c r="E110" s="45">
        <v>0.28000000000000003</v>
      </c>
      <c r="F110" s="13">
        <v>1</v>
      </c>
      <c r="G110" s="2" t="str">
        <f>IFERROR(VLOOKUP(T_Materiales[[#This Row],[UNIDAD DE COMPRA]],#REF!,3,0),"")</f>
        <v/>
      </c>
    </row>
    <row r="111" spans="2:7" x14ac:dyDescent="0.25">
      <c r="B111" s="2" t="s">
        <v>258</v>
      </c>
      <c r="C111" s="8" t="s">
        <v>319</v>
      </c>
      <c r="D111" s="8" t="s">
        <v>317</v>
      </c>
      <c r="E111" s="45">
        <v>0.2</v>
      </c>
      <c r="F111" s="13">
        <v>1</v>
      </c>
      <c r="G111" s="2" t="str">
        <f>IFERROR(VLOOKUP(T_Materiales[[#This Row],[UNIDAD DE COMPRA]],#REF!,3,0),"")</f>
        <v/>
      </c>
    </row>
    <row r="112" spans="2:7" x14ac:dyDescent="0.25">
      <c r="B112" s="2" t="s">
        <v>258</v>
      </c>
      <c r="C112" s="8" t="s">
        <v>316</v>
      </c>
      <c r="D112" s="8" t="s">
        <v>317</v>
      </c>
      <c r="E112" s="45">
        <v>0.86</v>
      </c>
      <c r="F112" s="13">
        <v>1</v>
      </c>
      <c r="G112" s="2" t="str">
        <f>IFERROR(VLOOKUP(T_Materiales[[#This Row],[UNIDAD DE COMPRA]],#REF!,3,0),"")</f>
        <v/>
      </c>
    </row>
    <row r="113" spans="2:7" x14ac:dyDescent="0.25">
      <c r="B113" s="2" t="s">
        <v>258</v>
      </c>
      <c r="C113" s="8" t="s">
        <v>1097</v>
      </c>
      <c r="D113" s="8" t="s">
        <v>78</v>
      </c>
      <c r="E113" s="46">
        <v>0.17499999999999999</v>
      </c>
      <c r="F113" s="13">
        <v>1</v>
      </c>
      <c r="G113" s="2" t="s">
        <v>78</v>
      </c>
    </row>
    <row r="114" spans="2:7" x14ac:dyDescent="0.25">
      <c r="B114" s="2" t="s">
        <v>258</v>
      </c>
      <c r="C114" s="8" t="s">
        <v>383</v>
      </c>
      <c r="D114" s="8" t="s">
        <v>317</v>
      </c>
      <c r="E114" s="45">
        <v>0.75</v>
      </c>
      <c r="F114" s="13">
        <v>1</v>
      </c>
      <c r="G114" s="2" t="str">
        <f>IFERROR(VLOOKUP(T_Materiales[[#This Row],[UNIDAD DE COMPRA]],#REF!,3,0),"")</f>
        <v/>
      </c>
    </row>
    <row r="115" spans="2:7" x14ac:dyDescent="0.25">
      <c r="B115" s="2" t="s">
        <v>258</v>
      </c>
      <c r="C115" s="8" t="s">
        <v>315</v>
      </c>
      <c r="D115" s="8" t="s">
        <v>264</v>
      </c>
      <c r="E115" s="45">
        <v>0.15</v>
      </c>
      <c r="F115" s="13">
        <v>1</v>
      </c>
      <c r="G115" s="2" t="str">
        <f>IFERROR(VLOOKUP(T_Materiales[[#This Row],[UNIDAD DE COMPRA]],#REF!,3,0),"")</f>
        <v/>
      </c>
    </row>
    <row r="116" spans="2:7" x14ac:dyDescent="0.25">
      <c r="B116" s="2" t="s">
        <v>258</v>
      </c>
      <c r="C116" s="8" t="s">
        <v>996</v>
      </c>
      <c r="D116" s="8" t="s">
        <v>78</v>
      </c>
      <c r="E116" s="46">
        <v>0.17</v>
      </c>
      <c r="F116" s="13">
        <v>1</v>
      </c>
      <c r="G116" s="2" t="s">
        <v>78</v>
      </c>
    </row>
    <row r="117" spans="2:7" x14ac:dyDescent="0.25">
      <c r="B117" s="2" t="s">
        <v>258</v>
      </c>
      <c r="C117" s="8" t="s">
        <v>382</v>
      </c>
      <c r="D117" s="8" t="s">
        <v>317</v>
      </c>
      <c r="E117" s="45">
        <v>0.78</v>
      </c>
      <c r="F117" s="13">
        <v>1</v>
      </c>
      <c r="G117" s="2" t="str">
        <f>IFERROR(VLOOKUP(T_Materiales[[#This Row],[UNIDAD DE COMPRA]],#REF!,3,0),"")</f>
        <v/>
      </c>
    </row>
    <row r="118" spans="2:7" x14ac:dyDescent="0.25">
      <c r="B118" s="2" t="s">
        <v>406</v>
      </c>
      <c r="C118" s="12" t="s">
        <v>424</v>
      </c>
      <c r="D118" s="8" t="s">
        <v>408</v>
      </c>
      <c r="E118" s="45">
        <v>7.4999999999999997E-2</v>
      </c>
      <c r="F118" s="16">
        <v>1</v>
      </c>
      <c r="G118" s="2" t="str">
        <f>IFERROR(VLOOKUP(T_Materiales[[#This Row],[UNIDAD DE COMPRA]],#REF!,3,0),"")</f>
        <v/>
      </c>
    </row>
    <row r="119" spans="2:7" x14ac:dyDescent="0.25">
      <c r="B119" s="2" t="s">
        <v>50</v>
      </c>
      <c r="C119" s="2" t="s">
        <v>145</v>
      </c>
      <c r="D119" s="2" t="s">
        <v>78</v>
      </c>
      <c r="E119" s="45">
        <v>8</v>
      </c>
      <c r="F119" s="13">
        <v>1</v>
      </c>
      <c r="G119" s="2" t="str">
        <f>IFERROR(VLOOKUP(T_Materiales[[#This Row],[UNIDAD DE COMPRA]],#REF!,3,0),"")</f>
        <v/>
      </c>
    </row>
    <row r="120" spans="2:7" x14ac:dyDescent="0.25">
      <c r="B120" s="2" t="s">
        <v>50</v>
      </c>
      <c r="C120" s="8" t="s">
        <v>253</v>
      </c>
      <c r="D120" s="2" t="s">
        <v>78</v>
      </c>
      <c r="E120" s="45">
        <v>4.5</v>
      </c>
      <c r="F120" s="13">
        <v>1</v>
      </c>
      <c r="G120" s="2" t="str">
        <f>IFERROR(VLOOKUP(T_Materiales[[#This Row],[UNIDAD DE COMPRA]],#REF!,3,0),"")</f>
        <v/>
      </c>
    </row>
    <row r="121" spans="2:7" x14ac:dyDescent="0.25">
      <c r="B121" s="2" t="s">
        <v>258</v>
      </c>
      <c r="C121" s="8" t="s">
        <v>306</v>
      </c>
      <c r="D121" s="8" t="s">
        <v>260</v>
      </c>
      <c r="E121" s="45">
        <v>0.18</v>
      </c>
      <c r="F121" s="13">
        <v>1</v>
      </c>
      <c r="G121" s="2" t="str">
        <f>IFERROR(VLOOKUP(T_Materiales[[#This Row],[UNIDAD DE COMPRA]],#REF!,3,0),"")</f>
        <v/>
      </c>
    </row>
    <row r="122" spans="2:7" x14ac:dyDescent="0.25">
      <c r="B122" s="2" t="s">
        <v>258</v>
      </c>
      <c r="C122" s="12" t="s">
        <v>404</v>
      </c>
      <c r="D122" s="8" t="s">
        <v>260</v>
      </c>
      <c r="E122" s="45">
        <v>0.12</v>
      </c>
      <c r="F122" s="13">
        <v>1</v>
      </c>
      <c r="G122" s="2" t="str">
        <f>IFERROR(VLOOKUP(T_Materiales[[#This Row],[UNIDAD DE COMPRA]],#REF!,3,0),"")</f>
        <v/>
      </c>
    </row>
    <row r="123" spans="2:7" x14ac:dyDescent="0.25">
      <c r="B123" s="2" t="s">
        <v>258</v>
      </c>
      <c r="C123" s="8" t="s">
        <v>303</v>
      </c>
      <c r="D123" s="8" t="s">
        <v>260</v>
      </c>
      <c r="E123" s="45">
        <v>0.08</v>
      </c>
      <c r="F123" s="13">
        <v>1</v>
      </c>
      <c r="G123" s="2" t="str">
        <f>IFERROR(VLOOKUP(T_Materiales[[#This Row],[UNIDAD DE COMPRA]],#REF!,3,0),"")</f>
        <v/>
      </c>
    </row>
    <row r="124" spans="2:7" x14ac:dyDescent="0.25">
      <c r="B124" s="2" t="s">
        <v>258</v>
      </c>
      <c r="C124" s="8" t="s">
        <v>305</v>
      </c>
      <c r="D124" s="8" t="s">
        <v>260</v>
      </c>
      <c r="E124" s="45">
        <v>0.25</v>
      </c>
      <c r="F124" s="13">
        <v>1</v>
      </c>
      <c r="G124" s="2" t="str">
        <f>IFERROR(VLOOKUP(T_Materiales[[#This Row],[UNIDAD DE COMPRA]],#REF!,3,0),"")</f>
        <v/>
      </c>
    </row>
    <row r="125" spans="2:7" x14ac:dyDescent="0.25">
      <c r="B125" s="2" t="s">
        <v>258</v>
      </c>
      <c r="C125" s="8" t="s">
        <v>301</v>
      </c>
      <c r="D125" s="8" t="s">
        <v>286</v>
      </c>
      <c r="E125" s="45">
        <v>1.8</v>
      </c>
      <c r="F125" s="13">
        <v>1</v>
      </c>
      <c r="G125" s="2" t="str">
        <f>IFERROR(VLOOKUP(T_Materiales[[#This Row],[UNIDAD DE COMPRA]],#REF!,3,0),"")</f>
        <v/>
      </c>
    </row>
    <row r="126" spans="2:7" x14ac:dyDescent="0.25">
      <c r="B126" s="2" t="s">
        <v>258</v>
      </c>
      <c r="C126" s="8" t="s">
        <v>302</v>
      </c>
      <c r="D126" s="8" t="s">
        <v>286</v>
      </c>
      <c r="E126" s="45">
        <v>1.8</v>
      </c>
      <c r="F126" s="13">
        <v>1</v>
      </c>
      <c r="G126" s="14" t="str">
        <f>IFERROR(VLOOKUP(T_Materiales[[#This Row],[UNIDAD DE COMPRA]],#REF!,3,0),"")</f>
        <v/>
      </c>
    </row>
    <row r="127" spans="2:7" x14ac:dyDescent="0.25">
      <c r="B127" s="2" t="s">
        <v>258</v>
      </c>
      <c r="C127" s="8" t="s">
        <v>296</v>
      </c>
      <c r="D127" s="8" t="s">
        <v>289</v>
      </c>
      <c r="E127" s="45">
        <v>0.9</v>
      </c>
      <c r="F127" s="13">
        <v>1</v>
      </c>
      <c r="G127" s="2" t="str">
        <f>IFERROR(VLOOKUP(T_Materiales[[#This Row],[UNIDAD DE COMPRA]],#REF!,3,0),"")</f>
        <v/>
      </c>
    </row>
    <row r="128" spans="2:7" x14ac:dyDescent="0.25">
      <c r="B128" s="2" t="s">
        <v>258</v>
      </c>
      <c r="C128" s="8" t="s">
        <v>613</v>
      </c>
      <c r="D128" s="8" t="s">
        <v>289</v>
      </c>
      <c r="E128" s="45">
        <v>1.2</v>
      </c>
      <c r="F128" s="13">
        <v>1</v>
      </c>
      <c r="G128" s="2" t="str">
        <f>IFERROR(VLOOKUP(T_Materiales[[#This Row],[UNIDAD DE COMPRA]],#REF!,3,0),"")</f>
        <v/>
      </c>
    </row>
    <row r="129" spans="2:7" x14ac:dyDescent="0.25">
      <c r="B129" s="2" t="s">
        <v>258</v>
      </c>
      <c r="C129" s="8" t="s">
        <v>612</v>
      </c>
      <c r="D129" s="8" t="s">
        <v>289</v>
      </c>
      <c r="E129" s="45">
        <v>1.4</v>
      </c>
      <c r="F129" s="13">
        <v>1</v>
      </c>
      <c r="G129" s="2" t="str">
        <f>IFERROR(VLOOKUP(T_Materiales[[#This Row],[UNIDAD DE COMPRA]],#REF!,3,0),"")</f>
        <v/>
      </c>
    </row>
    <row r="130" spans="2:7" x14ac:dyDescent="0.25">
      <c r="B130" s="2" t="s">
        <v>258</v>
      </c>
      <c r="C130" s="8" t="s">
        <v>298</v>
      </c>
      <c r="D130" s="8" t="s">
        <v>260</v>
      </c>
      <c r="E130" s="45">
        <v>0.28000000000000003</v>
      </c>
      <c r="F130" s="13">
        <v>1</v>
      </c>
      <c r="G130" s="14" t="str">
        <f>IFERROR(VLOOKUP(T_Materiales[[#This Row],[UNIDAD DE COMPRA]],#REF!,3,0),"")</f>
        <v/>
      </c>
    </row>
    <row r="131" spans="2:7" x14ac:dyDescent="0.25">
      <c r="B131" s="2" t="s">
        <v>258</v>
      </c>
      <c r="C131" s="8" t="s">
        <v>297</v>
      </c>
      <c r="D131" s="8" t="s">
        <v>260</v>
      </c>
      <c r="E131" s="45">
        <v>0.28000000000000003</v>
      </c>
      <c r="F131" s="13">
        <v>1</v>
      </c>
      <c r="G131" s="2" t="str">
        <f>IFERROR(VLOOKUP(T_Materiales[[#This Row],[UNIDAD DE COMPRA]],#REF!,3,0),"")</f>
        <v/>
      </c>
    </row>
    <row r="132" spans="2:7" x14ac:dyDescent="0.25">
      <c r="B132" s="2" t="s">
        <v>258</v>
      </c>
      <c r="C132" s="8" t="s">
        <v>300</v>
      </c>
      <c r="D132" s="8" t="s">
        <v>260</v>
      </c>
      <c r="E132" s="45">
        <v>0.28000000000000003</v>
      </c>
      <c r="F132" s="13">
        <v>1</v>
      </c>
      <c r="G132" s="14" t="str">
        <f>IFERROR(VLOOKUP(T_Materiales[[#This Row],[UNIDAD DE COMPRA]],#REF!,3,0),"")</f>
        <v/>
      </c>
    </row>
    <row r="133" spans="2:7" x14ac:dyDescent="0.25">
      <c r="B133" s="2" t="s">
        <v>258</v>
      </c>
      <c r="C133" s="8" t="s">
        <v>299</v>
      </c>
      <c r="D133" s="8" t="s">
        <v>260</v>
      </c>
      <c r="E133" s="45">
        <v>0.28000000000000003</v>
      </c>
      <c r="F133" s="13">
        <v>1</v>
      </c>
      <c r="G133" s="14" t="str">
        <f>IFERROR(VLOOKUP(T_Materiales[[#This Row],[UNIDAD DE COMPRA]],#REF!,3,0),"")</f>
        <v/>
      </c>
    </row>
    <row r="134" spans="2:7" x14ac:dyDescent="0.25">
      <c r="B134" s="2" t="s">
        <v>50</v>
      </c>
      <c r="C134" s="8" t="s">
        <v>11</v>
      </c>
      <c r="D134" s="2" t="s">
        <v>78</v>
      </c>
      <c r="E134" s="45">
        <v>3.5</v>
      </c>
      <c r="F134" s="13">
        <v>1</v>
      </c>
      <c r="G134" s="2" t="str">
        <f>IFERROR(VLOOKUP(T_Materiales[[#This Row],[UNIDAD DE COMPRA]],#REF!,3,0),"")</f>
        <v/>
      </c>
    </row>
    <row r="135" spans="2:7" x14ac:dyDescent="0.25">
      <c r="B135" s="2" t="s">
        <v>258</v>
      </c>
      <c r="C135" s="8" t="s">
        <v>291</v>
      </c>
      <c r="D135" s="8" t="s">
        <v>289</v>
      </c>
      <c r="E135" s="45">
        <v>0.25</v>
      </c>
      <c r="F135" s="13">
        <v>1</v>
      </c>
      <c r="G135" s="14" t="str">
        <f>IFERROR(VLOOKUP(T_Materiales[[#This Row],[UNIDAD DE COMPRA]],#REF!,3,0),"")</f>
        <v/>
      </c>
    </row>
    <row r="136" spans="2:7" x14ac:dyDescent="0.25">
      <c r="B136" s="2" t="s">
        <v>258</v>
      </c>
      <c r="C136" s="8" t="s">
        <v>35</v>
      </c>
      <c r="D136" s="8" t="s">
        <v>289</v>
      </c>
      <c r="E136" s="45">
        <v>0.25</v>
      </c>
      <c r="F136" s="13">
        <v>1</v>
      </c>
      <c r="G136" s="2" t="str">
        <f>IFERROR(VLOOKUP(T_Materiales[[#This Row],[UNIDAD DE COMPRA]],#REF!,3,0),"")</f>
        <v/>
      </c>
    </row>
    <row r="137" spans="2:7" x14ac:dyDescent="0.25">
      <c r="B137" s="2" t="s">
        <v>258</v>
      </c>
      <c r="C137" s="8" t="s">
        <v>290</v>
      </c>
      <c r="D137" s="8" t="s">
        <v>289</v>
      </c>
      <c r="E137" s="45">
        <v>0.25</v>
      </c>
      <c r="F137" s="13">
        <v>1</v>
      </c>
      <c r="G137" s="14" t="str">
        <f>IFERROR(VLOOKUP(T_Materiales[[#This Row],[UNIDAD DE COMPRA]],#REF!,3,0),"")</f>
        <v/>
      </c>
    </row>
    <row r="138" spans="2:7" x14ac:dyDescent="0.25">
      <c r="B138" s="2" t="s">
        <v>258</v>
      </c>
      <c r="C138" s="8" t="s">
        <v>294</v>
      </c>
      <c r="D138" s="8" t="s">
        <v>289</v>
      </c>
      <c r="E138" s="45">
        <v>0.28000000000000003</v>
      </c>
      <c r="F138" s="13">
        <v>1</v>
      </c>
      <c r="G138" s="2" t="str">
        <f>IFERROR(VLOOKUP(T_Materiales[[#This Row],[UNIDAD DE COMPRA]],#REF!,3,0),"")</f>
        <v/>
      </c>
    </row>
    <row r="139" spans="2:7" x14ac:dyDescent="0.25">
      <c r="B139" s="2" t="s">
        <v>258</v>
      </c>
      <c r="C139" s="8" t="s">
        <v>295</v>
      </c>
      <c r="D139" s="8" t="s">
        <v>289</v>
      </c>
      <c r="E139" s="45">
        <v>0.28000000000000003</v>
      </c>
      <c r="F139" s="13">
        <v>1</v>
      </c>
      <c r="G139" s="14" t="str">
        <f>IFERROR(VLOOKUP(T_Materiales[[#This Row],[UNIDAD DE COMPRA]],#REF!,3,0),"")</f>
        <v/>
      </c>
    </row>
    <row r="140" spans="2:7" x14ac:dyDescent="0.25">
      <c r="B140" s="2" t="s">
        <v>258</v>
      </c>
      <c r="C140" s="8" t="s">
        <v>34</v>
      </c>
      <c r="D140" s="8" t="s">
        <v>289</v>
      </c>
      <c r="E140" s="45">
        <v>0.3</v>
      </c>
      <c r="F140" s="13">
        <v>1</v>
      </c>
      <c r="G140" s="2" t="str">
        <f>IFERROR(VLOOKUP(T_Materiales[[#This Row],[UNIDAD DE COMPRA]],#REF!,3,0),"")</f>
        <v/>
      </c>
    </row>
    <row r="141" spans="2:7" x14ac:dyDescent="0.25">
      <c r="B141" s="2" t="s">
        <v>258</v>
      </c>
      <c r="C141" s="8" t="s">
        <v>293</v>
      </c>
      <c r="D141" s="8" t="s">
        <v>289</v>
      </c>
      <c r="E141" s="45">
        <v>3</v>
      </c>
      <c r="F141" s="13">
        <v>1</v>
      </c>
      <c r="G141" s="14" t="str">
        <f>IFERROR(VLOOKUP(T_Materiales[[#This Row],[UNIDAD DE COMPRA]],#REF!,3,0),"")</f>
        <v/>
      </c>
    </row>
    <row r="142" spans="2:7" x14ac:dyDescent="0.25">
      <c r="B142" s="2" t="s">
        <v>258</v>
      </c>
      <c r="C142" s="8" t="s">
        <v>292</v>
      </c>
      <c r="D142" s="8" t="s">
        <v>289</v>
      </c>
      <c r="E142" s="45">
        <v>3</v>
      </c>
      <c r="F142" s="13">
        <v>1</v>
      </c>
      <c r="G142" s="14" t="str">
        <f>IFERROR(VLOOKUP(T_Materiales[[#This Row],[UNIDAD DE COMPRA]],#REF!,3,0),"")</f>
        <v/>
      </c>
    </row>
    <row r="143" spans="2:7" x14ac:dyDescent="0.25">
      <c r="B143" s="2" t="s">
        <v>50</v>
      </c>
      <c r="C143" s="2" t="s">
        <v>170</v>
      </c>
      <c r="D143" s="2" t="s">
        <v>78</v>
      </c>
      <c r="E143" s="46">
        <v>5.2</v>
      </c>
      <c r="F143" s="13">
        <v>1</v>
      </c>
      <c r="G143" s="14" t="str">
        <f>IFERROR(VLOOKUP(T_Materiales[[#This Row],[UNIDAD DE COMPRA]],#REF!,3,0),"")</f>
        <v/>
      </c>
    </row>
    <row r="144" spans="2:7" x14ac:dyDescent="0.25">
      <c r="B144" s="2" t="s">
        <v>50</v>
      </c>
      <c r="C144" s="2" t="s">
        <v>166</v>
      </c>
      <c r="D144" s="2" t="s">
        <v>78</v>
      </c>
      <c r="E144" s="45">
        <v>7</v>
      </c>
      <c r="F144" s="13">
        <v>1</v>
      </c>
      <c r="G144" s="2" t="str">
        <f>IFERROR(VLOOKUP(T_Materiales[[#This Row],[UNIDAD DE COMPRA]],#REF!,3,0),"")</f>
        <v/>
      </c>
    </row>
    <row r="145" spans="2:7" x14ac:dyDescent="0.25">
      <c r="B145" s="2" t="s">
        <v>50</v>
      </c>
      <c r="C145" s="2" t="s">
        <v>168</v>
      </c>
      <c r="D145" s="2" t="s">
        <v>78</v>
      </c>
      <c r="E145" s="46">
        <v>5.2</v>
      </c>
      <c r="F145" s="13">
        <v>1</v>
      </c>
      <c r="G145" s="14" t="str">
        <f>IFERROR(VLOOKUP(T_Materiales[[#This Row],[UNIDAD DE COMPRA]],#REF!,3,0),"")</f>
        <v/>
      </c>
    </row>
    <row r="146" spans="2:7" x14ac:dyDescent="0.25">
      <c r="B146" s="2" t="s">
        <v>50</v>
      </c>
      <c r="C146" s="2" t="s">
        <v>173</v>
      </c>
      <c r="D146" s="2" t="s">
        <v>78</v>
      </c>
      <c r="E146" s="46">
        <v>5.2</v>
      </c>
      <c r="F146" s="13">
        <v>1</v>
      </c>
      <c r="G146" s="14" t="str">
        <f>IFERROR(VLOOKUP(T_Materiales[[#This Row],[UNIDAD DE COMPRA]],#REF!,3,0),"")</f>
        <v/>
      </c>
    </row>
    <row r="147" spans="2:7" x14ac:dyDescent="0.25">
      <c r="B147" s="2" t="s">
        <v>50</v>
      </c>
      <c r="C147" s="2" t="s">
        <v>174</v>
      </c>
      <c r="D147" s="2" t="s">
        <v>78</v>
      </c>
      <c r="E147" s="46">
        <v>5.2</v>
      </c>
      <c r="F147" s="13">
        <v>1</v>
      </c>
      <c r="G147" s="14" t="str">
        <f>IFERROR(VLOOKUP(T_Materiales[[#This Row],[UNIDAD DE COMPRA]],#REF!,3,0),"")</f>
        <v/>
      </c>
    </row>
    <row r="148" spans="2:7" x14ac:dyDescent="0.25">
      <c r="B148" s="2" t="s">
        <v>50</v>
      </c>
      <c r="C148" s="2" t="s">
        <v>172</v>
      </c>
      <c r="D148" s="2" t="s">
        <v>78</v>
      </c>
      <c r="E148" s="46">
        <v>5.2</v>
      </c>
      <c r="F148" s="13">
        <v>1</v>
      </c>
      <c r="G148" s="14" t="str">
        <f>IFERROR(VLOOKUP(T_Materiales[[#This Row],[UNIDAD DE COMPRA]],#REF!,3,0),"")</f>
        <v/>
      </c>
    </row>
    <row r="149" spans="2:7" x14ac:dyDescent="0.25">
      <c r="B149" s="2" t="s">
        <v>50</v>
      </c>
      <c r="C149" s="2" t="s">
        <v>171</v>
      </c>
      <c r="D149" s="2" t="s">
        <v>78</v>
      </c>
      <c r="E149" s="46">
        <v>5.2</v>
      </c>
      <c r="F149" s="13">
        <v>1</v>
      </c>
      <c r="G149" s="14" t="str">
        <f>IFERROR(VLOOKUP(T_Materiales[[#This Row],[UNIDAD DE COMPRA]],#REF!,3,0),"")</f>
        <v/>
      </c>
    </row>
    <row r="150" spans="2:7" x14ac:dyDescent="0.25">
      <c r="B150" s="2" t="s">
        <v>50</v>
      </c>
      <c r="C150" s="2" t="s">
        <v>169</v>
      </c>
      <c r="D150" s="2" t="s">
        <v>78</v>
      </c>
      <c r="E150" s="46">
        <v>5.2</v>
      </c>
      <c r="F150" s="13">
        <v>1</v>
      </c>
      <c r="G150" s="14" t="str">
        <f>IFERROR(VLOOKUP(T_Materiales[[#This Row],[UNIDAD DE COMPRA]],#REF!,3,0),"")</f>
        <v/>
      </c>
    </row>
    <row r="151" spans="2:7" x14ac:dyDescent="0.25">
      <c r="B151" s="2" t="s">
        <v>50</v>
      </c>
      <c r="C151" s="2" t="s">
        <v>167</v>
      </c>
      <c r="D151" s="2" t="s">
        <v>78</v>
      </c>
      <c r="E151" s="46">
        <v>5.2</v>
      </c>
      <c r="F151" s="13">
        <v>1</v>
      </c>
      <c r="G151" s="14" t="str">
        <f>IFERROR(VLOOKUP(T_Materiales[[#This Row],[UNIDAD DE COMPRA]],#REF!,3,0),"")</f>
        <v/>
      </c>
    </row>
    <row r="152" spans="2:7" x14ac:dyDescent="0.25">
      <c r="B152" s="2" t="s">
        <v>258</v>
      </c>
      <c r="C152" s="8" t="s">
        <v>285</v>
      </c>
      <c r="D152" s="2" t="s">
        <v>78</v>
      </c>
      <c r="E152" s="45">
        <v>2.7699999999999999E-2</v>
      </c>
      <c r="F152" s="13">
        <v>1</v>
      </c>
      <c r="G152" s="2" t="str">
        <f>IFERROR(VLOOKUP(T_Materiales[[#This Row],[UNIDAD DE COMPRA]],#REF!,3,0),"")</f>
        <v/>
      </c>
    </row>
    <row r="153" spans="2:7" x14ac:dyDescent="0.25">
      <c r="B153" s="2" t="s">
        <v>258</v>
      </c>
      <c r="C153" s="8" t="s">
        <v>287</v>
      </c>
      <c r="D153" s="2" t="s">
        <v>78</v>
      </c>
      <c r="E153" s="45">
        <v>20</v>
      </c>
      <c r="F153" s="13">
        <v>1</v>
      </c>
      <c r="G153" s="2" t="str">
        <f>IFERROR(VLOOKUP(T_Materiales[[#This Row],[UNIDAD DE COMPRA]],#REF!,3,0),"")</f>
        <v/>
      </c>
    </row>
    <row r="154" spans="2:7" x14ac:dyDescent="0.25">
      <c r="B154" s="2" t="s">
        <v>258</v>
      </c>
      <c r="C154" s="8" t="s">
        <v>288</v>
      </c>
      <c r="D154" s="2" t="s">
        <v>78</v>
      </c>
      <c r="E154" s="45">
        <v>20</v>
      </c>
      <c r="F154" s="13">
        <v>1</v>
      </c>
      <c r="G154" s="2" t="s">
        <v>78</v>
      </c>
    </row>
    <row r="155" spans="2:7" x14ac:dyDescent="0.25">
      <c r="B155" s="2" t="s">
        <v>258</v>
      </c>
      <c r="C155" s="8" t="s">
        <v>283</v>
      </c>
      <c r="D155" s="2" t="s">
        <v>78</v>
      </c>
      <c r="E155" s="45">
        <v>15</v>
      </c>
      <c r="F155" s="13">
        <v>1</v>
      </c>
      <c r="G155" s="2" t="str">
        <f>IFERROR(VLOOKUP(T_Materiales[[#This Row],[UNIDAD DE COMPRA]],#REF!,3,0),"")</f>
        <v/>
      </c>
    </row>
    <row r="156" spans="2:7" x14ac:dyDescent="0.25">
      <c r="B156" s="2" t="s">
        <v>258</v>
      </c>
      <c r="C156" s="8" t="s">
        <v>284</v>
      </c>
      <c r="D156" s="2" t="s">
        <v>78</v>
      </c>
      <c r="E156" s="45">
        <v>15</v>
      </c>
      <c r="F156" s="13">
        <v>1</v>
      </c>
      <c r="G156" s="2" t="s">
        <v>78</v>
      </c>
    </row>
    <row r="157" spans="2:7" x14ac:dyDescent="0.25">
      <c r="B157" s="2" t="s">
        <v>258</v>
      </c>
      <c r="C157" s="8" t="s">
        <v>282</v>
      </c>
      <c r="D157" s="2" t="s">
        <v>78</v>
      </c>
      <c r="E157" s="45">
        <v>30</v>
      </c>
      <c r="F157" s="13">
        <v>1</v>
      </c>
      <c r="G157" s="2" t="str">
        <f>IFERROR(VLOOKUP(T_Materiales[[#This Row],[UNIDAD DE COMPRA]],#REF!,3,0),"")</f>
        <v/>
      </c>
    </row>
    <row r="158" spans="2:7" x14ac:dyDescent="0.25">
      <c r="B158" s="2" t="s">
        <v>258</v>
      </c>
      <c r="C158" s="8" t="s">
        <v>265</v>
      </c>
      <c r="D158" s="2" t="s">
        <v>78</v>
      </c>
      <c r="E158" s="45">
        <v>1E-3</v>
      </c>
      <c r="F158" s="13">
        <v>1</v>
      </c>
      <c r="G158" s="14" t="str">
        <f>IFERROR(VLOOKUP(T_Materiales[[#This Row],[UNIDAD DE COMPRA]],#REF!,3,0),"")</f>
        <v/>
      </c>
    </row>
    <row r="159" spans="2:7" x14ac:dyDescent="0.25">
      <c r="B159" s="2" t="s">
        <v>258</v>
      </c>
      <c r="C159" s="8" t="s">
        <v>67</v>
      </c>
      <c r="D159" s="2" t="s">
        <v>78</v>
      </c>
      <c r="E159" s="45">
        <v>1E-3</v>
      </c>
      <c r="F159" s="13">
        <v>1</v>
      </c>
      <c r="G159" s="14" t="str">
        <f>IFERROR(VLOOKUP(T_Materiales[[#This Row],[UNIDAD DE COMPRA]],#REF!,3,0),"")</f>
        <v/>
      </c>
    </row>
    <row r="160" spans="2:7" x14ac:dyDescent="0.25">
      <c r="B160" s="2" t="s">
        <v>258</v>
      </c>
      <c r="C160" s="8" t="s">
        <v>67</v>
      </c>
      <c r="D160" s="2" t="s">
        <v>78</v>
      </c>
      <c r="E160" s="45">
        <v>1E-3</v>
      </c>
      <c r="F160" s="13">
        <v>1</v>
      </c>
      <c r="G160" s="14" t="str">
        <f>IFERROR(VLOOKUP(T_Materiales[[#This Row],[UNIDAD DE COMPRA]],#REF!,3,0),"")</f>
        <v/>
      </c>
    </row>
    <row r="161" spans="2:7" x14ac:dyDescent="0.25">
      <c r="B161" s="2" t="s">
        <v>258</v>
      </c>
      <c r="C161" s="8" t="s">
        <v>266</v>
      </c>
      <c r="D161" s="2" t="s">
        <v>78</v>
      </c>
      <c r="E161" s="45">
        <v>1E-3</v>
      </c>
      <c r="F161" s="13">
        <v>1</v>
      </c>
      <c r="G161" s="14" t="str">
        <f>IFERROR(VLOOKUP(T_Materiales[[#This Row],[UNIDAD DE COMPRA]],#REF!,3,0),"")</f>
        <v/>
      </c>
    </row>
    <row r="162" spans="2:7" x14ac:dyDescent="0.25">
      <c r="B162" s="2" t="s">
        <v>258</v>
      </c>
      <c r="C162" s="8" t="s">
        <v>267</v>
      </c>
      <c r="D162" s="2" t="s">
        <v>78</v>
      </c>
      <c r="E162" s="45">
        <v>1E-3</v>
      </c>
      <c r="F162" s="13">
        <v>1</v>
      </c>
      <c r="G162" s="14" t="str">
        <f>IFERROR(VLOOKUP(T_Materiales[[#This Row],[UNIDAD DE COMPRA]],#REF!,3,0),"")</f>
        <v/>
      </c>
    </row>
    <row r="163" spans="2:7" x14ac:dyDescent="0.25">
      <c r="B163" s="2" t="s">
        <v>258</v>
      </c>
      <c r="C163" s="8" t="s">
        <v>281</v>
      </c>
      <c r="D163" s="2" t="s">
        <v>78</v>
      </c>
      <c r="E163" s="45">
        <v>1E-3</v>
      </c>
      <c r="F163" s="13">
        <v>1</v>
      </c>
      <c r="G163" s="14" t="str">
        <f>IFERROR(VLOOKUP(T_Materiales[[#This Row],[UNIDAD DE COMPRA]],#REF!,3,0),"")</f>
        <v/>
      </c>
    </row>
    <row r="164" spans="2:7" x14ac:dyDescent="0.25">
      <c r="B164" s="2" t="s">
        <v>258</v>
      </c>
      <c r="C164" s="8" t="s">
        <v>263</v>
      </c>
      <c r="D164" s="2" t="s">
        <v>78</v>
      </c>
      <c r="E164" s="45">
        <v>1E-3</v>
      </c>
      <c r="F164" s="13">
        <v>1</v>
      </c>
      <c r="G164" s="2" t="str">
        <f>IFERROR(VLOOKUP(T_Materiales[[#This Row],[UNIDAD DE COMPRA]],#REF!,3,0),"")</f>
        <v/>
      </c>
    </row>
    <row r="165" spans="2:7" x14ac:dyDescent="0.25">
      <c r="B165" s="2" t="s">
        <v>258</v>
      </c>
      <c r="C165" s="8" t="s">
        <v>279</v>
      </c>
      <c r="D165" s="2" t="s">
        <v>78</v>
      </c>
      <c r="E165" s="45">
        <v>1E-3</v>
      </c>
      <c r="F165" s="13">
        <v>1</v>
      </c>
      <c r="G165" s="14" t="str">
        <f>IFERROR(VLOOKUP(T_Materiales[[#This Row],[UNIDAD DE COMPRA]],#REF!,3,0),"")</f>
        <v/>
      </c>
    </row>
    <row r="166" spans="2:7" x14ac:dyDescent="0.25">
      <c r="B166" s="2" t="s">
        <v>258</v>
      </c>
      <c r="C166" s="8" t="s">
        <v>277</v>
      </c>
      <c r="D166" s="2" t="s">
        <v>78</v>
      </c>
      <c r="E166" s="45">
        <v>1E-3</v>
      </c>
      <c r="F166" s="13">
        <v>1</v>
      </c>
      <c r="G166" s="14" t="str">
        <f>IFERROR(VLOOKUP(T_Materiales[[#This Row],[UNIDAD DE COMPRA]],#REF!,3,0),"")</f>
        <v/>
      </c>
    </row>
    <row r="167" spans="2:7" x14ac:dyDescent="0.25">
      <c r="B167" s="2" t="s">
        <v>258</v>
      </c>
      <c r="C167" s="8" t="s">
        <v>278</v>
      </c>
      <c r="D167" s="2" t="s">
        <v>78</v>
      </c>
      <c r="E167" s="45">
        <v>1E-3</v>
      </c>
      <c r="F167" s="13">
        <v>1</v>
      </c>
      <c r="G167" s="14" t="str">
        <f>IFERROR(VLOOKUP(T_Materiales[[#This Row],[UNIDAD DE COMPRA]],#REF!,3,0),"")</f>
        <v/>
      </c>
    </row>
    <row r="168" spans="2:7" x14ac:dyDescent="0.25">
      <c r="B168" s="2" t="s">
        <v>258</v>
      </c>
      <c r="C168" s="8" t="s">
        <v>275</v>
      </c>
      <c r="D168" s="2" t="s">
        <v>78</v>
      </c>
      <c r="E168" s="45">
        <v>1E-3</v>
      </c>
      <c r="F168" s="13">
        <v>1</v>
      </c>
      <c r="G168" s="14" t="str">
        <f>IFERROR(VLOOKUP(T_Materiales[[#This Row],[UNIDAD DE COMPRA]],#REF!,3,0),"")</f>
        <v/>
      </c>
    </row>
    <row r="169" spans="2:7" x14ac:dyDescent="0.25">
      <c r="B169" s="2" t="s">
        <v>258</v>
      </c>
      <c r="C169" s="8" t="s">
        <v>280</v>
      </c>
      <c r="D169" s="2" t="s">
        <v>78</v>
      </c>
      <c r="E169" s="45">
        <v>1E-3</v>
      </c>
      <c r="F169" s="13">
        <v>1</v>
      </c>
      <c r="G169" s="14" t="str">
        <f>IFERROR(VLOOKUP(T_Materiales[[#This Row],[UNIDAD DE COMPRA]],#REF!,3,0),"")</f>
        <v/>
      </c>
    </row>
    <row r="170" spans="2:7" x14ac:dyDescent="0.25">
      <c r="B170" s="2" t="s">
        <v>258</v>
      </c>
      <c r="C170" s="8" t="s">
        <v>273</v>
      </c>
      <c r="D170" s="2" t="s">
        <v>78</v>
      </c>
      <c r="E170" s="45">
        <v>1E-3</v>
      </c>
      <c r="F170" s="13">
        <v>1</v>
      </c>
      <c r="G170" s="14" t="str">
        <f>IFERROR(VLOOKUP(T_Materiales[[#This Row],[UNIDAD DE COMPRA]],#REF!,3,0),"")</f>
        <v/>
      </c>
    </row>
    <row r="171" spans="2:7" x14ac:dyDescent="0.25">
      <c r="B171" s="2" t="s">
        <v>258</v>
      </c>
      <c r="C171" s="8" t="s">
        <v>274</v>
      </c>
      <c r="D171" s="2" t="s">
        <v>78</v>
      </c>
      <c r="E171" s="45">
        <v>1E-3</v>
      </c>
      <c r="F171" s="13">
        <v>1</v>
      </c>
      <c r="G171" s="14" t="str">
        <f>IFERROR(VLOOKUP(T_Materiales[[#This Row],[UNIDAD DE COMPRA]],#REF!,3,0),"")</f>
        <v/>
      </c>
    </row>
    <row r="172" spans="2:7" x14ac:dyDescent="0.25">
      <c r="B172" s="2" t="s">
        <v>258</v>
      </c>
      <c r="C172" s="8" t="s">
        <v>68</v>
      </c>
      <c r="D172" s="2" t="s">
        <v>78</v>
      </c>
      <c r="E172" s="45">
        <v>1E-3</v>
      </c>
      <c r="F172" s="13">
        <v>1</v>
      </c>
      <c r="G172" s="14" t="str">
        <f>IFERROR(VLOOKUP(T_Materiales[[#This Row],[UNIDAD DE COMPRA]],#REF!,3,0),"")</f>
        <v/>
      </c>
    </row>
    <row r="173" spans="2:7" x14ac:dyDescent="0.25">
      <c r="B173" s="2" t="s">
        <v>258</v>
      </c>
      <c r="C173" s="8" t="s">
        <v>69</v>
      </c>
      <c r="D173" s="2" t="s">
        <v>78</v>
      </c>
      <c r="E173" s="45">
        <v>1E-3</v>
      </c>
      <c r="F173" s="13">
        <v>1</v>
      </c>
      <c r="G173" s="14" t="str">
        <f>IFERROR(VLOOKUP(T_Materiales[[#This Row],[UNIDAD DE COMPRA]],[2]!T_Equivalencias[#All],3,0),"")</f>
        <v/>
      </c>
    </row>
    <row r="174" spans="2:7" x14ac:dyDescent="0.25">
      <c r="B174" s="2" t="s">
        <v>258</v>
      </c>
      <c r="C174" s="8" t="s">
        <v>276</v>
      </c>
      <c r="D174" s="2" t="s">
        <v>78</v>
      </c>
      <c r="E174" s="45">
        <v>1E-3</v>
      </c>
      <c r="F174" s="13">
        <v>1</v>
      </c>
      <c r="G174" s="14" t="str">
        <f>IFERROR(VLOOKUP(T_Materiales[[#This Row],[UNIDAD DE COMPRA]],#REF!,3,0),"")</f>
        <v/>
      </c>
    </row>
    <row r="175" spans="2:7" x14ac:dyDescent="0.25">
      <c r="B175" s="2" t="s">
        <v>258</v>
      </c>
      <c r="C175" s="8" t="s">
        <v>270</v>
      </c>
      <c r="D175" s="2" t="s">
        <v>78</v>
      </c>
      <c r="E175" s="45">
        <v>1E-3</v>
      </c>
      <c r="F175" s="13">
        <v>1</v>
      </c>
      <c r="G175" s="14" t="str">
        <f>IFERROR(VLOOKUP(T_Materiales[[#This Row],[UNIDAD DE COMPRA]],#REF!,3,0),"")</f>
        <v/>
      </c>
    </row>
    <row r="176" spans="2:7" x14ac:dyDescent="0.25">
      <c r="B176" s="2" t="s">
        <v>258</v>
      </c>
      <c r="C176" s="8" t="s">
        <v>271</v>
      </c>
      <c r="D176" s="2" t="s">
        <v>78</v>
      </c>
      <c r="E176" s="45">
        <v>1E-3</v>
      </c>
      <c r="F176" s="13">
        <v>1</v>
      </c>
      <c r="G176" s="14" t="str">
        <f>IFERROR(VLOOKUP(T_Materiales[[#This Row],[UNIDAD DE COMPRA]],#REF!,3,0),"")</f>
        <v/>
      </c>
    </row>
    <row r="177" spans="2:7" x14ac:dyDescent="0.25">
      <c r="B177" s="2" t="s">
        <v>258</v>
      </c>
      <c r="C177" s="8" t="s">
        <v>268</v>
      </c>
      <c r="D177" s="2" t="s">
        <v>78</v>
      </c>
      <c r="E177" s="45">
        <v>1E-3</v>
      </c>
      <c r="F177" s="13">
        <v>1</v>
      </c>
      <c r="G177" s="14" t="str">
        <f>IFERROR(VLOOKUP(T_Materiales[[#This Row],[UNIDAD DE COMPRA]],#REF!,3,0),"")</f>
        <v/>
      </c>
    </row>
    <row r="178" spans="2:7" x14ac:dyDescent="0.25">
      <c r="B178" s="2" t="s">
        <v>258</v>
      </c>
      <c r="C178" s="8" t="s">
        <v>272</v>
      </c>
      <c r="D178" s="2" t="s">
        <v>78</v>
      </c>
      <c r="E178" s="45">
        <v>1E-3</v>
      </c>
      <c r="F178" s="13">
        <v>1</v>
      </c>
      <c r="G178" s="14" t="str">
        <f>IFERROR(VLOOKUP(T_Materiales[[#This Row],[UNIDAD DE COMPRA]],#REF!,3,0),"")</f>
        <v/>
      </c>
    </row>
    <row r="179" spans="2:7" x14ac:dyDescent="0.25">
      <c r="B179" s="2" t="s">
        <v>258</v>
      </c>
      <c r="C179" s="8" t="s">
        <v>269</v>
      </c>
      <c r="D179" s="2" t="s">
        <v>78</v>
      </c>
      <c r="E179" s="45">
        <v>1E-3</v>
      </c>
      <c r="F179" s="13">
        <v>1</v>
      </c>
      <c r="G179" s="14" t="str">
        <f>IFERROR(VLOOKUP(T_Materiales[[#This Row],[UNIDAD DE COMPRA]],#REF!,3,0),"")</f>
        <v/>
      </c>
    </row>
    <row r="180" spans="2:7" x14ac:dyDescent="0.25">
      <c r="B180" s="2" t="s">
        <v>258</v>
      </c>
      <c r="C180" s="8" t="s">
        <v>1125</v>
      </c>
      <c r="D180" s="8" t="s">
        <v>439</v>
      </c>
      <c r="E180" s="46">
        <v>7.5</v>
      </c>
      <c r="F180" s="13">
        <v>1</v>
      </c>
      <c r="G180" s="2" t="s">
        <v>396</v>
      </c>
    </row>
    <row r="181" spans="2:7" x14ac:dyDescent="0.25">
      <c r="B181" s="2" t="s">
        <v>50</v>
      </c>
      <c r="C181" s="8" t="s">
        <v>252</v>
      </c>
      <c r="D181" s="2" t="s">
        <v>78</v>
      </c>
      <c r="E181" s="45">
        <v>16</v>
      </c>
      <c r="F181" s="13">
        <v>1</v>
      </c>
      <c r="G181" s="2" t="str">
        <f>IFERROR(VLOOKUP(T_Materiales[[#This Row],[UNIDAD DE COMPRA]],#REF!,3,0),"")</f>
        <v/>
      </c>
    </row>
    <row r="182" spans="2:7" x14ac:dyDescent="0.25">
      <c r="B182" s="2" t="s">
        <v>50</v>
      </c>
      <c r="C182" s="2" t="s">
        <v>183</v>
      </c>
      <c r="D182" s="2" t="s">
        <v>78</v>
      </c>
      <c r="E182" s="45">
        <v>11</v>
      </c>
      <c r="F182" s="13">
        <v>1</v>
      </c>
      <c r="G182" s="14" t="str">
        <f>IFERROR(VLOOKUP(T_Materiales[[#This Row],[UNIDAD DE COMPRA]],#REF!,3,0),"")</f>
        <v/>
      </c>
    </row>
    <row r="183" spans="2:7" x14ac:dyDescent="0.25">
      <c r="B183" s="2" t="s">
        <v>50</v>
      </c>
      <c r="C183" s="2" t="s">
        <v>182</v>
      </c>
      <c r="D183" s="2" t="s">
        <v>78</v>
      </c>
      <c r="E183" s="45">
        <v>11</v>
      </c>
      <c r="F183" s="13">
        <v>1</v>
      </c>
      <c r="G183" s="14" t="str">
        <f>IFERROR(VLOOKUP(T_Materiales[[#This Row],[UNIDAD DE COMPRA]],#REF!,3,0),"")</f>
        <v/>
      </c>
    </row>
    <row r="184" spans="2:7" x14ac:dyDescent="0.25">
      <c r="B184" s="2" t="s">
        <v>50</v>
      </c>
      <c r="C184" s="2" t="s">
        <v>184</v>
      </c>
      <c r="D184" s="2" t="s">
        <v>78</v>
      </c>
      <c r="E184" s="45">
        <v>10</v>
      </c>
      <c r="F184" s="13">
        <v>1</v>
      </c>
      <c r="G184" s="2" t="str">
        <f>IFERROR(VLOOKUP(T_Materiales[[#This Row],[UNIDAD DE COMPRA]],#REF!,3,0),"")</f>
        <v/>
      </c>
    </row>
    <row r="185" spans="2:7" x14ac:dyDescent="0.25">
      <c r="B185" s="2" t="s">
        <v>50</v>
      </c>
      <c r="C185" s="2" t="s">
        <v>185</v>
      </c>
      <c r="D185" s="2" t="s">
        <v>78</v>
      </c>
      <c r="E185" s="45">
        <v>10</v>
      </c>
      <c r="F185" s="13">
        <v>1</v>
      </c>
      <c r="G185" s="14" t="str">
        <f>IFERROR(VLOOKUP(T_Materiales[[#This Row],[UNIDAD DE COMPRA]],#REF!,3,0),"")</f>
        <v/>
      </c>
    </row>
    <row r="186" spans="2:7" x14ac:dyDescent="0.25">
      <c r="B186" s="2" t="s">
        <v>50</v>
      </c>
      <c r="C186" s="2" t="s">
        <v>161</v>
      </c>
      <c r="D186" s="2" t="s">
        <v>78</v>
      </c>
      <c r="E186" s="45">
        <v>4.8</v>
      </c>
      <c r="F186" s="13">
        <v>1</v>
      </c>
      <c r="G186" s="2" t="str">
        <f>IFERROR(VLOOKUP(T_Materiales[[#This Row],[UNIDAD DE COMPRA]],#REF!,3,0),"")</f>
        <v/>
      </c>
    </row>
    <row r="187" spans="2:7" x14ac:dyDescent="0.25">
      <c r="B187" s="2" t="s">
        <v>50</v>
      </c>
      <c r="C187" s="2" t="s">
        <v>179</v>
      </c>
      <c r="D187" s="2" t="s">
        <v>78</v>
      </c>
      <c r="E187" s="45">
        <v>11</v>
      </c>
      <c r="F187" s="13">
        <v>1</v>
      </c>
      <c r="G187" s="14" t="str">
        <f>IFERROR(VLOOKUP(T_Materiales[[#This Row],[UNIDAD DE COMPRA]],#REF!,3,0),"")</f>
        <v/>
      </c>
    </row>
    <row r="188" spans="2:7" x14ac:dyDescent="0.25">
      <c r="B188" s="2" t="s">
        <v>50</v>
      </c>
      <c r="C188" s="2" t="s">
        <v>175</v>
      </c>
      <c r="D188" s="2" t="s">
        <v>78</v>
      </c>
      <c r="E188" s="45">
        <v>11</v>
      </c>
      <c r="F188" s="13">
        <v>1</v>
      </c>
      <c r="G188" s="2" t="str">
        <f>IFERROR(VLOOKUP(T_Materiales[[#This Row],[UNIDAD DE COMPRA]],#REF!,3,0),"")</f>
        <v/>
      </c>
    </row>
    <row r="189" spans="2:7" x14ac:dyDescent="0.25">
      <c r="B189" s="2" t="s">
        <v>50</v>
      </c>
      <c r="C189" s="2" t="s">
        <v>1360</v>
      </c>
      <c r="D189" s="2" t="s">
        <v>78</v>
      </c>
      <c r="E189" s="45">
        <v>11</v>
      </c>
      <c r="F189" s="13">
        <v>1</v>
      </c>
      <c r="G189" s="14" t="str">
        <f>IFERROR(VLOOKUP(T_Materiales[[#This Row],[UNIDAD DE COMPRA]],#REF!,3,0),"")</f>
        <v/>
      </c>
    </row>
    <row r="190" spans="2:7" x14ac:dyDescent="0.25">
      <c r="B190" s="2" t="s">
        <v>50</v>
      </c>
      <c r="C190" s="2" t="s">
        <v>177</v>
      </c>
      <c r="D190" s="2" t="s">
        <v>78</v>
      </c>
      <c r="E190" s="45">
        <v>11</v>
      </c>
      <c r="F190" s="13">
        <v>1</v>
      </c>
      <c r="G190" s="14" t="str">
        <f>IFERROR(VLOOKUP(T_Materiales[[#This Row],[UNIDAD DE COMPRA]],#REF!,3,0),"")</f>
        <v/>
      </c>
    </row>
    <row r="191" spans="2:7" x14ac:dyDescent="0.25">
      <c r="B191" s="2" t="s">
        <v>50</v>
      </c>
      <c r="C191" s="2" t="s">
        <v>181</v>
      </c>
      <c r="D191" s="2" t="s">
        <v>78</v>
      </c>
      <c r="E191" s="45">
        <v>11</v>
      </c>
      <c r="F191" s="13">
        <v>1</v>
      </c>
      <c r="G191" s="14" t="str">
        <f>IFERROR(VLOOKUP(T_Materiales[[#This Row],[UNIDAD DE COMPRA]],#REF!,3,0),"")</f>
        <v/>
      </c>
    </row>
    <row r="192" spans="2:7" x14ac:dyDescent="0.25">
      <c r="B192" s="2" t="s">
        <v>50</v>
      </c>
      <c r="C192" s="2" t="s">
        <v>178</v>
      </c>
      <c r="D192" s="2" t="s">
        <v>78</v>
      </c>
      <c r="E192" s="45">
        <v>11</v>
      </c>
      <c r="F192" s="13">
        <v>1</v>
      </c>
      <c r="G192" s="14" t="str">
        <f>IFERROR(VLOOKUP(T_Materiales[[#This Row],[UNIDAD DE COMPRA]],#REF!,3,0),"")</f>
        <v/>
      </c>
    </row>
    <row r="193" spans="2:7" x14ac:dyDescent="0.25">
      <c r="B193" s="2" t="s">
        <v>50</v>
      </c>
      <c r="C193" s="2" t="s">
        <v>180</v>
      </c>
      <c r="D193" s="2" t="s">
        <v>78</v>
      </c>
      <c r="E193" s="45">
        <v>11</v>
      </c>
      <c r="F193" s="13">
        <v>1</v>
      </c>
      <c r="G193" s="14" t="str">
        <f>IFERROR(VLOOKUP(T_Materiales[[#This Row],[UNIDAD DE COMPRA]],#REF!,3,0),"")</f>
        <v/>
      </c>
    </row>
    <row r="194" spans="2:7" x14ac:dyDescent="0.25">
      <c r="B194" s="2" t="s">
        <v>50</v>
      </c>
      <c r="C194" s="12" t="s">
        <v>611</v>
      </c>
      <c r="D194" s="8" t="s">
        <v>78</v>
      </c>
      <c r="E194" s="45">
        <v>13.3</v>
      </c>
      <c r="F194" s="13">
        <v>1</v>
      </c>
      <c r="G194" s="2" t="str">
        <f>IFERROR(VLOOKUP(T_Materiales[[#This Row],[UNIDAD DE COMPRA]],#REF!,3,0),"")</f>
        <v/>
      </c>
    </row>
    <row r="195" spans="2:7" x14ac:dyDescent="0.25">
      <c r="B195" s="2" t="s">
        <v>50</v>
      </c>
      <c r="C195" s="2" t="s">
        <v>199</v>
      </c>
      <c r="D195" s="2" t="s">
        <v>78</v>
      </c>
      <c r="E195" s="45">
        <v>22</v>
      </c>
      <c r="F195" s="13">
        <v>1</v>
      </c>
      <c r="G195" s="14" t="str">
        <f>IFERROR(VLOOKUP(T_Materiales[[#This Row],[UNIDAD DE COMPRA]],#REF!,3,0),"")</f>
        <v/>
      </c>
    </row>
    <row r="196" spans="2:7" x14ac:dyDescent="0.25">
      <c r="B196" s="2" t="s">
        <v>50</v>
      </c>
      <c r="C196" s="2" t="s">
        <v>198</v>
      </c>
      <c r="D196" s="2" t="s">
        <v>78</v>
      </c>
      <c r="E196" s="45">
        <v>22</v>
      </c>
      <c r="F196" s="13">
        <v>1</v>
      </c>
      <c r="G196" s="14" t="str">
        <f>IFERROR(VLOOKUP(T_Materiales[[#This Row],[UNIDAD DE COMPRA]],#REF!,3,0),"")</f>
        <v/>
      </c>
    </row>
    <row r="197" spans="2:7" x14ac:dyDescent="0.25">
      <c r="B197" s="2" t="s">
        <v>50</v>
      </c>
      <c r="C197" s="2" t="s">
        <v>200</v>
      </c>
      <c r="D197" s="2" t="s">
        <v>78</v>
      </c>
      <c r="E197" s="45">
        <v>22</v>
      </c>
      <c r="F197" s="13">
        <v>1</v>
      </c>
      <c r="G197" s="14" t="str">
        <f>IFERROR(VLOOKUP(T_Materiales[[#This Row],[UNIDAD DE COMPRA]],#REF!,3,0),"")</f>
        <v/>
      </c>
    </row>
    <row r="198" spans="2:7" x14ac:dyDescent="0.25">
      <c r="B198" s="2" t="s">
        <v>50</v>
      </c>
      <c r="C198" s="2" t="s">
        <v>201</v>
      </c>
      <c r="D198" s="2" t="s">
        <v>78</v>
      </c>
      <c r="E198" s="45">
        <v>10</v>
      </c>
      <c r="F198" s="13">
        <v>1</v>
      </c>
      <c r="G198" s="14" t="str">
        <f>IFERROR(VLOOKUP(T_Materiales[[#This Row],[UNIDAD DE COMPRA]],#REF!,3,0),"")</f>
        <v/>
      </c>
    </row>
    <row r="199" spans="2:7" x14ac:dyDescent="0.25">
      <c r="B199" s="2" t="s">
        <v>50</v>
      </c>
      <c r="C199" s="2" t="s">
        <v>196</v>
      </c>
      <c r="D199" s="2" t="s">
        <v>78</v>
      </c>
      <c r="E199" s="45">
        <v>22</v>
      </c>
      <c r="F199" s="13">
        <v>1</v>
      </c>
      <c r="G199" s="14" t="str">
        <f>IFERROR(VLOOKUP(T_Materiales[[#This Row],[UNIDAD DE COMPRA]],#REF!,3,0),"")</f>
        <v/>
      </c>
    </row>
    <row r="200" spans="2:7" x14ac:dyDescent="0.25">
      <c r="B200" s="2" t="s">
        <v>50</v>
      </c>
      <c r="C200" s="2" t="s">
        <v>195</v>
      </c>
      <c r="D200" s="2" t="s">
        <v>78</v>
      </c>
      <c r="E200" s="45">
        <v>22</v>
      </c>
      <c r="F200" s="13">
        <v>1</v>
      </c>
      <c r="G200" s="2" t="str">
        <f>IFERROR(VLOOKUP(T_Materiales[[#This Row],[UNIDAD DE COMPRA]],#REF!,3,0),"")</f>
        <v/>
      </c>
    </row>
    <row r="201" spans="2:7" x14ac:dyDescent="0.25">
      <c r="B201" s="2" t="s">
        <v>50</v>
      </c>
      <c r="C201" s="2" t="s">
        <v>197</v>
      </c>
      <c r="D201" s="2" t="s">
        <v>78</v>
      </c>
      <c r="E201" s="45">
        <v>22</v>
      </c>
      <c r="F201" s="13">
        <v>1</v>
      </c>
      <c r="G201" s="14" t="str">
        <f>IFERROR(VLOOKUP(T_Materiales[[#This Row],[UNIDAD DE COMPRA]],#REF!,3,0),"")</f>
        <v/>
      </c>
    </row>
    <row r="202" spans="2:7" x14ac:dyDescent="0.25">
      <c r="B202" s="2" t="s">
        <v>50</v>
      </c>
      <c r="C202" s="2" t="s">
        <v>208</v>
      </c>
      <c r="D202" s="2" t="s">
        <v>78</v>
      </c>
      <c r="E202" s="45">
        <v>10</v>
      </c>
      <c r="F202" s="13">
        <v>1</v>
      </c>
      <c r="G202" s="14" t="str">
        <f>IFERROR(VLOOKUP(T_Materiales[[#This Row],[UNIDAD DE COMPRA]],#REF!,3,0),"")</f>
        <v/>
      </c>
    </row>
    <row r="203" spans="2:7" x14ac:dyDescent="0.25">
      <c r="B203" s="2" t="s">
        <v>50</v>
      </c>
      <c r="C203" s="2" t="s">
        <v>207</v>
      </c>
      <c r="D203" s="2" t="s">
        <v>78</v>
      </c>
      <c r="E203" s="45">
        <v>10</v>
      </c>
      <c r="F203" s="13">
        <v>1</v>
      </c>
      <c r="G203" s="14" t="str">
        <f>IFERROR(VLOOKUP(T_Materiales[[#This Row],[UNIDAD DE COMPRA]],#REF!,3,0),"")</f>
        <v/>
      </c>
    </row>
    <row r="204" spans="2:7" x14ac:dyDescent="0.25">
      <c r="B204" s="2" t="s">
        <v>50</v>
      </c>
      <c r="C204" s="2" t="s">
        <v>202</v>
      </c>
      <c r="D204" s="2" t="s">
        <v>78</v>
      </c>
      <c r="E204" s="45">
        <v>10</v>
      </c>
      <c r="F204" s="13">
        <v>1</v>
      </c>
      <c r="G204" s="2" t="str">
        <f>IFERROR(VLOOKUP(T_Materiales[[#This Row],[UNIDAD DE COMPRA]],#REF!,3,0),"")</f>
        <v/>
      </c>
    </row>
    <row r="205" spans="2:7" x14ac:dyDescent="0.25">
      <c r="B205" s="2" t="s">
        <v>50</v>
      </c>
      <c r="C205" s="2" t="s">
        <v>206</v>
      </c>
      <c r="D205" s="2" t="s">
        <v>78</v>
      </c>
      <c r="E205" s="45">
        <v>10</v>
      </c>
      <c r="F205" s="13">
        <v>1</v>
      </c>
      <c r="G205" s="14" t="str">
        <f>IFERROR(VLOOKUP(T_Materiales[[#This Row],[UNIDAD DE COMPRA]],#REF!,3,0),"")</f>
        <v/>
      </c>
    </row>
    <row r="206" spans="2:7" x14ac:dyDescent="0.25">
      <c r="B206" s="2" t="s">
        <v>50</v>
      </c>
      <c r="C206" s="2" t="s">
        <v>210</v>
      </c>
      <c r="D206" s="2" t="s">
        <v>78</v>
      </c>
      <c r="E206" s="45">
        <v>10</v>
      </c>
      <c r="F206" s="13">
        <v>1</v>
      </c>
      <c r="G206" s="14" t="str">
        <f>IFERROR(VLOOKUP(T_Materiales[[#This Row],[UNIDAD DE COMPRA]],#REF!,3,0),"")</f>
        <v/>
      </c>
    </row>
    <row r="207" spans="2:7" x14ac:dyDescent="0.25">
      <c r="B207" s="2" t="s">
        <v>50</v>
      </c>
      <c r="C207" s="2" t="s">
        <v>203</v>
      </c>
      <c r="D207" s="2" t="s">
        <v>78</v>
      </c>
      <c r="E207" s="45">
        <v>10</v>
      </c>
      <c r="F207" s="13">
        <v>1</v>
      </c>
      <c r="G207" s="14" t="str">
        <f>IFERROR(VLOOKUP(T_Materiales[[#This Row],[UNIDAD DE COMPRA]],#REF!,3,0),"")</f>
        <v/>
      </c>
    </row>
    <row r="208" spans="2:7" x14ac:dyDescent="0.25">
      <c r="B208" s="2" t="s">
        <v>50</v>
      </c>
      <c r="C208" s="2" t="s">
        <v>204</v>
      </c>
      <c r="D208" s="2" t="s">
        <v>78</v>
      </c>
      <c r="E208" s="45">
        <v>10</v>
      </c>
      <c r="F208" s="13">
        <v>1</v>
      </c>
      <c r="G208" s="14" t="str">
        <f>IFERROR(VLOOKUP(T_Materiales[[#This Row],[UNIDAD DE COMPRA]],#REF!,3,0),"")</f>
        <v/>
      </c>
    </row>
    <row r="209" spans="2:7" x14ac:dyDescent="0.25">
      <c r="B209" s="2" t="s">
        <v>50</v>
      </c>
      <c r="C209" s="2" t="s">
        <v>209</v>
      </c>
      <c r="D209" s="2" t="s">
        <v>78</v>
      </c>
      <c r="E209" s="45">
        <v>10</v>
      </c>
      <c r="F209" s="13">
        <v>1</v>
      </c>
      <c r="G209" s="14" t="str">
        <f>IFERROR(VLOOKUP(T_Materiales[[#This Row],[UNIDAD DE COMPRA]],#REF!,3,0),"")</f>
        <v/>
      </c>
    </row>
    <row r="210" spans="2:7" x14ac:dyDescent="0.25">
      <c r="B210" s="2" t="s">
        <v>50</v>
      </c>
      <c r="C210" s="2" t="s">
        <v>205</v>
      </c>
      <c r="D210" s="2" t="s">
        <v>78</v>
      </c>
      <c r="E210" s="45">
        <v>10</v>
      </c>
      <c r="F210" s="13">
        <v>1</v>
      </c>
      <c r="G210" s="14" t="str">
        <f>IFERROR(VLOOKUP(T_Materiales[[#This Row],[UNIDAD DE COMPRA]],#REF!,3,0),"")</f>
        <v/>
      </c>
    </row>
    <row r="211" spans="2:7" x14ac:dyDescent="0.25">
      <c r="B211" s="2" t="s">
        <v>50</v>
      </c>
      <c r="C211" s="2" t="s">
        <v>211</v>
      </c>
      <c r="D211" s="2" t="s">
        <v>78</v>
      </c>
      <c r="E211" s="45">
        <v>4.2</v>
      </c>
      <c r="F211" s="13">
        <v>1</v>
      </c>
      <c r="G211" s="2" t="str">
        <f>IFERROR(VLOOKUP(T_Materiales[[#This Row],[UNIDAD DE COMPRA]],#REF!,3,0),"")</f>
        <v/>
      </c>
    </row>
    <row r="212" spans="2:7" x14ac:dyDescent="0.25">
      <c r="B212" s="2" t="s">
        <v>50</v>
      </c>
      <c r="C212" s="8" t="s">
        <v>313</v>
      </c>
      <c r="D212" s="8" t="s">
        <v>78</v>
      </c>
      <c r="E212" s="45">
        <v>15</v>
      </c>
      <c r="F212" s="13">
        <v>1</v>
      </c>
      <c r="G212" s="14" t="str">
        <f>IFERROR(VLOOKUP(T_Materiales[[#This Row],[UNIDAD DE COMPRA]],#REF!,3,0),"")</f>
        <v/>
      </c>
    </row>
    <row r="213" spans="2:7" x14ac:dyDescent="0.25">
      <c r="B213" s="2" t="s">
        <v>50</v>
      </c>
      <c r="C213" s="8" t="s">
        <v>310</v>
      </c>
      <c r="D213" s="8" t="s">
        <v>78</v>
      </c>
      <c r="E213" s="45">
        <v>15</v>
      </c>
      <c r="F213" s="13">
        <v>1</v>
      </c>
      <c r="G213" s="14" t="str">
        <f>IFERROR(VLOOKUP(T_Materiales[[#This Row],[UNIDAD DE COMPRA]],#REF!,3,0),"")</f>
        <v/>
      </c>
    </row>
    <row r="214" spans="2:7" x14ac:dyDescent="0.25">
      <c r="B214" s="2" t="s">
        <v>258</v>
      </c>
      <c r="C214" s="8" t="s">
        <v>314</v>
      </c>
      <c r="D214" s="8" t="s">
        <v>78</v>
      </c>
      <c r="E214" s="45">
        <v>15</v>
      </c>
      <c r="F214" s="13">
        <v>1</v>
      </c>
      <c r="G214" s="2" t="str">
        <f>IFERROR(VLOOKUP(T_Materiales[[#This Row],[UNIDAD DE COMPRA]],#REF!,3,0),"")</f>
        <v/>
      </c>
    </row>
    <row r="215" spans="2:7" x14ac:dyDescent="0.25">
      <c r="B215" s="2" t="s">
        <v>50</v>
      </c>
      <c r="C215" s="8" t="s">
        <v>309</v>
      </c>
      <c r="D215" s="8" t="s">
        <v>78</v>
      </c>
      <c r="E215" s="45">
        <v>15</v>
      </c>
      <c r="F215" s="13">
        <v>1</v>
      </c>
      <c r="G215" s="2" t="str">
        <f>IFERROR(VLOOKUP(T_Materiales[[#This Row],[UNIDAD DE COMPRA]],#REF!,3,0),"")</f>
        <v/>
      </c>
    </row>
    <row r="216" spans="2:7" x14ac:dyDescent="0.25">
      <c r="B216" s="2" t="s">
        <v>50</v>
      </c>
      <c r="C216" s="8" t="s">
        <v>311</v>
      </c>
      <c r="D216" s="8" t="s">
        <v>78</v>
      </c>
      <c r="E216" s="45">
        <v>15</v>
      </c>
      <c r="F216" s="13">
        <v>1</v>
      </c>
      <c r="G216" s="14" t="str">
        <f>IFERROR(VLOOKUP(T_Materiales[[#This Row],[UNIDAD DE COMPRA]],#REF!,3,0),"")</f>
        <v/>
      </c>
    </row>
    <row r="217" spans="2:7" x14ac:dyDescent="0.25">
      <c r="B217" s="2" t="s">
        <v>50</v>
      </c>
      <c r="C217" s="8" t="s">
        <v>312</v>
      </c>
      <c r="D217" s="8" t="s">
        <v>78</v>
      </c>
      <c r="E217" s="45">
        <v>15</v>
      </c>
      <c r="F217" s="13">
        <v>1</v>
      </c>
      <c r="G217" s="14" t="str">
        <f>IFERROR(VLOOKUP(T_Materiales[[#This Row],[UNIDAD DE COMPRA]],#REF!,3,0),"")</f>
        <v/>
      </c>
    </row>
    <row r="218" spans="2:7" x14ac:dyDescent="0.25">
      <c r="B218" s="2" t="s">
        <v>50</v>
      </c>
      <c r="C218" s="8" t="s">
        <v>223</v>
      </c>
      <c r="D218" s="2" t="s">
        <v>78</v>
      </c>
      <c r="E218" s="45">
        <v>13</v>
      </c>
      <c r="F218" s="13">
        <v>1</v>
      </c>
      <c r="G218" s="14" t="str">
        <f>IFERROR(VLOOKUP(T_Materiales[[#This Row],[UNIDAD DE COMPRA]],#REF!,3,0),"")</f>
        <v/>
      </c>
    </row>
    <row r="219" spans="2:7" x14ac:dyDescent="0.25">
      <c r="B219" s="2" t="s">
        <v>50</v>
      </c>
      <c r="C219" s="8" t="s">
        <v>222</v>
      </c>
      <c r="D219" s="2" t="s">
        <v>78</v>
      </c>
      <c r="E219" s="45">
        <v>13</v>
      </c>
      <c r="F219" s="13">
        <v>1</v>
      </c>
      <c r="G219" s="2" t="str">
        <f>IFERROR(VLOOKUP(T_Materiales[[#This Row],[UNIDAD DE COMPRA]],#REF!,3,0),"")</f>
        <v/>
      </c>
    </row>
    <row r="220" spans="2:7" x14ac:dyDescent="0.25">
      <c r="B220" s="2" t="s">
        <v>406</v>
      </c>
      <c r="C220" s="12" t="s">
        <v>423</v>
      </c>
      <c r="D220" s="8" t="s">
        <v>414</v>
      </c>
      <c r="E220" s="45">
        <v>14</v>
      </c>
      <c r="F220" s="16">
        <v>1</v>
      </c>
      <c r="G220" s="2" t="str">
        <f>IFERROR(VLOOKUP(T_Materiales[[#This Row],[UNIDAD DE COMPRA]],#REF!,3,0),"")</f>
        <v/>
      </c>
    </row>
    <row r="221" spans="2:7" x14ac:dyDescent="0.25">
      <c r="B221" s="2" t="s">
        <v>50</v>
      </c>
      <c r="C221" s="8" t="s">
        <v>1258</v>
      </c>
      <c r="D221" s="2" t="s">
        <v>78</v>
      </c>
      <c r="E221" s="46">
        <v>4.8</v>
      </c>
      <c r="F221" s="13">
        <v>1</v>
      </c>
      <c r="G221" s="14" t="str">
        <f>IFERROR(VLOOKUP(T_Materiales[[#This Row],[UNIDAD DE COMPRA]],#REF!,3,0),"")</f>
        <v/>
      </c>
    </row>
    <row r="222" spans="2:7" x14ac:dyDescent="0.25">
      <c r="B222" s="2" t="s">
        <v>50</v>
      </c>
      <c r="C222" s="8" t="s">
        <v>1259</v>
      </c>
      <c r="D222" s="2" t="s">
        <v>78</v>
      </c>
      <c r="E222" s="46">
        <v>4.8</v>
      </c>
      <c r="F222" s="13">
        <v>1</v>
      </c>
      <c r="G222" s="14" t="str">
        <f>IFERROR(VLOOKUP(T_Materiales[[#This Row],[UNIDAD DE COMPRA]],#REF!,3,0),"")</f>
        <v/>
      </c>
    </row>
    <row r="223" spans="2:7" x14ac:dyDescent="0.25">
      <c r="B223" s="2" t="s">
        <v>50</v>
      </c>
      <c r="C223" s="8" t="s">
        <v>1260</v>
      </c>
      <c r="D223" s="2" t="s">
        <v>78</v>
      </c>
      <c r="E223" s="46">
        <v>4.8</v>
      </c>
      <c r="F223" s="13">
        <v>1</v>
      </c>
      <c r="G223" s="14" t="str">
        <f>IFERROR(VLOOKUP(T_Materiales[[#This Row],[UNIDAD DE COMPRA]],#REF!,3,0),"")</f>
        <v/>
      </c>
    </row>
    <row r="224" spans="2:7" x14ac:dyDescent="0.25">
      <c r="B224" s="2" t="s">
        <v>50</v>
      </c>
      <c r="C224" s="8" t="s">
        <v>1261</v>
      </c>
      <c r="D224" s="2" t="s">
        <v>78</v>
      </c>
      <c r="E224" s="46">
        <v>4.8</v>
      </c>
      <c r="F224" s="13">
        <v>1</v>
      </c>
      <c r="G224" s="14" t="str">
        <f>IFERROR(VLOOKUP(T_Materiales[[#This Row],[UNIDAD DE COMPRA]],#REF!,3,0),"")</f>
        <v/>
      </c>
    </row>
    <row r="225" spans="2:7" x14ac:dyDescent="0.25">
      <c r="B225" s="2" t="s">
        <v>50</v>
      </c>
      <c r="C225" s="8" t="s">
        <v>1262</v>
      </c>
      <c r="D225" s="2" t="s">
        <v>78</v>
      </c>
      <c r="E225" s="46">
        <v>4.8</v>
      </c>
      <c r="F225" s="13">
        <v>1</v>
      </c>
      <c r="G225" s="14" t="str">
        <f>IFERROR(VLOOKUP(T_Materiales[[#This Row],[UNIDAD DE COMPRA]],#REF!,3,0),"")</f>
        <v/>
      </c>
    </row>
    <row r="226" spans="2:7" x14ac:dyDescent="0.25">
      <c r="B226" s="2" t="s">
        <v>50</v>
      </c>
      <c r="C226" s="8" t="s">
        <v>1263</v>
      </c>
      <c r="D226" s="2" t="s">
        <v>78</v>
      </c>
      <c r="E226" s="46">
        <v>4.8</v>
      </c>
      <c r="F226" s="13">
        <v>1</v>
      </c>
      <c r="G226" s="14" t="str">
        <f>IFERROR(VLOOKUP(T_Materiales[[#This Row],[UNIDAD DE COMPRA]],#REF!,3,0),"")</f>
        <v/>
      </c>
    </row>
    <row r="227" spans="2:7" x14ac:dyDescent="0.25">
      <c r="B227" s="2" t="s">
        <v>50</v>
      </c>
      <c r="C227" s="8" t="s">
        <v>1264</v>
      </c>
      <c r="D227" s="2" t="s">
        <v>78</v>
      </c>
      <c r="E227" s="46">
        <v>4.8</v>
      </c>
      <c r="F227" s="13">
        <v>1</v>
      </c>
      <c r="G227" s="14" t="str">
        <f>IFERROR(VLOOKUP(T_Materiales[[#This Row],[UNIDAD DE COMPRA]],#REF!,3,0),"")</f>
        <v/>
      </c>
    </row>
    <row r="228" spans="2:7" x14ac:dyDescent="0.25">
      <c r="B228" s="2" t="s">
        <v>50</v>
      </c>
      <c r="C228" s="8" t="s">
        <v>1265</v>
      </c>
      <c r="D228" s="2" t="s">
        <v>78</v>
      </c>
      <c r="E228" s="46">
        <v>4.8</v>
      </c>
      <c r="F228" s="13">
        <v>1</v>
      </c>
      <c r="G228" s="14" t="str">
        <f>IFERROR(VLOOKUP(T_Materiales[[#This Row],[UNIDAD DE COMPRA]],#REF!,3,0),"")</f>
        <v/>
      </c>
    </row>
    <row r="229" spans="2:7" x14ac:dyDescent="0.25">
      <c r="B229" s="2" t="s">
        <v>50</v>
      </c>
      <c r="C229" s="8" t="s">
        <v>1266</v>
      </c>
      <c r="D229" s="2" t="s">
        <v>78</v>
      </c>
      <c r="E229" s="46">
        <v>4.8</v>
      </c>
      <c r="F229" s="13">
        <v>1</v>
      </c>
      <c r="G229" s="14" t="str">
        <f>IFERROR(VLOOKUP(T_Materiales[[#This Row],[UNIDAD DE COMPRA]],#REF!,3,0),"")</f>
        <v/>
      </c>
    </row>
    <row r="230" spans="2:7" x14ac:dyDescent="0.25">
      <c r="B230" s="2" t="s">
        <v>50</v>
      </c>
      <c r="C230" s="2" t="s">
        <v>193</v>
      </c>
      <c r="D230" s="2" t="s">
        <v>78</v>
      </c>
      <c r="E230" s="45">
        <v>4.5</v>
      </c>
      <c r="F230" s="13">
        <v>1</v>
      </c>
      <c r="G230" s="14" t="str">
        <f>IFERROR(VLOOKUP(T_Materiales[[#This Row],[UNIDAD DE COMPRA]],#REF!,3,0),"")</f>
        <v/>
      </c>
    </row>
    <row r="231" spans="2:7" x14ac:dyDescent="0.25">
      <c r="B231" s="2" t="s">
        <v>50</v>
      </c>
      <c r="C231" s="2" t="s">
        <v>188</v>
      </c>
      <c r="D231" s="2" t="s">
        <v>78</v>
      </c>
      <c r="E231" s="45">
        <v>4.5</v>
      </c>
      <c r="F231" s="13">
        <v>1</v>
      </c>
      <c r="G231" s="14" t="str">
        <f>IFERROR(VLOOKUP(T_Materiales[[#This Row],[UNIDAD DE COMPRA]],#REF!,3,0),"")</f>
        <v/>
      </c>
    </row>
    <row r="232" spans="2:7" x14ac:dyDescent="0.25">
      <c r="B232" s="2" t="s">
        <v>50</v>
      </c>
      <c r="C232" s="2" t="s">
        <v>189</v>
      </c>
      <c r="D232" s="2" t="s">
        <v>78</v>
      </c>
      <c r="E232" s="45">
        <v>4.5</v>
      </c>
      <c r="F232" s="13">
        <v>1</v>
      </c>
      <c r="G232" s="14" t="str">
        <f>IFERROR(VLOOKUP(T_Materiales[[#This Row],[UNIDAD DE COMPRA]],#REF!,3,0),"")</f>
        <v/>
      </c>
    </row>
    <row r="233" spans="2:7" x14ac:dyDescent="0.25">
      <c r="B233" s="2" t="s">
        <v>50</v>
      </c>
      <c r="C233" s="2" t="s">
        <v>191</v>
      </c>
      <c r="D233" s="2" t="s">
        <v>78</v>
      </c>
      <c r="E233" s="45">
        <v>4.5</v>
      </c>
      <c r="F233" s="13">
        <v>1</v>
      </c>
      <c r="G233" s="14" t="str">
        <f>IFERROR(VLOOKUP(T_Materiales[[#This Row],[UNIDAD DE COMPRA]],#REF!,3,0),"")</f>
        <v/>
      </c>
    </row>
    <row r="234" spans="2:7" x14ac:dyDescent="0.25">
      <c r="B234" s="2" t="s">
        <v>50</v>
      </c>
      <c r="C234" s="2" t="s">
        <v>194</v>
      </c>
      <c r="D234" s="2" t="s">
        <v>78</v>
      </c>
      <c r="E234" s="45">
        <v>4.5</v>
      </c>
      <c r="F234" s="13">
        <v>1</v>
      </c>
      <c r="G234" s="14" t="str">
        <f>IFERROR(VLOOKUP(T_Materiales[[#This Row],[UNIDAD DE COMPRA]],#REF!,3,0),"")</f>
        <v/>
      </c>
    </row>
    <row r="235" spans="2:7" x14ac:dyDescent="0.25">
      <c r="B235" s="2" t="s">
        <v>50</v>
      </c>
      <c r="C235" s="2" t="s">
        <v>192</v>
      </c>
      <c r="D235" s="2" t="s">
        <v>78</v>
      </c>
      <c r="E235" s="45">
        <v>4.5</v>
      </c>
      <c r="F235" s="13">
        <v>1</v>
      </c>
      <c r="G235" s="14" t="str">
        <f>IFERROR(VLOOKUP(T_Materiales[[#This Row],[UNIDAD DE COMPRA]],#REF!,3,0),"")</f>
        <v/>
      </c>
    </row>
    <row r="236" spans="2:7" x14ac:dyDescent="0.25">
      <c r="B236" s="2" t="s">
        <v>50</v>
      </c>
      <c r="C236" s="2" t="s">
        <v>186</v>
      </c>
      <c r="D236" s="2" t="s">
        <v>78</v>
      </c>
      <c r="E236" s="45">
        <v>4.5</v>
      </c>
      <c r="F236" s="13">
        <v>1</v>
      </c>
      <c r="G236" s="2" t="str">
        <f>IFERROR(VLOOKUP(T_Materiales[[#This Row],[UNIDAD DE COMPRA]],#REF!,3,0),"")</f>
        <v/>
      </c>
    </row>
    <row r="237" spans="2:7" x14ac:dyDescent="0.25">
      <c r="B237" s="2" t="s">
        <v>50</v>
      </c>
      <c r="C237" s="2" t="s">
        <v>190</v>
      </c>
      <c r="D237" s="2" t="s">
        <v>78</v>
      </c>
      <c r="E237" s="45">
        <v>4.5</v>
      </c>
      <c r="F237" s="13">
        <v>1</v>
      </c>
      <c r="G237" s="14" t="str">
        <f>IFERROR(VLOOKUP(T_Materiales[[#This Row],[UNIDAD DE COMPRA]],#REF!,3,0),"")</f>
        <v/>
      </c>
    </row>
    <row r="238" spans="2:7" x14ac:dyDescent="0.25">
      <c r="B238" s="2" t="s">
        <v>50</v>
      </c>
      <c r="C238" s="2" t="s">
        <v>187</v>
      </c>
      <c r="D238" s="2" t="s">
        <v>78</v>
      </c>
      <c r="E238" s="45">
        <v>4.5</v>
      </c>
      <c r="F238" s="13">
        <v>1</v>
      </c>
      <c r="G238" s="14" t="str">
        <f>IFERROR(VLOOKUP(T_Materiales[[#This Row],[UNIDAD DE COMPRA]],#REF!,3,0),"")</f>
        <v/>
      </c>
    </row>
    <row r="239" spans="2:7" x14ac:dyDescent="0.25">
      <c r="B239" s="2" t="s">
        <v>50</v>
      </c>
      <c r="C239" s="8" t="s">
        <v>224</v>
      </c>
      <c r="D239" s="2" t="s">
        <v>78</v>
      </c>
      <c r="E239" s="45">
        <v>3</v>
      </c>
      <c r="F239" s="13">
        <v>1</v>
      </c>
      <c r="G239" s="2" t="str">
        <f>IFERROR(VLOOKUP(T_Materiales[[#This Row],[UNIDAD DE COMPRA]],#REF!,3,0),"")</f>
        <v/>
      </c>
    </row>
    <row r="240" spans="2:7" x14ac:dyDescent="0.25">
      <c r="B240" s="2" t="s">
        <v>50</v>
      </c>
      <c r="C240" s="8" t="s">
        <v>225</v>
      </c>
      <c r="D240" s="2" t="s">
        <v>78</v>
      </c>
      <c r="E240" s="45">
        <v>3</v>
      </c>
      <c r="F240" s="13">
        <v>1</v>
      </c>
      <c r="G240" s="14" t="str">
        <f>IFERROR(VLOOKUP(T_Materiales[[#This Row],[UNIDAD DE COMPRA]],#REF!,3,0),"")</f>
        <v/>
      </c>
    </row>
    <row r="241" spans="2:7" x14ac:dyDescent="0.25">
      <c r="B241" s="2" t="s">
        <v>50</v>
      </c>
      <c r="C241" s="2" t="s">
        <v>212</v>
      </c>
      <c r="D241" s="2" t="s">
        <v>78</v>
      </c>
      <c r="E241" s="45">
        <v>7</v>
      </c>
      <c r="F241" s="13">
        <v>1</v>
      </c>
      <c r="G241" s="2" t="str">
        <f>IFERROR(VLOOKUP(T_Materiales[[#This Row],[UNIDAD DE COMPRA]],#REF!,3,0),"")</f>
        <v/>
      </c>
    </row>
    <row r="242" spans="2:7" x14ac:dyDescent="0.25">
      <c r="B242" s="2" t="s">
        <v>406</v>
      </c>
      <c r="C242" s="12" t="s">
        <v>422</v>
      </c>
      <c r="D242" s="8" t="s">
        <v>408</v>
      </c>
      <c r="E242" s="45">
        <v>2.4E-2</v>
      </c>
      <c r="F242" s="16">
        <v>1</v>
      </c>
      <c r="G242" s="2" t="str">
        <f>IFERROR(VLOOKUP(T_Materiales[[#This Row],[UNIDAD DE COMPRA]],#REF!,3,0),"")</f>
        <v/>
      </c>
    </row>
    <row r="243" spans="2:7" x14ac:dyDescent="0.25">
      <c r="B243" s="2" t="s">
        <v>258</v>
      </c>
      <c r="C243" s="8" t="s">
        <v>308</v>
      </c>
      <c r="D243" s="8" t="s">
        <v>78</v>
      </c>
      <c r="E243" s="45">
        <v>4.5</v>
      </c>
      <c r="F243" s="13">
        <v>1</v>
      </c>
      <c r="G243" s="2" t="str">
        <f>IFERROR(VLOOKUP(T_Materiales[[#This Row],[UNIDAD DE COMPRA]],#REF!,3,0),"")</f>
        <v/>
      </c>
    </row>
    <row r="244" spans="2:7" x14ac:dyDescent="0.25">
      <c r="B244" s="2" t="s">
        <v>258</v>
      </c>
      <c r="C244" s="8" t="s">
        <v>307</v>
      </c>
      <c r="D244" s="8" t="s">
        <v>78</v>
      </c>
      <c r="E244" s="45">
        <v>2.2000000000000002</v>
      </c>
      <c r="F244" s="13">
        <v>1</v>
      </c>
      <c r="G244" s="2" t="str">
        <f>IFERROR(VLOOKUP(T_Materiales[[#This Row],[UNIDAD DE COMPRA]],#REF!,3,0),"")</f>
        <v/>
      </c>
    </row>
    <row r="245" spans="2:7" x14ac:dyDescent="0.25">
      <c r="B245" s="2" t="s">
        <v>258</v>
      </c>
      <c r="C245" s="8" t="s">
        <v>262</v>
      </c>
      <c r="D245" s="8" t="s">
        <v>260</v>
      </c>
      <c r="E245" s="45">
        <v>0.1</v>
      </c>
      <c r="F245" s="13">
        <v>1</v>
      </c>
      <c r="G245" s="2" t="str">
        <f>IFERROR(VLOOKUP(T_Materiales[[#This Row],[UNIDAD DE COMPRA]],#REF!,3,0),"")</f>
        <v/>
      </c>
    </row>
    <row r="246" spans="2:7" x14ac:dyDescent="0.25">
      <c r="B246" s="2" t="s">
        <v>50</v>
      </c>
      <c r="C246" s="2" t="s">
        <v>160</v>
      </c>
      <c r="D246" s="2" t="s">
        <v>78</v>
      </c>
      <c r="E246" s="45">
        <v>7</v>
      </c>
      <c r="F246" s="13">
        <v>1</v>
      </c>
      <c r="G246" s="14" t="str">
        <f>IFERROR(VLOOKUP(T_Materiales[[#This Row],[UNIDAD DE COMPRA]],#REF!,3,0),"")</f>
        <v/>
      </c>
    </row>
    <row r="247" spans="2:7" x14ac:dyDescent="0.25">
      <c r="B247" s="2" t="s">
        <v>50</v>
      </c>
      <c r="C247" s="2" t="s">
        <v>159</v>
      </c>
      <c r="D247" s="2" t="s">
        <v>78</v>
      </c>
      <c r="E247" s="45">
        <v>7</v>
      </c>
      <c r="F247" s="13">
        <v>1</v>
      </c>
      <c r="G247" s="2" t="str">
        <f>IFERROR(VLOOKUP(T_Materiales[[#This Row],[UNIDAD DE COMPRA]],#REF!,3,0),"")</f>
        <v/>
      </c>
    </row>
    <row r="248" spans="2:7" x14ac:dyDescent="0.25">
      <c r="B248" s="2" t="s">
        <v>406</v>
      </c>
      <c r="C248" s="2" t="s">
        <v>420</v>
      </c>
      <c r="D248" s="8" t="s">
        <v>408</v>
      </c>
      <c r="E248" s="45">
        <v>0.04</v>
      </c>
      <c r="F248" s="16">
        <v>1</v>
      </c>
      <c r="G248" s="14" t="str">
        <f>IFERROR(VLOOKUP(T_Materiales[[#This Row],[UNIDAD DE COMPRA]],#REF!,3,0),"")</f>
        <v/>
      </c>
    </row>
    <row r="249" spans="2:7" x14ac:dyDescent="0.25">
      <c r="B249" s="2" t="s">
        <v>406</v>
      </c>
      <c r="C249" s="2" t="s">
        <v>419</v>
      </c>
      <c r="D249" s="8" t="s">
        <v>408</v>
      </c>
      <c r="E249" s="45">
        <v>0.04</v>
      </c>
      <c r="F249" s="16">
        <v>1</v>
      </c>
      <c r="G249" s="2" t="str">
        <f>IFERROR(VLOOKUP(T_Materiales[[#This Row],[UNIDAD DE COMPRA]],#REF!,3,0),"")</f>
        <v/>
      </c>
    </row>
    <row r="250" spans="2:7" x14ac:dyDescent="0.25">
      <c r="B250" s="2" t="s">
        <v>406</v>
      </c>
      <c r="C250" s="2" t="s">
        <v>421</v>
      </c>
      <c r="D250" s="8" t="s">
        <v>408</v>
      </c>
      <c r="E250" s="45">
        <v>0.04</v>
      </c>
      <c r="F250" s="16">
        <v>1</v>
      </c>
      <c r="G250" s="14" t="str">
        <f>IFERROR(VLOOKUP(T_Materiales[[#This Row],[UNIDAD DE COMPRA]],#REF!,3,0),"")</f>
        <v/>
      </c>
    </row>
    <row r="251" spans="2:7" x14ac:dyDescent="0.25">
      <c r="B251" s="2" t="s">
        <v>50</v>
      </c>
      <c r="C251" s="2" t="s">
        <v>148</v>
      </c>
      <c r="D251" s="2" t="s">
        <v>78</v>
      </c>
      <c r="E251" s="46">
        <v>9.5</v>
      </c>
      <c r="F251" s="13">
        <v>1</v>
      </c>
      <c r="G251" s="14" t="str">
        <f>IFERROR(VLOOKUP(T_Materiales[[#This Row],[UNIDAD DE COMPRA]],#REF!,3,0),"")</f>
        <v/>
      </c>
    </row>
    <row r="252" spans="2:7" x14ac:dyDescent="0.25">
      <c r="B252" s="2" t="s">
        <v>50</v>
      </c>
      <c r="C252" s="2" t="s">
        <v>147</v>
      </c>
      <c r="D252" s="2" t="s">
        <v>78</v>
      </c>
      <c r="E252" s="46">
        <v>9.5</v>
      </c>
      <c r="F252" s="13">
        <v>1</v>
      </c>
      <c r="G252" s="2" t="str">
        <f>IFERROR(VLOOKUP(T_Materiales[[#This Row],[UNIDAD DE COMPRA]],#REF!,3,0),"")</f>
        <v/>
      </c>
    </row>
    <row r="253" spans="2:7" x14ac:dyDescent="0.25">
      <c r="B253" s="2" t="s">
        <v>50</v>
      </c>
      <c r="C253" s="2" t="s">
        <v>146</v>
      </c>
      <c r="D253" s="2" t="s">
        <v>78</v>
      </c>
      <c r="E253" s="46">
        <v>9.5</v>
      </c>
      <c r="F253" s="13">
        <v>1</v>
      </c>
      <c r="G253" s="14" t="str">
        <f>IFERROR(VLOOKUP(T_Materiales[[#This Row],[UNIDAD DE COMPRA]],#REF!,3,0),"")</f>
        <v/>
      </c>
    </row>
    <row r="254" spans="2:7" x14ac:dyDescent="0.25">
      <c r="B254" s="2" t="s">
        <v>50</v>
      </c>
      <c r="C254" s="2" t="s">
        <v>149</v>
      </c>
      <c r="D254" s="2" t="s">
        <v>78</v>
      </c>
      <c r="E254" s="46">
        <v>9.5</v>
      </c>
      <c r="F254" s="13">
        <v>1</v>
      </c>
      <c r="G254" s="14" t="str">
        <f>IFERROR(VLOOKUP(T_Materiales[[#This Row],[UNIDAD DE COMPRA]],#REF!,3,0),"")</f>
        <v/>
      </c>
    </row>
    <row r="255" spans="2:7" x14ac:dyDescent="0.25">
      <c r="B255" s="2" t="s">
        <v>50</v>
      </c>
      <c r="C255" s="2" t="s">
        <v>151</v>
      </c>
      <c r="D255" s="2" t="s">
        <v>78</v>
      </c>
      <c r="E255" s="46">
        <v>9.5</v>
      </c>
      <c r="F255" s="13">
        <v>1</v>
      </c>
      <c r="G255" s="14" t="str">
        <f>IFERROR(VLOOKUP(T_Materiales[[#This Row],[UNIDAD DE COMPRA]],#REF!,3,0),"")</f>
        <v/>
      </c>
    </row>
    <row r="256" spans="2:7" x14ac:dyDescent="0.25">
      <c r="B256" s="2" t="s">
        <v>50</v>
      </c>
      <c r="C256" s="2" t="s">
        <v>150</v>
      </c>
      <c r="D256" s="2" t="s">
        <v>78</v>
      </c>
      <c r="E256" s="46">
        <v>9.5</v>
      </c>
      <c r="F256" s="13">
        <v>1</v>
      </c>
      <c r="G256" s="14" t="str">
        <f>IFERROR(VLOOKUP(T_Materiales[[#This Row],[UNIDAD DE COMPRA]],#REF!,3,0),"")</f>
        <v/>
      </c>
    </row>
    <row r="257" spans="2:7" x14ac:dyDescent="0.25">
      <c r="B257" s="2" t="s">
        <v>50</v>
      </c>
      <c r="C257" s="2" t="s">
        <v>154</v>
      </c>
      <c r="D257" s="2" t="s">
        <v>78</v>
      </c>
      <c r="E257" s="45">
        <v>7.5</v>
      </c>
      <c r="F257" s="13">
        <v>1</v>
      </c>
      <c r="G257" s="14" t="str">
        <f>IFERROR(VLOOKUP(T_Materiales[[#This Row],[UNIDAD DE COMPRA]],#REF!,3,0),"")</f>
        <v/>
      </c>
    </row>
    <row r="258" spans="2:7" x14ac:dyDescent="0.25">
      <c r="B258" s="2" t="s">
        <v>50</v>
      </c>
      <c r="C258" s="2" t="s">
        <v>157</v>
      </c>
      <c r="D258" s="2" t="s">
        <v>78</v>
      </c>
      <c r="E258" s="45">
        <v>8</v>
      </c>
      <c r="F258" s="13">
        <v>1</v>
      </c>
      <c r="G258" s="14" t="str">
        <f>IFERROR(VLOOKUP(T_Materiales[[#This Row],[UNIDAD DE COMPRA]],#REF!,3,0),"")</f>
        <v/>
      </c>
    </row>
    <row r="259" spans="2:7" x14ac:dyDescent="0.25">
      <c r="B259" s="2" t="s">
        <v>50</v>
      </c>
      <c r="C259" s="2" t="s">
        <v>153</v>
      </c>
      <c r="D259" s="2" t="s">
        <v>78</v>
      </c>
      <c r="E259" s="45">
        <v>7.5</v>
      </c>
      <c r="F259" s="13">
        <v>1</v>
      </c>
      <c r="G259" s="14" t="str">
        <f>IFERROR(VLOOKUP(T_Materiales[[#This Row],[UNIDAD DE COMPRA]],#REF!,3,0),"")</f>
        <v/>
      </c>
    </row>
    <row r="260" spans="2:7" x14ac:dyDescent="0.25">
      <c r="B260" s="2" t="s">
        <v>50</v>
      </c>
      <c r="C260" s="2" t="s">
        <v>158</v>
      </c>
      <c r="D260" s="2" t="s">
        <v>78</v>
      </c>
      <c r="E260" s="45">
        <v>7.5</v>
      </c>
      <c r="F260" s="13">
        <v>1</v>
      </c>
      <c r="G260" s="14" t="str">
        <f>IFERROR(VLOOKUP(T_Materiales[[#This Row],[UNIDAD DE COMPRA]],#REF!,3,0),"")</f>
        <v/>
      </c>
    </row>
    <row r="261" spans="2:7" x14ac:dyDescent="0.25">
      <c r="B261" s="2" t="s">
        <v>50</v>
      </c>
      <c r="C261" s="2" t="s">
        <v>152</v>
      </c>
      <c r="D261" s="2" t="s">
        <v>78</v>
      </c>
      <c r="E261" s="45">
        <v>7.5</v>
      </c>
      <c r="F261" s="13">
        <v>1</v>
      </c>
      <c r="G261" s="14" t="str">
        <f>IFERROR(VLOOKUP(T_Materiales[[#This Row],[UNIDAD DE COMPRA]],#REF!,3,0),"")</f>
        <v/>
      </c>
    </row>
    <row r="262" spans="2:7" x14ac:dyDescent="0.25">
      <c r="B262" s="2" t="s">
        <v>50</v>
      </c>
      <c r="C262" s="2" t="s">
        <v>155</v>
      </c>
      <c r="D262" s="2" t="s">
        <v>78</v>
      </c>
      <c r="E262" s="45">
        <v>7.5</v>
      </c>
      <c r="F262" s="13">
        <v>1</v>
      </c>
      <c r="G262" s="14" t="str">
        <f>IFERROR(VLOOKUP(T_Materiales[[#This Row],[UNIDAD DE COMPRA]],#REF!,3,0),"")</f>
        <v/>
      </c>
    </row>
    <row r="263" spans="2:7" x14ac:dyDescent="0.25">
      <c r="B263" s="2" t="s">
        <v>50</v>
      </c>
      <c r="C263" s="2" t="s">
        <v>156</v>
      </c>
      <c r="D263" s="2" t="s">
        <v>78</v>
      </c>
      <c r="E263" s="45">
        <v>7.5</v>
      </c>
      <c r="F263" s="13">
        <v>1</v>
      </c>
      <c r="G263" s="14" t="str">
        <f>IFERROR(VLOOKUP(T_Materiales[[#This Row],[UNIDAD DE COMPRA]],#REF!,3,0),"")</f>
        <v/>
      </c>
    </row>
    <row r="264" spans="2:7" x14ac:dyDescent="0.25">
      <c r="B264" s="2" t="s">
        <v>50</v>
      </c>
      <c r="C264" s="8" t="s">
        <v>233</v>
      </c>
      <c r="D264" s="2" t="s">
        <v>78</v>
      </c>
      <c r="E264" s="45">
        <v>4.5</v>
      </c>
      <c r="F264" s="13">
        <v>1</v>
      </c>
      <c r="G264" s="14" t="str">
        <f>IFERROR(VLOOKUP(T_Materiales[[#This Row],[UNIDAD DE COMPRA]],#REF!,3,0),"")</f>
        <v/>
      </c>
    </row>
    <row r="265" spans="2:7" x14ac:dyDescent="0.25">
      <c r="B265" s="2" t="s">
        <v>50</v>
      </c>
      <c r="C265" s="8" t="s">
        <v>228</v>
      </c>
      <c r="D265" s="2" t="s">
        <v>78</v>
      </c>
      <c r="E265" s="45">
        <v>4.5</v>
      </c>
      <c r="F265" s="13">
        <v>1</v>
      </c>
      <c r="G265" s="14" t="str">
        <f>IFERROR(VLOOKUP(T_Materiales[[#This Row],[UNIDAD DE COMPRA]],#REF!,3,0),"")</f>
        <v/>
      </c>
    </row>
    <row r="266" spans="2:7" x14ac:dyDescent="0.25">
      <c r="B266" s="2" t="s">
        <v>50</v>
      </c>
      <c r="C266" s="8" t="s">
        <v>226</v>
      </c>
      <c r="D266" s="2" t="s">
        <v>78</v>
      </c>
      <c r="E266" s="45">
        <v>4.5</v>
      </c>
      <c r="F266" s="13">
        <v>1</v>
      </c>
      <c r="G266" s="2" t="str">
        <f>IFERROR(VLOOKUP(T_Materiales[[#This Row],[UNIDAD DE COMPRA]],#REF!,3,0),"")</f>
        <v/>
      </c>
    </row>
    <row r="267" spans="2:7" x14ac:dyDescent="0.25">
      <c r="B267" s="2" t="s">
        <v>50</v>
      </c>
      <c r="C267" s="8" t="s">
        <v>230</v>
      </c>
      <c r="D267" s="2" t="s">
        <v>78</v>
      </c>
      <c r="E267" s="45">
        <v>4.5</v>
      </c>
      <c r="F267" s="13">
        <v>1</v>
      </c>
      <c r="G267" s="14" t="str">
        <f>IFERROR(VLOOKUP(T_Materiales[[#This Row],[UNIDAD DE COMPRA]],#REF!,3,0),"")</f>
        <v/>
      </c>
    </row>
    <row r="268" spans="2:7" x14ac:dyDescent="0.25">
      <c r="B268" s="2" t="s">
        <v>50</v>
      </c>
      <c r="C268" s="8" t="s">
        <v>234</v>
      </c>
      <c r="D268" s="2" t="s">
        <v>78</v>
      </c>
      <c r="E268" s="45">
        <v>4.5</v>
      </c>
      <c r="F268" s="13">
        <v>1</v>
      </c>
      <c r="G268" s="14" t="str">
        <f>IFERROR(VLOOKUP(T_Materiales[[#This Row],[UNIDAD DE COMPRA]],#REF!,3,0),"")</f>
        <v/>
      </c>
    </row>
    <row r="269" spans="2:7" x14ac:dyDescent="0.25">
      <c r="B269" s="2" t="s">
        <v>50</v>
      </c>
      <c r="C269" s="8" t="s">
        <v>232</v>
      </c>
      <c r="D269" s="2" t="s">
        <v>78</v>
      </c>
      <c r="E269" s="45">
        <v>4.5</v>
      </c>
      <c r="F269" s="13">
        <v>1</v>
      </c>
      <c r="G269" s="14" t="str">
        <f>IFERROR(VLOOKUP(T_Materiales[[#This Row],[UNIDAD DE COMPRA]],#REF!,3,0),"")</f>
        <v/>
      </c>
    </row>
    <row r="270" spans="2:7" x14ac:dyDescent="0.25">
      <c r="B270" s="2" t="s">
        <v>50</v>
      </c>
      <c r="C270" s="8" t="s">
        <v>227</v>
      </c>
      <c r="D270" s="2" t="s">
        <v>78</v>
      </c>
      <c r="E270" s="45">
        <v>4.5</v>
      </c>
      <c r="F270" s="13">
        <v>1</v>
      </c>
      <c r="G270" s="14" t="str">
        <f>IFERROR(VLOOKUP(T_Materiales[[#This Row],[UNIDAD DE COMPRA]],#REF!,3,0),"")</f>
        <v/>
      </c>
    </row>
    <row r="271" spans="2:7" x14ac:dyDescent="0.25">
      <c r="B271" s="2" t="s">
        <v>50</v>
      </c>
      <c r="C271" s="8" t="s">
        <v>231</v>
      </c>
      <c r="D271" s="2" t="s">
        <v>78</v>
      </c>
      <c r="E271" s="45">
        <v>4.5</v>
      </c>
      <c r="F271" s="13">
        <v>1</v>
      </c>
      <c r="G271" s="14" t="str">
        <f>IFERROR(VLOOKUP(T_Materiales[[#This Row],[UNIDAD DE COMPRA]],#REF!,3,0),"")</f>
        <v/>
      </c>
    </row>
    <row r="272" spans="2:7" x14ac:dyDescent="0.25">
      <c r="B272" s="2" t="s">
        <v>50</v>
      </c>
      <c r="C272" s="8" t="s">
        <v>229</v>
      </c>
      <c r="D272" s="2" t="s">
        <v>78</v>
      </c>
      <c r="E272" s="45">
        <v>4.5</v>
      </c>
      <c r="F272" s="13">
        <v>1</v>
      </c>
      <c r="G272" s="14" t="str">
        <f>IFERROR(VLOOKUP(T_Materiales[[#This Row],[UNIDAD DE COMPRA]],#REF!,3,0),"")</f>
        <v/>
      </c>
    </row>
    <row r="273" spans="2:7" x14ac:dyDescent="0.25">
      <c r="B273" s="2" t="s">
        <v>50</v>
      </c>
      <c r="C273" s="8" t="s">
        <v>235</v>
      </c>
      <c r="D273" s="2" t="s">
        <v>78</v>
      </c>
      <c r="E273" s="45">
        <v>4.5</v>
      </c>
      <c r="F273" s="13">
        <v>1</v>
      </c>
      <c r="G273" s="14" t="str">
        <f>IFERROR(VLOOKUP(T_Materiales[[#This Row],[UNIDAD DE COMPRA]],#REF!,3,0),"")</f>
        <v/>
      </c>
    </row>
    <row r="274" spans="2:7" x14ac:dyDescent="0.25">
      <c r="B274" s="14" t="s">
        <v>50</v>
      </c>
      <c r="C274" s="2" t="s">
        <v>94</v>
      </c>
      <c r="D274" s="15" t="s">
        <v>78</v>
      </c>
      <c r="E274" s="46">
        <v>7.5</v>
      </c>
      <c r="F274" s="13">
        <v>1</v>
      </c>
      <c r="G274" s="14" t="str">
        <f>IFERROR(VLOOKUP(T_Materiales[[#This Row],[UNIDAD DE COMPRA]],#REF!,3,0),"")</f>
        <v/>
      </c>
    </row>
    <row r="275" spans="2:7" x14ac:dyDescent="0.25">
      <c r="B275" s="14" t="s">
        <v>50</v>
      </c>
      <c r="C275" s="2" t="s">
        <v>99</v>
      </c>
      <c r="D275" s="15" t="s">
        <v>78</v>
      </c>
      <c r="E275" s="46">
        <v>7.5</v>
      </c>
      <c r="F275" s="13">
        <v>1</v>
      </c>
      <c r="G275" s="14" t="str">
        <f>IFERROR(VLOOKUP(T_Materiales[[#This Row],[UNIDAD DE COMPRA]],#REF!,3,0),"")</f>
        <v/>
      </c>
    </row>
    <row r="276" spans="2:7" x14ac:dyDescent="0.25">
      <c r="B276" s="14" t="s">
        <v>50</v>
      </c>
      <c r="C276" s="2" t="s">
        <v>89</v>
      </c>
      <c r="D276" s="15" t="s">
        <v>78</v>
      </c>
      <c r="E276" s="46">
        <v>7.5</v>
      </c>
      <c r="F276" s="13">
        <v>1</v>
      </c>
      <c r="G276" s="14" t="str">
        <f>IFERROR(VLOOKUP(T_Materiales[[#This Row],[UNIDAD DE COMPRA]],#REF!,3,0),"")</f>
        <v/>
      </c>
    </row>
    <row r="277" spans="2:7" x14ac:dyDescent="0.25">
      <c r="B277" s="14" t="s">
        <v>50</v>
      </c>
      <c r="C277" s="2" t="s">
        <v>90</v>
      </c>
      <c r="D277" s="15" t="s">
        <v>78</v>
      </c>
      <c r="E277" s="46">
        <v>7.5</v>
      </c>
      <c r="F277" s="13">
        <v>1</v>
      </c>
      <c r="G277" s="14" t="str">
        <f>IFERROR(VLOOKUP(T_Materiales[[#This Row],[UNIDAD DE COMPRA]],#REF!,3,0),"")</f>
        <v/>
      </c>
    </row>
    <row r="278" spans="2:7" x14ac:dyDescent="0.25">
      <c r="B278" s="14" t="s">
        <v>50</v>
      </c>
      <c r="C278" s="2" t="s">
        <v>93</v>
      </c>
      <c r="D278" s="15" t="s">
        <v>78</v>
      </c>
      <c r="E278" s="46">
        <v>7.5</v>
      </c>
      <c r="F278" s="13">
        <v>1</v>
      </c>
      <c r="G278" s="14" t="str">
        <f>IFERROR(VLOOKUP(T_Materiales[[#This Row],[UNIDAD DE COMPRA]],#REF!,3,0),"")</f>
        <v/>
      </c>
    </row>
    <row r="279" spans="2:7" x14ac:dyDescent="0.25">
      <c r="B279" s="14" t="s">
        <v>50</v>
      </c>
      <c r="C279" s="2" t="s">
        <v>88</v>
      </c>
      <c r="D279" s="15" t="s">
        <v>78</v>
      </c>
      <c r="E279" s="46">
        <v>7.5</v>
      </c>
      <c r="F279" s="13">
        <v>1</v>
      </c>
      <c r="G279" s="14" t="str">
        <f>IFERROR(VLOOKUP(T_Materiales[[#This Row],[UNIDAD DE COMPRA]],#REF!,3,0),"")</f>
        <v/>
      </c>
    </row>
    <row r="280" spans="2:7" x14ac:dyDescent="0.25">
      <c r="B280" s="14" t="s">
        <v>50</v>
      </c>
      <c r="C280" s="2" t="s">
        <v>100</v>
      </c>
      <c r="D280" s="15" t="s">
        <v>78</v>
      </c>
      <c r="E280" s="46">
        <v>9.6999999999999993</v>
      </c>
      <c r="F280" s="13">
        <v>1</v>
      </c>
      <c r="G280" s="2" t="str">
        <f>IFERROR(VLOOKUP(T_Materiales[[#This Row],[UNIDAD DE COMPRA]],#REF!,3,0),"")</f>
        <v/>
      </c>
    </row>
    <row r="281" spans="2:7" x14ac:dyDescent="0.25">
      <c r="B281" s="14" t="s">
        <v>50</v>
      </c>
      <c r="C281" s="2" t="s">
        <v>101</v>
      </c>
      <c r="D281" s="15" t="s">
        <v>78</v>
      </c>
      <c r="E281" s="46">
        <v>9.6999999999999993</v>
      </c>
      <c r="F281" s="13">
        <v>1</v>
      </c>
      <c r="G281" s="2" t="str">
        <f>IFERROR(VLOOKUP(T_Materiales[[#This Row],[UNIDAD DE COMPRA]],#REF!,3,0),"")</f>
        <v/>
      </c>
    </row>
    <row r="282" spans="2:7" x14ac:dyDescent="0.25">
      <c r="B282" s="14" t="s">
        <v>50</v>
      </c>
      <c r="C282" s="2" t="s">
        <v>102</v>
      </c>
      <c r="D282" s="15" t="s">
        <v>78</v>
      </c>
      <c r="E282" s="46">
        <v>9.6999999999999993</v>
      </c>
      <c r="F282" s="13">
        <v>1</v>
      </c>
      <c r="G282" s="2" t="str">
        <f>IFERROR(VLOOKUP(T_Materiales[[#This Row],[UNIDAD DE COMPRA]],#REF!,3,0),"")</f>
        <v/>
      </c>
    </row>
    <row r="283" spans="2:7" x14ac:dyDescent="0.25">
      <c r="B283" s="14" t="s">
        <v>50</v>
      </c>
      <c r="C283" s="2" t="s">
        <v>104</v>
      </c>
      <c r="D283" s="15" t="s">
        <v>78</v>
      </c>
      <c r="E283" s="46">
        <v>9.6999999999999993</v>
      </c>
      <c r="F283" s="13">
        <v>1</v>
      </c>
      <c r="G283" s="2" t="str">
        <f>IFERROR(VLOOKUP(T_Materiales[[#This Row],[UNIDAD DE COMPRA]],#REF!,3,0),"")</f>
        <v/>
      </c>
    </row>
    <row r="284" spans="2:7" x14ac:dyDescent="0.25">
      <c r="B284" s="14" t="s">
        <v>50</v>
      </c>
      <c r="C284" s="2" t="s">
        <v>103</v>
      </c>
      <c r="D284" s="15" t="s">
        <v>78</v>
      </c>
      <c r="E284" s="46">
        <v>9.6999999999999993</v>
      </c>
      <c r="F284" s="13">
        <v>1</v>
      </c>
      <c r="G284" s="2" t="str">
        <f>IFERROR(VLOOKUP(T_Materiales[[#This Row],[UNIDAD DE COMPRA]],#REF!,3,0),"")</f>
        <v/>
      </c>
    </row>
    <row r="285" spans="2:7" x14ac:dyDescent="0.25">
      <c r="B285" s="14" t="s">
        <v>50</v>
      </c>
      <c r="C285" s="2" t="s">
        <v>97</v>
      </c>
      <c r="D285" s="15" t="s">
        <v>78</v>
      </c>
      <c r="E285" s="46">
        <v>7.5</v>
      </c>
      <c r="F285" s="13">
        <v>1</v>
      </c>
      <c r="G285" s="14" t="str">
        <f>IFERROR(VLOOKUP(T_Materiales[[#This Row],[UNIDAD DE COMPRA]],#REF!,3,0),"")</f>
        <v/>
      </c>
    </row>
    <row r="286" spans="2:7" x14ac:dyDescent="0.25">
      <c r="B286" s="14" t="s">
        <v>50</v>
      </c>
      <c r="C286" s="2" t="s">
        <v>95</v>
      </c>
      <c r="D286" s="15" t="s">
        <v>78</v>
      </c>
      <c r="E286" s="46">
        <v>7.5</v>
      </c>
      <c r="F286" s="13">
        <v>1</v>
      </c>
      <c r="G286" s="14" t="str">
        <f>IFERROR(VLOOKUP(T_Materiales[[#This Row],[UNIDAD DE COMPRA]],#REF!,3,0),"")</f>
        <v/>
      </c>
    </row>
    <row r="287" spans="2:7" x14ac:dyDescent="0.25">
      <c r="B287" s="14" t="s">
        <v>50</v>
      </c>
      <c r="C287" s="2" t="s">
        <v>92</v>
      </c>
      <c r="D287" s="15" t="s">
        <v>78</v>
      </c>
      <c r="E287" s="46">
        <v>7.5</v>
      </c>
      <c r="F287" s="13">
        <v>1</v>
      </c>
      <c r="G287" s="14" t="str">
        <f>IFERROR(VLOOKUP(T_Materiales[[#This Row],[UNIDAD DE COMPRA]],#REF!,3,0),"")</f>
        <v/>
      </c>
    </row>
    <row r="288" spans="2:7" x14ac:dyDescent="0.25">
      <c r="B288" s="14" t="s">
        <v>50</v>
      </c>
      <c r="C288" s="2" t="s">
        <v>91</v>
      </c>
      <c r="D288" s="15" t="s">
        <v>78</v>
      </c>
      <c r="E288" s="46">
        <v>7.5</v>
      </c>
      <c r="F288" s="13">
        <v>1</v>
      </c>
      <c r="G288" s="14" t="str">
        <f>IFERROR(VLOOKUP(T_Materiales[[#This Row],[UNIDAD DE COMPRA]],#REF!,3,0),"")</f>
        <v/>
      </c>
    </row>
    <row r="289" spans="2:7" x14ac:dyDescent="0.25">
      <c r="B289" s="14" t="s">
        <v>50</v>
      </c>
      <c r="C289" s="2" t="s">
        <v>87</v>
      </c>
      <c r="D289" s="15" t="s">
        <v>78</v>
      </c>
      <c r="E289" s="46">
        <v>7.5</v>
      </c>
      <c r="F289" s="13">
        <v>1</v>
      </c>
      <c r="G289" s="14" t="str">
        <f>IFERROR(VLOOKUP(T_Materiales[[#This Row],[UNIDAD DE COMPRA]],#REF!,3,0),"")</f>
        <v/>
      </c>
    </row>
    <row r="290" spans="2:7" x14ac:dyDescent="0.25">
      <c r="B290" s="14" t="s">
        <v>50</v>
      </c>
      <c r="C290" s="2" t="s">
        <v>105</v>
      </c>
      <c r="D290" s="15" t="s">
        <v>78</v>
      </c>
      <c r="E290" s="46">
        <v>7.5</v>
      </c>
      <c r="F290" s="13">
        <v>1</v>
      </c>
      <c r="G290" s="14" t="str">
        <f>IFERROR(VLOOKUP(T_Materiales[[#This Row],[UNIDAD DE COMPRA]],#REF!,3,0),"")</f>
        <v/>
      </c>
    </row>
    <row r="291" spans="2:7" x14ac:dyDescent="0.25">
      <c r="B291" s="14" t="s">
        <v>50</v>
      </c>
      <c r="C291" s="2" t="s">
        <v>96</v>
      </c>
      <c r="D291" s="15" t="s">
        <v>78</v>
      </c>
      <c r="E291" s="46">
        <v>7.5</v>
      </c>
      <c r="F291" s="13">
        <v>1</v>
      </c>
      <c r="G291" s="14" t="str">
        <f>IFERROR(VLOOKUP(T_Materiales[[#This Row],[UNIDAD DE COMPRA]],#REF!,3,0),"")</f>
        <v/>
      </c>
    </row>
    <row r="292" spans="2:7" x14ac:dyDescent="0.25">
      <c r="B292" s="14" t="s">
        <v>50</v>
      </c>
      <c r="C292" s="2" t="s">
        <v>98</v>
      </c>
      <c r="D292" s="15" t="s">
        <v>78</v>
      </c>
      <c r="E292" s="46">
        <v>7.5</v>
      </c>
      <c r="F292" s="13">
        <v>1</v>
      </c>
      <c r="G292" s="14" t="str">
        <f>IFERROR(VLOOKUP(T_Materiales[[#This Row],[UNIDAD DE COMPRA]],#REF!,3,0),"")</f>
        <v/>
      </c>
    </row>
    <row r="293" spans="2:7" x14ac:dyDescent="0.25">
      <c r="B293" s="2" t="s">
        <v>50</v>
      </c>
      <c r="C293" s="2" t="s">
        <v>86</v>
      </c>
      <c r="D293" s="2" t="s">
        <v>78</v>
      </c>
      <c r="E293" s="45">
        <v>6</v>
      </c>
      <c r="F293" s="13">
        <v>1</v>
      </c>
      <c r="G293" s="14" t="str">
        <f>IFERROR(VLOOKUP(T_Materiales[[#This Row],[UNIDAD DE COMPRA]],#REF!,3,0),"")</f>
        <v/>
      </c>
    </row>
    <row r="294" spans="2:7" x14ac:dyDescent="0.25">
      <c r="B294" s="2" t="s">
        <v>50</v>
      </c>
      <c r="C294" s="2" t="s">
        <v>82</v>
      </c>
      <c r="D294" s="2" t="s">
        <v>78</v>
      </c>
      <c r="E294" s="45">
        <v>6</v>
      </c>
      <c r="F294" s="13">
        <v>1</v>
      </c>
      <c r="G294" s="14" t="str">
        <f>IFERROR(VLOOKUP(T_Materiales[[#This Row],[UNIDAD DE COMPRA]],#REF!,3,0),"")</f>
        <v/>
      </c>
    </row>
    <row r="295" spans="2:7" x14ac:dyDescent="0.25">
      <c r="B295" s="2" t="s">
        <v>50</v>
      </c>
      <c r="C295" s="2" t="s">
        <v>79</v>
      </c>
      <c r="D295" s="2" t="s">
        <v>78</v>
      </c>
      <c r="E295" s="45">
        <v>6</v>
      </c>
      <c r="F295" s="13">
        <v>1</v>
      </c>
      <c r="G295" s="14" t="str">
        <f>IFERROR(VLOOKUP(T_Materiales[[#This Row],[UNIDAD DE COMPRA]],#REF!,3,0),"")</f>
        <v/>
      </c>
    </row>
    <row r="296" spans="2:7" x14ac:dyDescent="0.25">
      <c r="B296" s="2" t="s">
        <v>50</v>
      </c>
      <c r="C296" s="2" t="s">
        <v>85</v>
      </c>
      <c r="D296" s="2" t="s">
        <v>78</v>
      </c>
      <c r="E296" s="45">
        <v>6</v>
      </c>
      <c r="F296" s="13">
        <v>1</v>
      </c>
      <c r="G296" s="14" t="str">
        <f>IFERROR(VLOOKUP(T_Materiales[[#This Row],[UNIDAD DE COMPRA]],#REF!,3,0),"")</f>
        <v/>
      </c>
    </row>
    <row r="297" spans="2:7" x14ac:dyDescent="0.25">
      <c r="B297" s="2" t="s">
        <v>50</v>
      </c>
      <c r="C297" s="2" t="s">
        <v>83</v>
      </c>
      <c r="D297" s="2" t="s">
        <v>78</v>
      </c>
      <c r="E297" s="45">
        <v>6</v>
      </c>
      <c r="F297" s="13">
        <v>1</v>
      </c>
      <c r="G297" s="14" t="str">
        <f>IFERROR(VLOOKUP(T_Materiales[[#This Row],[UNIDAD DE COMPRA]],#REF!,3,0),"")</f>
        <v/>
      </c>
    </row>
    <row r="298" spans="2:7" x14ac:dyDescent="0.25">
      <c r="B298" s="2" t="s">
        <v>50</v>
      </c>
      <c r="C298" s="2" t="s">
        <v>80</v>
      </c>
      <c r="D298" s="2" t="s">
        <v>78</v>
      </c>
      <c r="E298" s="45">
        <v>6</v>
      </c>
      <c r="F298" s="13">
        <v>1</v>
      </c>
      <c r="G298" s="14" t="str">
        <f>IFERROR(VLOOKUP(T_Materiales[[#This Row],[UNIDAD DE COMPRA]],#REF!,3,0),"")</f>
        <v/>
      </c>
    </row>
    <row r="299" spans="2:7" x14ac:dyDescent="0.25">
      <c r="B299" s="2" t="s">
        <v>50</v>
      </c>
      <c r="C299" s="2" t="s">
        <v>84</v>
      </c>
      <c r="D299" s="2" t="s">
        <v>78</v>
      </c>
      <c r="E299" s="45">
        <v>6</v>
      </c>
      <c r="F299" s="13">
        <v>1</v>
      </c>
      <c r="G299" s="14" t="str">
        <f>IFERROR(VLOOKUP(T_Materiales[[#This Row],[UNIDAD DE COMPRA]],#REF!,3,0),"")</f>
        <v/>
      </c>
    </row>
    <row r="300" spans="2:7" x14ac:dyDescent="0.25">
      <c r="B300" s="2" t="s">
        <v>50</v>
      </c>
      <c r="C300" s="2" t="s">
        <v>77</v>
      </c>
      <c r="D300" s="2" t="s">
        <v>78</v>
      </c>
      <c r="E300" s="45">
        <v>6</v>
      </c>
      <c r="F300" s="13">
        <v>1</v>
      </c>
      <c r="G300" s="2" t="str">
        <f>IFERROR(VLOOKUP(T_Materiales[[#This Row],[UNIDAD DE COMPRA]],#REF!,3,0),"")</f>
        <v/>
      </c>
    </row>
    <row r="301" spans="2:7" x14ac:dyDescent="0.25">
      <c r="B301" s="2" t="s">
        <v>50</v>
      </c>
      <c r="C301" s="2" t="s">
        <v>81</v>
      </c>
      <c r="D301" s="2" t="s">
        <v>78</v>
      </c>
      <c r="E301" s="45">
        <v>6</v>
      </c>
      <c r="F301" s="13">
        <v>1</v>
      </c>
      <c r="G301" s="14" t="str">
        <f>IFERROR(VLOOKUP(T_Materiales[[#This Row],[UNIDAD DE COMPRA]],#REF!,3,0),"")</f>
        <v/>
      </c>
    </row>
    <row r="302" spans="2:7" x14ac:dyDescent="0.25">
      <c r="B302" s="2" t="s">
        <v>406</v>
      </c>
      <c r="C302" s="2" t="s">
        <v>417</v>
      </c>
      <c r="D302" s="8" t="s">
        <v>408</v>
      </c>
      <c r="E302" s="45">
        <v>0.3</v>
      </c>
      <c r="F302" s="16">
        <v>1</v>
      </c>
      <c r="G302" s="2" t="str">
        <f>IFERROR(VLOOKUP(T_Materiales[[#This Row],[UNIDAD DE COMPRA]],#REF!,3,0),"")</f>
        <v/>
      </c>
    </row>
    <row r="303" spans="2:7" x14ac:dyDescent="0.25">
      <c r="B303" s="2" t="s">
        <v>406</v>
      </c>
      <c r="C303" s="2" t="s">
        <v>418</v>
      </c>
      <c r="D303" s="8" t="s">
        <v>408</v>
      </c>
      <c r="E303" s="45">
        <v>0.3</v>
      </c>
      <c r="F303" s="16">
        <v>1</v>
      </c>
      <c r="G303" s="14" t="str">
        <f>IFERROR(VLOOKUP(T_Materiales[[#This Row],[UNIDAD DE COMPRA]],#REF!,3,0),"")</f>
        <v/>
      </c>
    </row>
    <row r="304" spans="2:7" x14ac:dyDescent="0.25">
      <c r="B304" s="2" t="s">
        <v>406</v>
      </c>
      <c r="C304" s="12" t="s">
        <v>416</v>
      </c>
      <c r="D304" s="8" t="s">
        <v>414</v>
      </c>
      <c r="E304" s="45">
        <v>15</v>
      </c>
      <c r="F304" s="16">
        <v>1</v>
      </c>
      <c r="G304" s="2" t="s">
        <v>415</v>
      </c>
    </row>
    <row r="305" spans="2:7" x14ac:dyDescent="0.25">
      <c r="B305" s="2" t="s">
        <v>406</v>
      </c>
      <c r="C305" s="12" t="s">
        <v>413</v>
      </c>
      <c r="D305" s="8" t="s">
        <v>414</v>
      </c>
      <c r="E305" s="45">
        <v>20</v>
      </c>
      <c r="F305" s="16">
        <v>1</v>
      </c>
      <c r="G305" s="2" t="s">
        <v>415</v>
      </c>
    </row>
    <row r="306" spans="2:7" x14ac:dyDescent="0.25">
      <c r="B306" s="2" t="s">
        <v>50</v>
      </c>
      <c r="C306" s="8" t="s">
        <v>237</v>
      </c>
      <c r="D306" s="2" t="s">
        <v>78</v>
      </c>
      <c r="E306" s="45">
        <v>5</v>
      </c>
      <c r="F306" s="13">
        <v>1</v>
      </c>
      <c r="G306" s="14" t="str">
        <f>IFERROR(VLOOKUP(T_Materiales[[#This Row],[UNIDAD DE COMPRA]],#REF!,3,0),"")</f>
        <v/>
      </c>
    </row>
    <row r="307" spans="2:7" x14ac:dyDescent="0.25">
      <c r="B307" s="2" t="s">
        <v>50</v>
      </c>
      <c r="C307" s="8" t="s">
        <v>238</v>
      </c>
      <c r="D307" s="2" t="s">
        <v>78</v>
      </c>
      <c r="E307" s="45">
        <v>5</v>
      </c>
      <c r="F307" s="13">
        <v>1</v>
      </c>
      <c r="G307" s="14" t="str">
        <f>IFERROR(VLOOKUP(T_Materiales[[#This Row],[UNIDAD DE COMPRA]],#REF!,3,0),"")</f>
        <v/>
      </c>
    </row>
    <row r="308" spans="2:7" x14ac:dyDescent="0.25">
      <c r="B308" s="2" t="s">
        <v>50</v>
      </c>
      <c r="C308" s="8" t="s">
        <v>239</v>
      </c>
      <c r="D308" s="2" t="s">
        <v>78</v>
      </c>
      <c r="E308" s="45">
        <v>5</v>
      </c>
      <c r="F308" s="13">
        <v>1</v>
      </c>
      <c r="G308" s="14" t="str">
        <f>IFERROR(VLOOKUP(T_Materiales[[#This Row],[UNIDAD DE COMPRA]],#REF!,3,0),"")</f>
        <v/>
      </c>
    </row>
    <row r="309" spans="2:7" x14ac:dyDescent="0.25">
      <c r="B309" s="2" t="s">
        <v>50</v>
      </c>
      <c r="C309" s="8" t="s">
        <v>236</v>
      </c>
      <c r="D309" s="2" t="s">
        <v>78</v>
      </c>
      <c r="E309" s="45">
        <v>5</v>
      </c>
      <c r="F309" s="13">
        <v>1</v>
      </c>
      <c r="G309" s="2" t="str">
        <f>IFERROR(VLOOKUP(T_Materiales[[#This Row],[UNIDAD DE COMPRA]],#REF!,3,0),"")</f>
        <v/>
      </c>
    </row>
    <row r="310" spans="2:7" x14ac:dyDescent="0.25">
      <c r="B310" s="2" t="s">
        <v>50</v>
      </c>
      <c r="C310" s="8" t="s">
        <v>240</v>
      </c>
      <c r="D310" s="2" t="s">
        <v>78</v>
      </c>
      <c r="E310" s="45">
        <v>5</v>
      </c>
      <c r="F310" s="13">
        <v>1</v>
      </c>
      <c r="G310" s="14" t="str">
        <f>IFERROR(VLOOKUP(T_Materiales[[#This Row],[UNIDAD DE COMPRA]],#REF!,3,0),"")</f>
        <v/>
      </c>
    </row>
    <row r="311" spans="2:7" x14ac:dyDescent="0.25">
      <c r="B311" s="2" t="s">
        <v>50</v>
      </c>
      <c r="C311" s="2" t="s">
        <v>137</v>
      </c>
      <c r="D311" s="2" t="s">
        <v>78</v>
      </c>
      <c r="E311" s="45">
        <v>4.2</v>
      </c>
      <c r="F311" s="13">
        <v>1</v>
      </c>
      <c r="G311" s="14" t="str">
        <f>IFERROR(VLOOKUP(T_Materiales[[#This Row],[UNIDAD DE COMPRA]],#REF!,3,0),"")</f>
        <v/>
      </c>
    </row>
    <row r="312" spans="2:7" x14ac:dyDescent="0.25">
      <c r="B312" s="2" t="s">
        <v>50</v>
      </c>
      <c r="C312" s="2" t="s">
        <v>127</v>
      </c>
      <c r="D312" s="2" t="s">
        <v>78</v>
      </c>
      <c r="E312" s="45">
        <v>4.2</v>
      </c>
      <c r="F312" s="13">
        <v>1</v>
      </c>
      <c r="G312" s="14" t="str">
        <f>IFERROR(VLOOKUP(T_Materiales[[#This Row],[UNIDAD DE COMPRA]],#REF!,3,0),"")</f>
        <v/>
      </c>
    </row>
    <row r="313" spans="2:7" x14ac:dyDescent="0.25">
      <c r="B313" s="2" t="s">
        <v>50</v>
      </c>
      <c r="C313" s="2" t="s">
        <v>136</v>
      </c>
      <c r="D313" s="2" t="s">
        <v>78</v>
      </c>
      <c r="E313" s="45">
        <v>4.2</v>
      </c>
      <c r="F313" s="13">
        <v>1</v>
      </c>
      <c r="G313" s="14" t="str">
        <f>IFERROR(VLOOKUP(T_Materiales[[#This Row],[UNIDAD DE COMPRA]],#REF!,3,0),"")</f>
        <v/>
      </c>
    </row>
    <row r="314" spans="2:7" x14ac:dyDescent="0.25">
      <c r="B314" s="2" t="s">
        <v>50</v>
      </c>
      <c r="C314" s="2" t="s">
        <v>128</v>
      </c>
      <c r="D314" s="2" t="s">
        <v>78</v>
      </c>
      <c r="E314" s="45">
        <v>4.2</v>
      </c>
      <c r="F314" s="13">
        <v>1</v>
      </c>
      <c r="G314" s="14" t="str">
        <f>IFERROR(VLOOKUP(T_Materiales[[#This Row],[UNIDAD DE COMPRA]],#REF!,3,0),"")</f>
        <v/>
      </c>
    </row>
    <row r="315" spans="2:7" x14ac:dyDescent="0.25">
      <c r="B315" s="2" t="s">
        <v>50</v>
      </c>
      <c r="C315" s="2" t="s">
        <v>135</v>
      </c>
      <c r="D315" s="2" t="s">
        <v>78</v>
      </c>
      <c r="E315" s="45">
        <v>4.2</v>
      </c>
      <c r="F315" s="13">
        <v>1</v>
      </c>
      <c r="G315" s="14" t="str">
        <f>IFERROR(VLOOKUP(T_Materiales[[#This Row],[UNIDAD DE COMPRA]],#REF!,3,0),"")</f>
        <v/>
      </c>
    </row>
    <row r="316" spans="2:7" x14ac:dyDescent="0.25">
      <c r="B316" s="2" t="s">
        <v>50</v>
      </c>
      <c r="C316" s="2" t="s">
        <v>134</v>
      </c>
      <c r="D316" s="2" t="s">
        <v>78</v>
      </c>
      <c r="E316" s="45">
        <v>4.2</v>
      </c>
      <c r="F316" s="13">
        <v>1</v>
      </c>
      <c r="G316" s="14" t="str">
        <f>IFERROR(VLOOKUP(T_Materiales[[#This Row],[UNIDAD DE COMPRA]],#REF!,3,0),"")</f>
        <v/>
      </c>
    </row>
    <row r="317" spans="2:7" x14ac:dyDescent="0.25">
      <c r="B317" s="2" t="s">
        <v>50</v>
      </c>
      <c r="C317" s="2" t="s">
        <v>119</v>
      </c>
      <c r="D317" s="2" t="s">
        <v>78</v>
      </c>
      <c r="E317" s="45">
        <v>4.2</v>
      </c>
      <c r="F317" s="13">
        <v>1</v>
      </c>
      <c r="G317" s="14" t="str">
        <f>IFERROR(VLOOKUP(T_Materiales[[#This Row],[UNIDAD DE COMPRA]],#REF!,3,0),"")</f>
        <v/>
      </c>
    </row>
    <row r="318" spans="2:7" x14ac:dyDescent="0.25">
      <c r="B318" s="2" t="s">
        <v>50</v>
      </c>
      <c r="C318" s="2" t="s">
        <v>126</v>
      </c>
      <c r="D318" s="2" t="s">
        <v>78</v>
      </c>
      <c r="E318" s="45">
        <v>4.2</v>
      </c>
      <c r="F318" s="13">
        <v>1</v>
      </c>
      <c r="G318" s="14" t="str">
        <f>IFERROR(VLOOKUP(T_Materiales[[#This Row],[UNIDAD DE COMPRA]],#REF!,3,0),"")</f>
        <v/>
      </c>
    </row>
    <row r="319" spans="2:7" x14ac:dyDescent="0.25">
      <c r="B319" s="2" t="s">
        <v>50</v>
      </c>
      <c r="C319" s="2" t="s">
        <v>32</v>
      </c>
      <c r="D319" s="2" t="s">
        <v>78</v>
      </c>
      <c r="E319" s="45">
        <v>4.2</v>
      </c>
      <c r="F319" s="13">
        <v>1</v>
      </c>
      <c r="G319" s="14" t="str">
        <f>IFERROR(VLOOKUP(T_Materiales[[#This Row],[UNIDAD DE COMPRA]],#REF!,3,0),"")</f>
        <v/>
      </c>
    </row>
    <row r="320" spans="2:7" x14ac:dyDescent="0.25">
      <c r="B320" s="2" t="s">
        <v>50</v>
      </c>
      <c r="C320" s="2" t="s">
        <v>13</v>
      </c>
      <c r="D320" s="2" t="s">
        <v>78</v>
      </c>
      <c r="E320" s="45">
        <v>4.2</v>
      </c>
      <c r="F320" s="13">
        <v>1</v>
      </c>
      <c r="G320" s="14" t="str">
        <f>IFERROR(VLOOKUP(T_Materiales[[#This Row],[UNIDAD DE COMPRA]],#REF!,3,0),"")</f>
        <v/>
      </c>
    </row>
    <row r="321" spans="2:7" x14ac:dyDescent="0.25">
      <c r="B321" s="2" t="s">
        <v>50</v>
      </c>
      <c r="C321" s="2" t="s">
        <v>12</v>
      </c>
      <c r="D321" s="2" t="s">
        <v>78</v>
      </c>
      <c r="E321" s="45">
        <v>4.2</v>
      </c>
      <c r="F321" s="13">
        <v>1</v>
      </c>
      <c r="G321" s="2" t="str">
        <f>IFERROR(VLOOKUP(T_Materiales[[#This Row],[UNIDAD DE COMPRA]],#REF!,3,0),"")</f>
        <v/>
      </c>
    </row>
    <row r="322" spans="2:7" x14ac:dyDescent="0.25">
      <c r="B322" s="2" t="s">
        <v>50</v>
      </c>
      <c r="C322" s="2" t="s">
        <v>138</v>
      </c>
      <c r="D322" s="2" t="s">
        <v>78</v>
      </c>
      <c r="E322" s="45">
        <v>4.2</v>
      </c>
      <c r="F322" s="13">
        <v>1</v>
      </c>
      <c r="G322" s="14" t="str">
        <f>IFERROR(VLOOKUP(T_Materiales[[#This Row],[UNIDAD DE COMPRA]],#REF!,3,0),"")</f>
        <v/>
      </c>
    </row>
    <row r="323" spans="2:7" x14ac:dyDescent="0.25">
      <c r="B323" s="2" t="s">
        <v>50</v>
      </c>
      <c r="C323" s="2" t="s">
        <v>132</v>
      </c>
      <c r="D323" s="2" t="s">
        <v>78</v>
      </c>
      <c r="E323" s="45">
        <v>4.2</v>
      </c>
      <c r="F323" s="13">
        <v>1</v>
      </c>
      <c r="G323" s="14" t="str">
        <f>IFERROR(VLOOKUP(T_Materiales[[#This Row],[UNIDAD DE COMPRA]],#REF!,3,0),"")</f>
        <v/>
      </c>
    </row>
    <row r="324" spans="2:7" x14ac:dyDescent="0.25">
      <c r="B324" s="2" t="s">
        <v>50</v>
      </c>
      <c r="C324" s="2" t="s">
        <v>121</v>
      </c>
      <c r="D324" s="2" t="s">
        <v>78</v>
      </c>
      <c r="E324" s="45">
        <v>4.2</v>
      </c>
      <c r="F324" s="13">
        <v>1</v>
      </c>
      <c r="G324" s="14" t="str">
        <f>IFERROR(VLOOKUP(T_Materiales[[#This Row],[UNIDAD DE COMPRA]],#REF!,3,0),"")</f>
        <v/>
      </c>
    </row>
    <row r="325" spans="2:7" x14ac:dyDescent="0.25">
      <c r="B325" s="2" t="s">
        <v>50</v>
      </c>
      <c r="C325" s="2" t="s">
        <v>131</v>
      </c>
      <c r="D325" s="2" t="s">
        <v>78</v>
      </c>
      <c r="E325" s="45">
        <v>4.2</v>
      </c>
      <c r="F325" s="13">
        <v>1</v>
      </c>
      <c r="G325" s="14" t="str">
        <f>IFERROR(VLOOKUP(T_Materiales[[#This Row],[UNIDAD DE COMPRA]],#REF!,3,0),"")</f>
        <v/>
      </c>
    </row>
    <row r="326" spans="2:7" x14ac:dyDescent="0.25">
      <c r="B326" s="2" t="s">
        <v>50</v>
      </c>
      <c r="C326" s="2" t="s">
        <v>141</v>
      </c>
      <c r="D326" s="2" t="s">
        <v>78</v>
      </c>
      <c r="E326" s="45">
        <v>6.4</v>
      </c>
      <c r="F326" s="13">
        <v>1</v>
      </c>
      <c r="G326" s="2" t="str">
        <f>IFERROR(VLOOKUP(T_Materiales[[#This Row],[UNIDAD DE COMPRA]],#REF!,3,0),"")</f>
        <v/>
      </c>
    </row>
    <row r="327" spans="2:7" x14ac:dyDescent="0.25">
      <c r="B327" s="2" t="s">
        <v>50</v>
      </c>
      <c r="C327" s="12" t="s">
        <v>14</v>
      </c>
      <c r="D327" s="8" t="s">
        <v>78</v>
      </c>
      <c r="E327" s="45">
        <v>7</v>
      </c>
      <c r="F327" s="13">
        <v>1</v>
      </c>
      <c r="G327" s="2" t="str">
        <f>IFERROR(VLOOKUP(T_Materiales[[#This Row],[UNIDAD DE COMPRA]],#REF!,3,0),"")</f>
        <v/>
      </c>
    </row>
    <row r="328" spans="2:7" x14ac:dyDescent="0.25">
      <c r="B328" s="2" t="s">
        <v>50</v>
      </c>
      <c r="C328" s="2" t="s">
        <v>142</v>
      </c>
      <c r="D328" s="2" t="s">
        <v>78</v>
      </c>
      <c r="E328" s="45">
        <v>6.4</v>
      </c>
      <c r="F328" s="13">
        <v>1</v>
      </c>
      <c r="G328" s="2" t="str">
        <f>IFERROR(VLOOKUP(T_Materiales[[#This Row],[UNIDAD DE COMPRA]],#REF!,3,0),"")</f>
        <v/>
      </c>
    </row>
    <row r="329" spans="2:7" x14ac:dyDescent="0.25">
      <c r="B329" s="2" t="s">
        <v>50</v>
      </c>
      <c r="C329" s="2" t="s">
        <v>140</v>
      </c>
      <c r="D329" s="2" t="s">
        <v>78</v>
      </c>
      <c r="E329" s="45">
        <v>6.4</v>
      </c>
      <c r="F329" s="13">
        <v>1</v>
      </c>
      <c r="G329" s="2" t="str">
        <f>IFERROR(VLOOKUP(T_Materiales[[#This Row],[UNIDAD DE COMPRA]],#REF!,3,0),"")</f>
        <v/>
      </c>
    </row>
    <row r="330" spans="2:7" x14ac:dyDescent="0.25">
      <c r="B330" s="2" t="s">
        <v>50</v>
      </c>
      <c r="C330" s="2" t="s">
        <v>139</v>
      </c>
      <c r="D330" s="2" t="s">
        <v>78</v>
      </c>
      <c r="E330" s="45">
        <v>6.4</v>
      </c>
      <c r="F330" s="13">
        <v>1</v>
      </c>
      <c r="G330" s="2" t="str">
        <f>IFERROR(VLOOKUP(T_Materiales[[#This Row],[UNIDAD DE COMPRA]],#REF!,3,0),"")</f>
        <v/>
      </c>
    </row>
    <row r="331" spans="2:7" x14ac:dyDescent="0.25">
      <c r="B331" s="2" t="s">
        <v>50</v>
      </c>
      <c r="C331" s="2" t="s">
        <v>122</v>
      </c>
      <c r="D331" s="2" t="s">
        <v>78</v>
      </c>
      <c r="E331" s="45">
        <v>4.2</v>
      </c>
      <c r="F331" s="13">
        <v>1</v>
      </c>
      <c r="G331" s="14" t="str">
        <f>IFERROR(VLOOKUP(T_Materiales[[#This Row],[UNIDAD DE COMPRA]],#REF!,3,0),"")</f>
        <v/>
      </c>
    </row>
    <row r="332" spans="2:7" x14ac:dyDescent="0.25">
      <c r="B332" s="2" t="s">
        <v>50</v>
      </c>
      <c r="C332" s="2" t="s">
        <v>125</v>
      </c>
      <c r="D332" s="2" t="s">
        <v>78</v>
      </c>
      <c r="E332" s="45">
        <v>4.2</v>
      </c>
      <c r="F332" s="13">
        <v>1</v>
      </c>
      <c r="G332" s="14" t="str">
        <f>IFERROR(VLOOKUP(T_Materiales[[#This Row],[UNIDAD DE COMPRA]],#REF!,3,0),"")</f>
        <v/>
      </c>
    </row>
    <row r="333" spans="2:7" x14ac:dyDescent="0.25">
      <c r="B333" s="2" t="s">
        <v>50</v>
      </c>
      <c r="C333" s="2" t="s">
        <v>120</v>
      </c>
      <c r="D333" s="2" t="s">
        <v>78</v>
      </c>
      <c r="E333" s="45">
        <v>4.2</v>
      </c>
      <c r="F333" s="13">
        <v>1</v>
      </c>
      <c r="G333" s="14" t="str">
        <f>IFERROR(VLOOKUP(T_Materiales[[#This Row],[UNIDAD DE COMPRA]],#REF!,3,0),"")</f>
        <v/>
      </c>
    </row>
    <row r="334" spans="2:7" x14ac:dyDescent="0.25">
      <c r="B334" s="2" t="s">
        <v>50</v>
      </c>
      <c r="C334" s="2" t="s">
        <v>118</v>
      </c>
      <c r="D334" s="2" t="s">
        <v>78</v>
      </c>
      <c r="E334" s="45">
        <v>4.2</v>
      </c>
      <c r="F334" s="13">
        <v>1</v>
      </c>
      <c r="G334" s="14" t="str">
        <f>IFERROR(VLOOKUP(T_Materiales[[#This Row],[UNIDAD DE COMPRA]],#REF!,3,0),"")</f>
        <v/>
      </c>
    </row>
    <row r="335" spans="2:7" x14ac:dyDescent="0.25">
      <c r="B335" s="2" t="s">
        <v>50</v>
      </c>
      <c r="C335" s="2" t="s">
        <v>133</v>
      </c>
      <c r="D335" s="2" t="s">
        <v>78</v>
      </c>
      <c r="E335" s="45">
        <v>4.2</v>
      </c>
      <c r="F335" s="13">
        <v>1</v>
      </c>
      <c r="G335" s="14" t="str">
        <f>IFERROR(VLOOKUP(T_Materiales[[#This Row],[UNIDAD DE COMPRA]],#REF!,3,0),"")</f>
        <v/>
      </c>
    </row>
    <row r="336" spans="2:7" x14ac:dyDescent="0.25">
      <c r="B336" s="2" t="s">
        <v>50</v>
      </c>
      <c r="C336" s="2" t="s">
        <v>117</v>
      </c>
      <c r="D336" s="2" t="s">
        <v>78</v>
      </c>
      <c r="E336" s="45">
        <v>4.2</v>
      </c>
      <c r="F336" s="13">
        <v>1</v>
      </c>
      <c r="G336" s="14" t="str">
        <f>IFERROR(VLOOKUP(T_Materiales[[#This Row],[UNIDAD DE COMPRA]],#REF!,3,0),"")</f>
        <v/>
      </c>
    </row>
    <row r="337" spans="2:7" x14ac:dyDescent="0.25">
      <c r="B337" s="2" t="s">
        <v>50</v>
      </c>
      <c r="C337" s="2" t="s">
        <v>33</v>
      </c>
      <c r="D337" s="2" t="s">
        <v>78</v>
      </c>
      <c r="E337" s="45">
        <v>4.2</v>
      </c>
      <c r="F337" s="13">
        <v>1</v>
      </c>
      <c r="G337" s="14" t="str">
        <f>IFERROR(VLOOKUP(T_Materiales[[#This Row],[UNIDAD DE COMPRA]],#REF!,3,0),"")</f>
        <v/>
      </c>
    </row>
    <row r="338" spans="2:7" x14ac:dyDescent="0.25">
      <c r="B338" s="2" t="s">
        <v>50</v>
      </c>
      <c r="C338" s="2" t="s">
        <v>130</v>
      </c>
      <c r="D338" s="2" t="s">
        <v>78</v>
      </c>
      <c r="E338" s="45">
        <v>4.2</v>
      </c>
      <c r="F338" s="13">
        <v>1</v>
      </c>
      <c r="G338" s="14" t="str">
        <f>IFERROR(VLOOKUP(T_Materiales[[#This Row],[UNIDAD DE COMPRA]],#REF!,3,0),"")</f>
        <v/>
      </c>
    </row>
    <row r="339" spans="2:7" x14ac:dyDescent="0.25">
      <c r="B339" s="2" t="s">
        <v>50</v>
      </c>
      <c r="C339" s="2" t="s">
        <v>129</v>
      </c>
      <c r="D339" s="2" t="s">
        <v>78</v>
      </c>
      <c r="E339" s="45">
        <v>4.2</v>
      </c>
      <c r="F339" s="13">
        <v>1</v>
      </c>
      <c r="G339" s="14" t="str">
        <f>IFERROR(VLOOKUP(T_Materiales[[#This Row],[UNIDAD DE COMPRA]],#REF!,3,0),"")</f>
        <v/>
      </c>
    </row>
    <row r="340" spans="2:7" x14ac:dyDescent="0.25">
      <c r="B340" s="2" t="s">
        <v>50</v>
      </c>
      <c r="C340" s="2" t="s">
        <v>123</v>
      </c>
      <c r="D340" s="2" t="s">
        <v>78</v>
      </c>
      <c r="E340" s="45">
        <v>4.2</v>
      </c>
      <c r="F340" s="13">
        <v>1</v>
      </c>
      <c r="G340" s="14" t="str">
        <f>IFERROR(VLOOKUP(T_Materiales[[#This Row],[UNIDAD DE COMPRA]],#REF!,3,0),"")</f>
        <v/>
      </c>
    </row>
    <row r="341" spans="2:7" x14ac:dyDescent="0.25">
      <c r="B341" s="2" t="s">
        <v>50</v>
      </c>
      <c r="C341" s="2" t="s">
        <v>1096</v>
      </c>
      <c r="D341" s="2" t="s">
        <v>78</v>
      </c>
      <c r="E341" s="45">
        <v>4.2</v>
      </c>
      <c r="F341" s="13">
        <v>1</v>
      </c>
      <c r="G341" s="14" t="str">
        <f>IFERROR(VLOOKUP(T_Materiales[[#This Row],[UNIDAD DE COMPRA]],#REF!,3,0),"")</f>
        <v/>
      </c>
    </row>
    <row r="342" spans="2:7" x14ac:dyDescent="0.25">
      <c r="B342" s="2" t="s">
        <v>50</v>
      </c>
      <c r="C342" s="2" t="s">
        <v>114</v>
      </c>
      <c r="D342" s="2" t="s">
        <v>78</v>
      </c>
      <c r="E342" s="45">
        <v>2.2000000000000002</v>
      </c>
      <c r="F342" s="13">
        <v>1</v>
      </c>
      <c r="G342" s="14" t="str">
        <f>IFERROR(VLOOKUP(T_Materiales[[#This Row],[UNIDAD DE COMPRA]],#REF!,3,0),"")</f>
        <v/>
      </c>
    </row>
    <row r="343" spans="2:7" x14ac:dyDescent="0.25">
      <c r="B343" s="2" t="s">
        <v>50</v>
      </c>
      <c r="C343" s="2" t="s">
        <v>111</v>
      </c>
      <c r="D343" s="2" t="s">
        <v>78</v>
      </c>
      <c r="E343" s="45">
        <v>2.2000000000000002</v>
      </c>
      <c r="F343" s="13">
        <v>1</v>
      </c>
      <c r="G343" s="14" t="str">
        <f>IFERROR(VLOOKUP(T_Materiales[[#This Row],[UNIDAD DE COMPRA]],#REF!,3,0),"")</f>
        <v/>
      </c>
    </row>
    <row r="344" spans="2:7" x14ac:dyDescent="0.25">
      <c r="B344" s="2" t="s">
        <v>50</v>
      </c>
      <c r="C344" s="2" t="s">
        <v>112</v>
      </c>
      <c r="D344" s="2" t="s">
        <v>78</v>
      </c>
      <c r="E344" s="45">
        <v>2.2000000000000002</v>
      </c>
      <c r="F344" s="13">
        <v>1</v>
      </c>
      <c r="G344" s="14" t="str">
        <f>IFERROR(VLOOKUP(T_Materiales[[#This Row],[UNIDAD DE COMPRA]],#REF!,3,0),"")</f>
        <v/>
      </c>
    </row>
    <row r="345" spans="2:7" x14ac:dyDescent="0.25">
      <c r="B345" s="2" t="s">
        <v>50</v>
      </c>
      <c r="C345" s="2" t="s">
        <v>113</v>
      </c>
      <c r="D345" s="2" t="s">
        <v>78</v>
      </c>
      <c r="E345" s="45">
        <v>2.2000000000000002</v>
      </c>
      <c r="F345" s="13">
        <v>1</v>
      </c>
      <c r="G345" s="14" t="str">
        <f>IFERROR(VLOOKUP(T_Materiales[[#This Row],[UNIDAD DE COMPRA]],#REF!,3,0),"")</f>
        <v/>
      </c>
    </row>
    <row r="346" spans="2:7" x14ac:dyDescent="0.25">
      <c r="B346" s="2" t="s">
        <v>50</v>
      </c>
      <c r="C346" s="2" t="s">
        <v>106</v>
      </c>
      <c r="D346" s="2" t="s">
        <v>78</v>
      </c>
      <c r="E346" s="45">
        <v>2.2000000000000002</v>
      </c>
      <c r="F346" s="13">
        <v>1</v>
      </c>
      <c r="G346" s="2" t="str">
        <f>IFERROR(VLOOKUP(T_Materiales[[#This Row],[UNIDAD DE COMPRA]],#REF!,3,0),"")</f>
        <v/>
      </c>
    </row>
    <row r="347" spans="2:7" x14ac:dyDescent="0.25">
      <c r="B347" s="2" t="s">
        <v>50</v>
      </c>
      <c r="C347" s="2" t="s">
        <v>110</v>
      </c>
      <c r="D347" s="2" t="s">
        <v>78</v>
      </c>
      <c r="E347" s="45">
        <v>2.2000000000000002</v>
      </c>
      <c r="F347" s="13">
        <v>1</v>
      </c>
      <c r="G347" s="14" t="str">
        <f>IFERROR(VLOOKUP(T_Materiales[[#This Row],[UNIDAD DE COMPRA]],#REF!,3,0),"")</f>
        <v/>
      </c>
    </row>
    <row r="348" spans="2:7" x14ac:dyDescent="0.25">
      <c r="B348" s="2" t="s">
        <v>50</v>
      </c>
      <c r="C348" s="2" t="s">
        <v>115</v>
      </c>
      <c r="D348" s="2" t="s">
        <v>78</v>
      </c>
      <c r="E348" s="45">
        <v>2.2000000000000002</v>
      </c>
      <c r="F348" s="13">
        <v>1</v>
      </c>
      <c r="G348" s="14" t="str">
        <f>IFERROR(VLOOKUP(T_Materiales[[#This Row],[UNIDAD DE COMPRA]],#REF!,3,0),"")</f>
        <v/>
      </c>
    </row>
    <row r="349" spans="2:7" x14ac:dyDescent="0.25">
      <c r="B349" s="2" t="s">
        <v>50</v>
      </c>
      <c r="C349" s="2" t="s">
        <v>116</v>
      </c>
      <c r="D349" s="2" t="s">
        <v>78</v>
      </c>
      <c r="E349" s="45">
        <v>2.2000000000000002</v>
      </c>
      <c r="F349" s="13">
        <v>1</v>
      </c>
      <c r="G349" s="14" t="str">
        <f>IFERROR(VLOOKUP(T_Materiales[[#This Row],[UNIDAD DE COMPRA]],#REF!,3,0),"")</f>
        <v/>
      </c>
    </row>
    <row r="350" spans="2:7" x14ac:dyDescent="0.25">
      <c r="B350" s="2" t="s">
        <v>50</v>
      </c>
      <c r="C350" s="2" t="s">
        <v>108</v>
      </c>
      <c r="D350" s="2" t="s">
        <v>78</v>
      </c>
      <c r="E350" s="45">
        <v>2.2000000000000002</v>
      </c>
      <c r="F350" s="13">
        <v>1</v>
      </c>
      <c r="G350" s="14" t="str">
        <f>IFERROR(VLOOKUP(T_Materiales[[#This Row],[UNIDAD DE COMPRA]],#REF!,3,0),"")</f>
        <v/>
      </c>
    </row>
    <row r="351" spans="2:7" x14ac:dyDescent="0.25">
      <c r="B351" s="2" t="s">
        <v>50</v>
      </c>
      <c r="C351" s="2" t="s">
        <v>107</v>
      </c>
      <c r="D351" s="2" t="s">
        <v>78</v>
      </c>
      <c r="E351" s="45">
        <v>2.2000000000000002</v>
      </c>
      <c r="F351" s="13">
        <v>1</v>
      </c>
      <c r="G351" s="14" t="str">
        <f>IFERROR(VLOOKUP(T_Materiales[[#This Row],[UNIDAD DE COMPRA]],#REF!,3,0),"")</f>
        <v/>
      </c>
    </row>
    <row r="352" spans="2:7" x14ac:dyDescent="0.25">
      <c r="B352" s="2" t="s">
        <v>50</v>
      </c>
      <c r="C352" s="2" t="s">
        <v>1505</v>
      </c>
      <c r="D352" s="2" t="s">
        <v>78</v>
      </c>
      <c r="E352" s="45">
        <v>2.2000000000000002</v>
      </c>
      <c r="F352" s="13">
        <v>1</v>
      </c>
      <c r="G352" s="14" t="str">
        <f>IFERROR(VLOOKUP(T_Materiales[[#This Row],[UNIDAD DE COMPRA]],#REF!,3,0),"")</f>
        <v/>
      </c>
    </row>
    <row r="353" spans="2:7" x14ac:dyDescent="0.25">
      <c r="B353" s="2" t="s">
        <v>258</v>
      </c>
      <c r="C353" s="12" t="s">
        <v>616</v>
      </c>
      <c r="D353" s="8" t="s">
        <v>78</v>
      </c>
      <c r="E353" s="45">
        <v>6</v>
      </c>
      <c r="F353" s="13">
        <v>1</v>
      </c>
      <c r="G353" s="2" t="str">
        <f>IFERROR(VLOOKUP(T_Materiales[[#This Row],[UNIDAD DE COMPRA]],#REF!,3,0),"")</f>
        <v/>
      </c>
    </row>
    <row r="354" spans="2:7" x14ac:dyDescent="0.25">
      <c r="B354" s="2" t="s">
        <v>258</v>
      </c>
      <c r="C354" s="12" t="s">
        <v>615</v>
      </c>
      <c r="D354" s="8" t="s">
        <v>78</v>
      </c>
      <c r="E354" s="45">
        <v>6</v>
      </c>
      <c r="F354" s="13">
        <v>1</v>
      </c>
      <c r="G354" s="2" t="str">
        <f>IFERROR(VLOOKUP(T_Materiales[[#This Row],[UNIDAD DE COMPRA]],#REF!,3,0),"")</f>
        <v/>
      </c>
    </row>
    <row r="355" spans="2:7" x14ac:dyDescent="0.25">
      <c r="B355" s="2" t="s">
        <v>258</v>
      </c>
      <c r="C355" s="12" t="s">
        <v>618</v>
      </c>
      <c r="D355" s="8" t="s">
        <v>78</v>
      </c>
      <c r="E355" s="45">
        <v>11</v>
      </c>
      <c r="F355" s="13">
        <v>1</v>
      </c>
      <c r="G355" s="2" t="str">
        <f>IFERROR(VLOOKUP(T_Materiales[[#This Row],[UNIDAD DE COMPRA]],#REF!,3,0),"")</f>
        <v/>
      </c>
    </row>
    <row r="356" spans="2:7" x14ac:dyDescent="0.25">
      <c r="B356" s="2" t="s">
        <v>258</v>
      </c>
      <c r="C356" s="12" t="s">
        <v>617</v>
      </c>
      <c r="D356" s="8" t="s">
        <v>78</v>
      </c>
      <c r="E356" s="45">
        <v>6</v>
      </c>
      <c r="F356" s="13">
        <v>1</v>
      </c>
      <c r="G356" s="2" t="str">
        <f>IFERROR(VLOOKUP(T_Materiales[[#This Row],[UNIDAD DE COMPRA]],#REF!,3,0),"")</f>
        <v/>
      </c>
    </row>
    <row r="357" spans="2:7" x14ac:dyDescent="0.25">
      <c r="B357" s="2" t="s">
        <v>406</v>
      </c>
      <c r="C357" s="2" t="s">
        <v>409</v>
      </c>
      <c r="D357" s="8" t="s">
        <v>408</v>
      </c>
      <c r="E357" s="45">
        <v>0.2</v>
      </c>
      <c r="F357" s="16">
        <v>1</v>
      </c>
      <c r="G357" s="2" t="s">
        <v>410</v>
      </c>
    </row>
    <row r="358" spans="2:7" x14ac:dyDescent="0.25">
      <c r="B358" s="2" t="s">
        <v>406</v>
      </c>
      <c r="C358" s="2" t="s">
        <v>407</v>
      </c>
      <c r="D358" s="8" t="s">
        <v>408</v>
      </c>
      <c r="E358" s="45">
        <v>0.2</v>
      </c>
      <c r="F358" s="13">
        <v>1</v>
      </c>
      <c r="G358" s="2" t="str">
        <f>IFERROR(VLOOKUP(T_Materiales[[#This Row],[UNIDAD DE COMPRA]],#REF!,3,0),"")</f>
        <v/>
      </c>
    </row>
    <row r="359" spans="2:7" x14ac:dyDescent="0.25">
      <c r="B359" s="2" t="s">
        <v>406</v>
      </c>
      <c r="C359" s="2" t="s">
        <v>411</v>
      </c>
      <c r="D359" s="8" t="s">
        <v>408</v>
      </c>
      <c r="E359" s="45">
        <v>0.2</v>
      </c>
      <c r="F359" s="16">
        <v>1</v>
      </c>
      <c r="G359" s="2" t="s">
        <v>410</v>
      </c>
    </row>
    <row r="360" spans="2:7" x14ac:dyDescent="0.25">
      <c r="B360" s="2" t="s">
        <v>406</v>
      </c>
      <c r="C360" s="2" t="s">
        <v>412</v>
      </c>
      <c r="D360" s="8" t="s">
        <v>408</v>
      </c>
      <c r="E360" s="45">
        <v>0.2</v>
      </c>
      <c r="F360" s="16">
        <v>1</v>
      </c>
      <c r="G360" s="2" t="s">
        <v>410</v>
      </c>
    </row>
    <row r="361" spans="2:7" x14ac:dyDescent="0.25">
      <c r="B361" s="2" t="s">
        <v>50</v>
      </c>
      <c r="C361" s="2" t="s">
        <v>143</v>
      </c>
      <c r="D361" s="2" t="s">
        <v>78</v>
      </c>
      <c r="E361" s="45">
        <v>8</v>
      </c>
      <c r="F361" s="13">
        <v>1</v>
      </c>
      <c r="G361" s="2" t="str">
        <f>IFERROR(VLOOKUP(T_Materiales[[#This Row],[UNIDAD DE COMPRA]],#REF!,3,0),"")</f>
        <v/>
      </c>
    </row>
    <row r="362" spans="2:7" x14ac:dyDescent="0.25">
      <c r="B362" s="2" t="s">
        <v>50</v>
      </c>
      <c r="C362" s="2" t="s">
        <v>144</v>
      </c>
      <c r="D362" s="2" t="s">
        <v>78</v>
      </c>
      <c r="E362" s="45">
        <v>8</v>
      </c>
      <c r="F362" s="13">
        <v>1</v>
      </c>
      <c r="G362" s="14" t="str">
        <f>IFERROR(VLOOKUP(T_Materiales[[#This Row],[UNIDAD DE COMPRA]],#REF!,3,0),"")</f>
        <v/>
      </c>
    </row>
    <row r="363" spans="2:7" x14ac:dyDescent="0.25">
      <c r="B363" s="2" t="s">
        <v>258</v>
      </c>
      <c r="C363" s="8" t="s">
        <v>259</v>
      </c>
      <c r="D363" s="8" t="s">
        <v>260</v>
      </c>
      <c r="E363" s="45">
        <v>0.14000000000000001</v>
      </c>
      <c r="F363" s="13">
        <v>1</v>
      </c>
      <c r="G363" s="2" t="str">
        <f>IFERROR(VLOOKUP(T_Materiales[[#This Row],[UNIDAD DE COMPRA]],#REF!,3,0),"")</f>
        <v/>
      </c>
    </row>
    <row r="364" spans="2:7" x14ac:dyDescent="0.25">
      <c r="B364" s="2" t="s">
        <v>258</v>
      </c>
      <c r="C364" s="8" t="s">
        <v>261</v>
      </c>
      <c r="D364" s="8" t="s">
        <v>260</v>
      </c>
      <c r="E364" s="45">
        <v>0.14000000000000001</v>
      </c>
      <c r="F364" s="13">
        <v>1</v>
      </c>
      <c r="G364" s="14" t="str">
        <f>IFERROR(VLOOKUP(T_Materiales[[#This Row],[UNIDAD DE COMPRA]],#REF!,3,0),"")</f>
        <v/>
      </c>
    </row>
    <row r="365" spans="2:7" x14ac:dyDescent="0.25">
      <c r="B365" s="14" t="s">
        <v>258</v>
      </c>
      <c r="C365" s="8" t="s">
        <v>1128</v>
      </c>
      <c r="D365" s="8" t="s">
        <v>78</v>
      </c>
      <c r="E365" s="46">
        <v>20</v>
      </c>
      <c r="F365" s="13"/>
      <c r="G365" s="2" t="s">
        <v>78</v>
      </c>
    </row>
    <row r="366" spans="2:7" x14ac:dyDescent="0.25">
      <c r="B366" s="14" t="s">
        <v>258</v>
      </c>
      <c r="C366" s="8" t="s">
        <v>1126</v>
      </c>
      <c r="D366" s="15" t="s">
        <v>439</v>
      </c>
      <c r="E366" s="46">
        <v>7.5</v>
      </c>
      <c r="F366" s="13">
        <v>1</v>
      </c>
      <c r="G366" s="14" t="s">
        <v>396</v>
      </c>
    </row>
    <row r="367" spans="2:7" x14ac:dyDescent="0.25">
      <c r="B367" s="14" t="s">
        <v>258</v>
      </c>
      <c r="C367" s="8" t="s">
        <v>1127</v>
      </c>
      <c r="D367" s="15" t="s">
        <v>439</v>
      </c>
      <c r="E367" s="46">
        <v>7.5</v>
      </c>
      <c r="F367" s="13">
        <v>1</v>
      </c>
      <c r="G367" s="14" t="s">
        <v>396</v>
      </c>
    </row>
    <row r="368" spans="2:7" x14ac:dyDescent="0.25">
      <c r="B368" s="2" t="s">
        <v>258</v>
      </c>
      <c r="C368" s="8" t="s">
        <v>1150</v>
      </c>
      <c r="D368" s="8" t="s">
        <v>368</v>
      </c>
      <c r="E368" s="45">
        <v>0.5</v>
      </c>
      <c r="F368" s="13">
        <v>1</v>
      </c>
      <c r="G368" s="2" t="str">
        <f>IFERROR(VLOOKUP(T_Materiales[[#This Row],[UNIDAD DE COMPRA]],#REF!,3,0),"")</f>
        <v/>
      </c>
    </row>
    <row r="369" spans="2:20" x14ac:dyDescent="0.25">
      <c r="B369" s="2" t="s">
        <v>50</v>
      </c>
      <c r="C369" s="8" t="s">
        <v>1158</v>
      </c>
      <c r="D369" s="15" t="s">
        <v>78</v>
      </c>
      <c r="E369" s="46">
        <v>4.2</v>
      </c>
      <c r="F369" s="13">
        <v>1</v>
      </c>
      <c r="G369" s="14" t="str">
        <f>IFERROR(VLOOKUP(T_Materiales[[#This Row],[UNIDAD DE COMPRA]],#REF!,3,0),"")</f>
        <v/>
      </c>
    </row>
    <row r="370" spans="2:20" x14ac:dyDescent="0.25">
      <c r="B370" s="14" t="s">
        <v>50</v>
      </c>
      <c r="C370" s="8" t="s">
        <v>1159</v>
      </c>
      <c r="D370" s="15" t="s">
        <v>78</v>
      </c>
      <c r="E370" s="46">
        <v>7</v>
      </c>
      <c r="F370" s="13">
        <v>1</v>
      </c>
      <c r="G370" s="14" t="str">
        <f>IFERROR(VLOOKUP(T_Materiales[[#This Row],[UNIDAD DE COMPRA]],#REF!,3,0),"")</f>
        <v/>
      </c>
    </row>
    <row r="371" spans="2:20" x14ac:dyDescent="0.25">
      <c r="B371" s="14" t="s">
        <v>50</v>
      </c>
      <c r="C371" s="8" t="s">
        <v>1160</v>
      </c>
      <c r="D371" s="15" t="s">
        <v>78</v>
      </c>
      <c r="E371" s="46">
        <v>7</v>
      </c>
      <c r="F371" s="13">
        <v>1</v>
      </c>
      <c r="G371" s="14" t="str">
        <f>IFERROR(VLOOKUP(T_Materiales[[#This Row],[UNIDAD DE COMPRA]],#REF!,3,0),"")</f>
        <v/>
      </c>
    </row>
    <row r="372" spans="2:20" x14ac:dyDescent="0.25">
      <c r="B372" s="14" t="s">
        <v>50</v>
      </c>
      <c r="C372" s="8" t="s">
        <v>1161</v>
      </c>
      <c r="D372" s="15" t="s">
        <v>78</v>
      </c>
      <c r="E372" s="46">
        <v>7</v>
      </c>
      <c r="F372" s="13">
        <v>1</v>
      </c>
      <c r="G372" s="14" t="str">
        <f>IFERROR(VLOOKUP(T_Materiales[[#This Row],[UNIDAD DE COMPRA]],#REF!,3,0),"")</f>
        <v/>
      </c>
    </row>
    <row r="373" spans="2:20" x14ac:dyDescent="0.25">
      <c r="B373" s="14" t="s">
        <v>50</v>
      </c>
      <c r="C373" s="8" t="s">
        <v>1162</v>
      </c>
      <c r="D373" s="15" t="s">
        <v>78</v>
      </c>
      <c r="E373" s="46">
        <v>7</v>
      </c>
      <c r="F373" s="13">
        <v>1</v>
      </c>
      <c r="G373" s="14" t="str">
        <f>IFERROR(VLOOKUP(T_Materiales[[#This Row],[UNIDAD DE COMPRA]],#REF!,3,0),"")</f>
        <v/>
      </c>
    </row>
    <row r="374" spans="2:20" x14ac:dyDescent="0.25">
      <c r="B374" s="14" t="s">
        <v>50</v>
      </c>
      <c r="C374" s="8" t="s">
        <v>1163</v>
      </c>
      <c r="D374" s="15" t="s">
        <v>78</v>
      </c>
      <c r="E374" s="46">
        <v>7</v>
      </c>
      <c r="F374" s="13">
        <v>1</v>
      </c>
      <c r="G374" s="14" t="str">
        <f>IFERROR(VLOOKUP(T_Materiales[[#This Row],[UNIDAD DE COMPRA]],#REF!,3,0),"")</f>
        <v/>
      </c>
    </row>
    <row r="375" spans="2:20" x14ac:dyDescent="0.25">
      <c r="B375" s="14" t="s">
        <v>50</v>
      </c>
      <c r="C375" s="8" t="s">
        <v>1164</v>
      </c>
      <c r="D375" s="15" t="s">
        <v>78</v>
      </c>
      <c r="E375" s="46">
        <v>7</v>
      </c>
      <c r="F375" s="13">
        <v>1</v>
      </c>
      <c r="G375" s="14" t="str">
        <f>IFERROR(VLOOKUP(T_Materiales[[#This Row],[UNIDAD DE COMPRA]],#REF!,3,0),"")</f>
        <v/>
      </c>
    </row>
    <row r="376" spans="2:20" x14ac:dyDescent="0.25">
      <c r="B376" s="2" t="s">
        <v>50</v>
      </c>
      <c r="C376" s="8" t="s">
        <v>1177</v>
      </c>
      <c r="D376" s="15" t="s">
        <v>78</v>
      </c>
      <c r="E376" s="46">
        <v>4.2</v>
      </c>
      <c r="F376" s="13">
        <v>1</v>
      </c>
      <c r="G376" s="14" t="str">
        <f>IFERROR(VLOOKUP(T_Materiales[[#This Row],[UNIDAD DE COMPRA]],#REF!,3,0),"")</f>
        <v/>
      </c>
    </row>
    <row r="377" spans="2:20" x14ac:dyDescent="0.25">
      <c r="B377" s="2" t="s">
        <v>50</v>
      </c>
      <c r="C377" s="8" t="s">
        <v>1178</v>
      </c>
      <c r="D377" s="15" t="s">
        <v>78</v>
      </c>
      <c r="E377" s="46">
        <v>6.4</v>
      </c>
      <c r="F377" s="13">
        <v>1</v>
      </c>
      <c r="G377" s="14" t="str">
        <f>IFERROR(VLOOKUP(T_Materiales[[#This Row],[UNIDAD DE COMPRA]],#REF!,3,0),"")</f>
        <v/>
      </c>
    </row>
    <row r="378" spans="2:20" x14ac:dyDescent="0.25">
      <c r="B378" s="2" t="s">
        <v>258</v>
      </c>
      <c r="C378" s="8" t="s">
        <v>1179</v>
      </c>
      <c r="D378" s="8" t="s">
        <v>385</v>
      </c>
      <c r="E378" s="45">
        <v>0.03</v>
      </c>
      <c r="F378" s="13">
        <v>1</v>
      </c>
      <c r="G378" s="2" t="str">
        <f>IFERROR(VLOOKUP(T_Materiales[[#This Row],[UNIDAD DE COMPRA]],#REF!,3,0),"")</f>
        <v/>
      </c>
    </row>
    <row r="379" spans="2:20" x14ac:dyDescent="0.25">
      <c r="B379" s="2" t="s">
        <v>50</v>
      </c>
      <c r="C379" s="8" t="s">
        <v>1182</v>
      </c>
      <c r="D379" s="15" t="s">
        <v>78</v>
      </c>
      <c r="E379" s="46">
        <v>4.2</v>
      </c>
      <c r="F379" s="13">
        <v>1</v>
      </c>
      <c r="G379" s="14" t="str">
        <f>IFERROR(VLOOKUP(T_Materiales[[#This Row],[UNIDAD DE COMPRA]],#REF!,3,0),"")</f>
        <v/>
      </c>
    </row>
    <row r="380" spans="2:20" s="54" customFormat="1" x14ac:dyDescent="0.25">
      <c r="B380" s="2" t="s">
        <v>50</v>
      </c>
      <c r="C380" s="58" t="s">
        <v>1203</v>
      </c>
      <c r="D380" s="15" t="s">
        <v>78</v>
      </c>
      <c r="E380" s="52">
        <v>2.2000000000000002</v>
      </c>
      <c r="F380" s="53">
        <v>1</v>
      </c>
      <c r="G380" s="51" t="str">
        <f>IFERROR(VLOOKUP(T_Materiales[[#This Row],[UNIDAD DE COMPRA]],[2]!T_Equivalencias[#All],3,0),"")</f>
        <v/>
      </c>
      <c r="M380" s="55"/>
      <c r="N380" s="55"/>
      <c r="O380" s="56"/>
      <c r="T380" s="57"/>
    </row>
    <row r="381" spans="2:20" x14ac:dyDescent="0.25">
      <c r="B381" s="2" t="s">
        <v>50</v>
      </c>
      <c r="C381" s="8" t="s">
        <v>1204</v>
      </c>
      <c r="D381" s="15" t="s">
        <v>78</v>
      </c>
      <c r="E381" s="49">
        <v>2.2000000000000002</v>
      </c>
      <c r="F381" s="50">
        <v>1</v>
      </c>
      <c r="G381" s="14" t="str">
        <f>IFERROR(VLOOKUP(T_Materiales[[#This Row],[UNIDAD DE COMPRA]],[2]!T_Equivalencias[#All],3,0),"")</f>
        <v/>
      </c>
    </row>
    <row r="382" spans="2:20" x14ac:dyDescent="0.25">
      <c r="B382" s="2" t="s">
        <v>50</v>
      </c>
      <c r="C382" s="8" t="s">
        <v>1205</v>
      </c>
      <c r="D382" s="15" t="s">
        <v>78</v>
      </c>
      <c r="E382" s="49">
        <v>2.2000000000000002</v>
      </c>
      <c r="F382" s="50">
        <v>1</v>
      </c>
      <c r="G382" s="14" t="str">
        <f>IFERROR(VLOOKUP(T_Materiales[[#This Row],[UNIDAD DE COMPRA]],[2]!T_Equivalencias[#All],3,0),"")</f>
        <v/>
      </c>
    </row>
    <row r="383" spans="2:20" x14ac:dyDescent="0.25">
      <c r="B383" s="2" t="s">
        <v>50</v>
      </c>
      <c r="C383" s="8" t="s">
        <v>1206</v>
      </c>
      <c r="D383" s="15" t="s">
        <v>78</v>
      </c>
      <c r="E383" s="49">
        <v>2.2000000000000002</v>
      </c>
      <c r="F383" s="50">
        <v>1</v>
      </c>
      <c r="G383" s="14" t="str">
        <f>IFERROR(VLOOKUP(T_Materiales[[#This Row],[UNIDAD DE COMPRA]],[2]!T_Equivalencias[#All],3,0),"")</f>
        <v/>
      </c>
    </row>
    <row r="384" spans="2:20" x14ac:dyDescent="0.25">
      <c r="B384" s="2" t="s">
        <v>50</v>
      </c>
      <c r="C384" s="8" t="s">
        <v>1207</v>
      </c>
      <c r="D384" s="15" t="s">
        <v>78</v>
      </c>
      <c r="E384" s="49">
        <v>2.2000000000000002</v>
      </c>
      <c r="F384" s="50">
        <v>1</v>
      </c>
      <c r="G384" s="14" t="str">
        <f>IFERROR(VLOOKUP(T_Materiales[[#This Row],[UNIDAD DE COMPRA]],[2]!T_Equivalencias[#All],3,0),"")</f>
        <v/>
      </c>
    </row>
    <row r="385" spans="2:7" x14ac:dyDescent="0.25">
      <c r="B385" s="2" t="s">
        <v>50</v>
      </c>
      <c r="C385" s="8" t="s">
        <v>1208</v>
      </c>
      <c r="D385" s="15" t="s">
        <v>78</v>
      </c>
      <c r="E385" s="49">
        <v>2.2000000000000002</v>
      </c>
      <c r="F385" s="50">
        <v>1</v>
      </c>
      <c r="G385" s="14" t="str">
        <f>IFERROR(VLOOKUP(T_Materiales[[#This Row],[UNIDAD DE COMPRA]],[2]!T_Equivalencias[#All],3,0),"")</f>
        <v/>
      </c>
    </row>
    <row r="386" spans="2:7" x14ac:dyDescent="0.25">
      <c r="B386" s="2" t="s">
        <v>50</v>
      </c>
      <c r="C386" s="8" t="s">
        <v>1209</v>
      </c>
      <c r="D386" s="15" t="s">
        <v>78</v>
      </c>
      <c r="E386" s="49">
        <v>2.2000000000000002</v>
      </c>
      <c r="F386" s="50">
        <v>1</v>
      </c>
      <c r="G386" s="14" t="str">
        <f>IFERROR(VLOOKUP(T_Materiales[[#This Row],[UNIDAD DE COMPRA]],[2]!T_Equivalencias[#All],3,0),"")</f>
        <v/>
      </c>
    </row>
    <row r="387" spans="2:7" x14ac:dyDescent="0.25">
      <c r="B387" s="2" t="s">
        <v>50</v>
      </c>
      <c r="C387" s="8" t="s">
        <v>1210</v>
      </c>
      <c r="D387" s="15" t="s">
        <v>78</v>
      </c>
      <c r="E387" s="49">
        <v>2.2000000000000002</v>
      </c>
      <c r="F387" s="50">
        <v>1</v>
      </c>
      <c r="G387" s="14" t="str">
        <f>IFERROR(VLOOKUP(T_Materiales[[#This Row],[UNIDAD DE COMPRA]],[2]!T_Equivalencias[#All],3,0),"")</f>
        <v/>
      </c>
    </row>
    <row r="388" spans="2:7" x14ac:dyDescent="0.25">
      <c r="B388" s="2" t="s">
        <v>50</v>
      </c>
      <c r="C388" s="8" t="s">
        <v>1211</v>
      </c>
      <c r="D388" s="15" t="s">
        <v>78</v>
      </c>
      <c r="E388" s="49">
        <v>2.2000000000000002</v>
      </c>
      <c r="F388" s="50">
        <v>1</v>
      </c>
      <c r="G388" s="14" t="str">
        <f>IFERROR(VLOOKUP(T_Materiales[[#This Row],[UNIDAD DE COMPRA]],[2]!T_Equivalencias[#All],3,0),"")</f>
        <v/>
      </c>
    </row>
    <row r="389" spans="2:7" x14ac:dyDescent="0.25">
      <c r="B389" s="2" t="s">
        <v>50</v>
      </c>
      <c r="C389" s="8" t="s">
        <v>1212</v>
      </c>
      <c r="D389" s="15" t="s">
        <v>78</v>
      </c>
      <c r="E389" s="49">
        <v>2.2000000000000002</v>
      </c>
      <c r="F389" s="50">
        <v>1</v>
      </c>
      <c r="G389" s="14" t="str">
        <f>IFERROR(VLOOKUP(T_Materiales[[#This Row],[UNIDAD DE COMPRA]],[2]!T_Equivalencias[#All],3,0),"")</f>
        <v/>
      </c>
    </row>
    <row r="390" spans="2:7" x14ac:dyDescent="0.25">
      <c r="B390" s="2" t="s">
        <v>50</v>
      </c>
      <c r="C390" s="8" t="s">
        <v>1213</v>
      </c>
      <c r="D390" s="15" t="s">
        <v>78</v>
      </c>
      <c r="E390" s="49">
        <v>2.2000000000000002</v>
      </c>
      <c r="F390" s="50">
        <v>1</v>
      </c>
      <c r="G390" s="14" t="str">
        <f>IFERROR(VLOOKUP(T_Materiales[[#This Row],[UNIDAD DE COMPRA]],[2]!T_Equivalencias[#All],3,0),"")</f>
        <v/>
      </c>
    </row>
    <row r="391" spans="2:7" x14ac:dyDescent="0.25">
      <c r="B391" s="2" t="s">
        <v>50</v>
      </c>
      <c r="C391" s="8" t="s">
        <v>1214</v>
      </c>
      <c r="D391" s="15" t="s">
        <v>78</v>
      </c>
      <c r="E391" s="49">
        <v>2.2000000000000002</v>
      </c>
      <c r="F391" s="50">
        <v>1</v>
      </c>
      <c r="G391" s="59" t="str">
        <f>IFERROR(VLOOKUP(T_Materiales[[#This Row],[UNIDAD DE COMPRA]],[2]!T_Equivalencias[#All],3,0),"")</f>
        <v/>
      </c>
    </row>
    <row r="392" spans="2:7" x14ac:dyDescent="0.25">
      <c r="B392" s="2" t="s">
        <v>50</v>
      </c>
      <c r="C392" s="8" t="s">
        <v>1215</v>
      </c>
      <c r="D392" s="15" t="s">
        <v>78</v>
      </c>
      <c r="E392" s="49">
        <v>2.2000000000000002</v>
      </c>
      <c r="F392" s="50">
        <v>1</v>
      </c>
      <c r="G392" s="59" t="str">
        <f>IFERROR(VLOOKUP(T_Materiales[[#This Row],[UNIDAD DE COMPRA]],[2]!T_Equivalencias[#All],3,0),"")</f>
        <v/>
      </c>
    </row>
    <row r="393" spans="2:7" x14ac:dyDescent="0.25">
      <c r="B393" s="2" t="s">
        <v>50</v>
      </c>
      <c r="C393" s="8" t="s">
        <v>1216</v>
      </c>
      <c r="D393" s="15" t="s">
        <v>78</v>
      </c>
      <c r="E393" s="49">
        <v>2.2000000000000002</v>
      </c>
      <c r="F393" s="50">
        <v>1</v>
      </c>
      <c r="G393" s="59" t="str">
        <f>IFERROR(VLOOKUP(T_Materiales[[#This Row],[UNIDAD DE COMPRA]],[2]!T_Equivalencias[#All],3,0),"")</f>
        <v/>
      </c>
    </row>
    <row r="394" spans="2:7" x14ac:dyDescent="0.25">
      <c r="B394" s="2" t="s">
        <v>50</v>
      </c>
      <c r="C394" s="8" t="s">
        <v>1217</v>
      </c>
      <c r="D394" s="15" t="s">
        <v>78</v>
      </c>
      <c r="E394" s="60">
        <v>5</v>
      </c>
      <c r="F394" s="50">
        <v>1</v>
      </c>
      <c r="G394" s="59" t="str">
        <f>IFERROR(VLOOKUP(T_Materiales[[#This Row],[UNIDAD DE COMPRA]],[2]!T_Equivalencias[#All],3,0),"")</f>
        <v/>
      </c>
    </row>
    <row r="395" spans="2:7" x14ac:dyDescent="0.25">
      <c r="B395" s="2" t="s">
        <v>50</v>
      </c>
      <c r="C395" s="8" t="s">
        <v>1218</v>
      </c>
      <c r="D395" s="15" t="s">
        <v>78</v>
      </c>
      <c r="E395" s="60">
        <v>5</v>
      </c>
      <c r="F395" s="50">
        <v>1</v>
      </c>
      <c r="G395" s="59" t="str">
        <f>IFERROR(VLOOKUP(T_Materiales[[#This Row],[UNIDAD DE COMPRA]],[2]!T_Equivalencias[#All],3,0),"")</f>
        <v/>
      </c>
    </row>
    <row r="396" spans="2:7" x14ac:dyDescent="0.25">
      <c r="B396" s="2" t="s">
        <v>50</v>
      </c>
      <c r="C396" s="8" t="s">
        <v>1219</v>
      </c>
      <c r="D396" s="15" t="s">
        <v>78</v>
      </c>
      <c r="E396" s="60">
        <v>5</v>
      </c>
      <c r="F396" s="50">
        <v>1</v>
      </c>
      <c r="G396" s="59" t="str">
        <f>IFERROR(VLOOKUP(T_Materiales[[#This Row],[UNIDAD DE COMPRA]],[2]!T_Equivalencias[#All],3,0),"")</f>
        <v/>
      </c>
    </row>
    <row r="397" spans="2:7" x14ac:dyDescent="0.25">
      <c r="B397" s="2" t="s">
        <v>50</v>
      </c>
      <c r="C397" s="8" t="s">
        <v>1220</v>
      </c>
      <c r="D397" s="15" t="s">
        <v>78</v>
      </c>
      <c r="E397" s="60">
        <v>5</v>
      </c>
      <c r="F397" s="50">
        <v>1</v>
      </c>
      <c r="G397" s="59" t="str">
        <f>IFERROR(VLOOKUP(T_Materiales[[#This Row],[UNIDAD DE COMPRA]],[2]!T_Equivalencias[#All],3,0),"")</f>
        <v/>
      </c>
    </row>
    <row r="398" spans="2:7" x14ac:dyDescent="0.25">
      <c r="B398" s="2" t="s">
        <v>50</v>
      </c>
      <c r="C398" s="8" t="s">
        <v>1221</v>
      </c>
      <c r="D398" s="15" t="s">
        <v>78</v>
      </c>
      <c r="E398" s="60">
        <v>5</v>
      </c>
      <c r="F398" s="50">
        <v>1</v>
      </c>
      <c r="G398" s="59" t="str">
        <f>IFERROR(VLOOKUP(T_Materiales[[#This Row],[UNIDAD DE COMPRA]],[2]!T_Equivalencias[#All],3,0),"")</f>
        <v/>
      </c>
    </row>
    <row r="399" spans="2:7" x14ac:dyDescent="0.25">
      <c r="B399" s="2" t="s">
        <v>50</v>
      </c>
      <c r="C399" s="8" t="s">
        <v>1222</v>
      </c>
      <c r="D399" s="15" t="s">
        <v>78</v>
      </c>
      <c r="E399" s="60">
        <v>5</v>
      </c>
      <c r="F399" s="50">
        <v>1</v>
      </c>
      <c r="G399" s="59" t="str">
        <f>IFERROR(VLOOKUP(T_Materiales[[#This Row],[UNIDAD DE COMPRA]],[2]!T_Equivalencias[#All],3,0),"")</f>
        <v/>
      </c>
    </row>
    <row r="400" spans="2:7" x14ac:dyDescent="0.25">
      <c r="B400" s="2" t="s">
        <v>50</v>
      </c>
      <c r="C400" s="8" t="s">
        <v>1223</v>
      </c>
      <c r="D400" s="15" t="s">
        <v>78</v>
      </c>
      <c r="E400" s="60">
        <v>5</v>
      </c>
      <c r="F400" s="50">
        <v>1</v>
      </c>
      <c r="G400" s="59" t="str">
        <f>IFERROR(VLOOKUP(T_Materiales[[#This Row],[UNIDAD DE COMPRA]],[2]!T_Equivalencias[#All],3,0),"")</f>
        <v/>
      </c>
    </row>
    <row r="401" spans="2:7" x14ac:dyDescent="0.25">
      <c r="B401" s="2" t="s">
        <v>50</v>
      </c>
      <c r="C401" s="8" t="s">
        <v>1224</v>
      </c>
      <c r="D401" s="15" t="s">
        <v>78</v>
      </c>
      <c r="E401" s="60">
        <v>5</v>
      </c>
      <c r="F401" s="50">
        <v>1</v>
      </c>
      <c r="G401" s="59" t="str">
        <f>IFERROR(VLOOKUP(T_Materiales[[#This Row],[UNIDAD DE COMPRA]],[2]!T_Equivalencias[#All],3,0),"")</f>
        <v/>
      </c>
    </row>
    <row r="402" spans="2:7" x14ac:dyDescent="0.25">
      <c r="B402" s="2" t="s">
        <v>50</v>
      </c>
      <c r="C402" s="8" t="s">
        <v>1225</v>
      </c>
      <c r="D402" s="15" t="s">
        <v>78</v>
      </c>
      <c r="E402" s="60">
        <v>5</v>
      </c>
      <c r="F402" s="50">
        <v>1</v>
      </c>
      <c r="G402" s="59" t="str">
        <f>IFERROR(VLOOKUP(T_Materiales[[#This Row],[UNIDAD DE COMPRA]],[2]!T_Equivalencias[#All],3,0),"")</f>
        <v/>
      </c>
    </row>
    <row r="403" spans="2:7" x14ac:dyDescent="0.25">
      <c r="B403" s="2" t="s">
        <v>50</v>
      </c>
      <c r="C403" s="8" t="s">
        <v>1226</v>
      </c>
      <c r="D403" s="15" t="s">
        <v>78</v>
      </c>
      <c r="E403" s="60">
        <v>5</v>
      </c>
      <c r="F403" s="50">
        <v>1</v>
      </c>
      <c r="G403" s="59" t="str">
        <f>IFERROR(VLOOKUP(T_Materiales[[#This Row],[UNIDAD DE COMPRA]],[2]!T_Equivalencias[#All],3,0),"")</f>
        <v/>
      </c>
    </row>
    <row r="404" spans="2:7" x14ac:dyDescent="0.25">
      <c r="B404" s="2" t="s">
        <v>50</v>
      </c>
      <c r="C404" s="8" t="s">
        <v>1227</v>
      </c>
      <c r="D404" s="15" t="s">
        <v>78</v>
      </c>
      <c r="E404" s="60">
        <v>5</v>
      </c>
      <c r="F404" s="50">
        <v>1</v>
      </c>
      <c r="G404" s="59" t="str">
        <f>IFERROR(VLOOKUP(T_Materiales[[#This Row],[UNIDAD DE COMPRA]],[2]!T_Equivalencias[#All],3,0),"")</f>
        <v/>
      </c>
    </row>
    <row r="405" spans="2:7" x14ac:dyDescent="0.25">
      <c r="B405" s="2" t="s">
        <v>50</v>
      </c>
      <c r="C405" s="8" t="s">
        <v>1228</v>
      </c>
      <c r="D405" s="15" t="s">
        <v>78</v>
      </c>
      <c r="E405" s="60">
        <v>5</v>
      </c>
      <c r="F405" s="50">
        <v>1</v>
      </c>
      <c r="G405" s="59" t="str">
        <f>IFERROR(VLOOKUP(T_Materiales[[#This Row],[UNIDAD DE COMPRA]],[2]!T_Equivalencias[#All],3,0),"")</f>
        <v/>
      </c>
    </row>
    <row r="406" spans="2:7" x14ac:dyDescent="0.25">
      <c r="B406" s="2" t="s">
        <v>50</v>
      </c>
      <c r="C406" s="8" t="s">
        <v>1229</v>
      </c>
      <c r="D406" s="15" t="s">
        <v>78</v>
      </c>
      <c r="E406" s="60">
        <v>5</v>
      </c>
      <c r="F406" s="50">
        <v>1</v>
      </c>
      <c r="G406" s="59" t="str">
        <f>IFERROR(VLOOKUP(T_Materiales[[#This Row],[UNIDAD DE COMPRA]],[2]!T_Equivalencias[#All],3,0),"")</f>
        <v/>
      </c>
    </row>
    <row r="407" spans="2:7" x14ac:dyDescent="0.25">
      <c r="B407" s="2" t="s">
        <v>50</v>
      </c>
      <c r="C407" s="8" t="s">
        <v>1230</v>
      </c>
      <c r="D407" s="15" t="s">
        <v>78</v>
      </c>
      <c r="E407" s="60">
        <v>5</v>
      </c>
      <c r="F407" s="50">
        <v>1</v>
      </c>
      <c r="G407" s="59" t="str">
        <f>IFERROR(VLOOKUP(T_Materiales[[#This Row],[UNIDAD DE COMPRA]],[2]!T_Equivalencias[#All],3,0),"")</f>
        <v/>
      </c>
    </row>
    <row r="408" spans="2:7" x14ac:dyDescent="0.25">
      <c r="B408" s="2" t="s">
        <v>50</v>
      </c>
      <c r="C408" s="8" t="s">
        <v>1231</v>
      </c>
      <c r="D408" s="15" t="s">
        <v>78</v>
      </c>
      <c r="E408" s="61">
        <v>3</v>
      </c>
      <c r="F408" s="50">
        <v>1</v>
      </c>
      <c r="G408" s="59" t="str">
        <f>IFERROR(VLOOKUP(T_Materiales[[#This Row],[UNIDAD DE COMPRA]],[2]!T_Equivalencias[#All],3,0),"")</f>
        <v/>
      </c>
    </row>
    <row r="409" spans="2:7" x14ac:dyDescent="0.25">
      <c r="B409" s="2" t="s">
        <v>50</v>
      </c>
      <c r="C409" s="8" t="s">
        <v>1232</v>
      </c>
      <c r="D409" s="15" t="s">
        <v>78</v>
      </c>
      <c r="E409" s="61">
        <v>3</v>
      </c>
      <c r="F409" s="50">
        <v>1</v>
      </c>
      <c r="G409" s="59" t="str">
        <f>IFERROR(VLOOKUP(T_Materiales[[#This Row],[UNIDAD DE COMPRA]],[2]!T_Equivalencias[#All],3,0),"")</f>
        <v/>
      </c>
    </row>
    <row r="410" spans="2:7" x14ac:dyDescent="0.25">
      <c r="B410" s="2" t="s">
        <v>50</v>
      </c>
      <c r="C410" s="8" t="s">
        <v>1233</v>
      </c>
      <c r="D410" s="15" t="s">
        <v>78</v>
      </c>
      <c r="E410" s="61">
        <v>3</v>
      </c>
      <c r="F410" s="50">
        <v>1</v>
      </c>
      <c r="G410" s="59" t="str">
        <f>IFERROR(VLOOKUP(T_Materiales[[#This Row],[UNIDAD DE COMPRA]],[2]!T_Equivalencias[#All],3,0),"")</f>
        <v/>
      </c>
    </row>
    <row r="411" spans="2:7" x14ac:dyDescent="0.25">
      <c r="B411" s="2" t="s">
        <v>50</v>
      </c>
      <c r="C411" s="8" t="s">
        <v>1234</v>
      </c>
      <c r="D411" s="15" t="s">
        <v>78</v>
      </c>
      <c r="E411" s="61">
        <v>3</v>
      </c>
      <c r="F411" s="50">
        <v>1</v>
      </c>
      <c r="G411" s="59" t="str">
        <f>IFERROR(VLOOKUP(T_Materiales[[#This Row],[UNIDAD DE COMPRA]],[2]!T_Equivalencias[#All],3,0),"")</f>
        <v/>
      </c>
    </row>
    <row r="412" spans="2:7" x14ac:dyDescent="0.25">
      <c r="B412" s="2" t="s">
        <v>50</v>
      </c>
      <c r="C412" s="8" t="s">
        <v>1235</v>
      </c>
      <c r="D412" s="15" t="s">
        <v>78</v>
      </c>
      <c r="E412" s="61">
        <v>3</v>
      </c>
      <c r="F412" s="50">
        <v>1</v>
      </c>
      <c r="G412" s="59" t="str">
        <f>IFERROR(VLOOKUP(T_Materiales[[#This Row],[UNIDAD DE COMPRA]],[2]!T_Equivalencias[#All],3,0),"")</f>
        <v/>
      </c>
    </row>
    <row r="413" spans="2:7" x14ac:dyDescent="0.25">
      <c r="B413" s="2" t="s">
        <v>50</v>
      </c>
      <c r="C413" s="8" t="s">
        <v>1236</v>
      </c>
      <c r="D413" s="15" t="s">
        <v>78</v>
      </c>
      <c r="E413" s="61">
        <v>3</v>
      </c>
      <c r="F413" s="50">
        <v>1</v>
      </c>
      <c r="G413" s="59" t="str">
        <f>IFERROR(VLOOKUP(T_Materiales[[#This Row],[UNIDAD DE COMPRA]],[2]!T_Equivalencias[#All],3,0),"")</f>
        <v/>
      </c>
    </row>
    <row r="414" spans="2:7" x14ac:dyDescent="0.25">
      <c r="B414" s="2" t="s">
        <v>50</v>
      </c>
      <c r="C414" s="8" t="s">
        <v>1237</v>
      </c>
      <c r="D414" s="15" t="s">
        <v>78</v>
      </c>
      <c r="E414" s="61">
        <v>3</v>
      </c>
      <c r="F414" s="50">
        <v>1</v>
      </c>
      <c r="G414" s="59" t="str">
        <f>IFERROR(VLOOKUP(T_Materiales[[#This Row],[UNIDAD DE COMPRA]],[2]!T_Equivalencias[#All],3,0),"")</f>
        <v/>
      </c>
    </row>
    <row r="415" spans="2:7" x14ac:dyDescent="0.25">
      <c r="B415" s="2" t="s">
        <v>50</v>
      </c>
      <c r="C415" s="8" t="s">
        <v>1238</v>
      </c>
      <c r="D415" s="15" t="s">
        <v>78</v>
      </c>
      <c r="E415" s="61">
        <v>3</v>
      </c>
      <c r="F415" s="50">
        <v>1</v>
      </c>
      <c r="G415" s="59" t="str">
        <f>IFERROR(VLOOKUP(T_Materiales[[#This Row],[UNIDAD DE COMPRA]],[2]!T_Equivalencias[#All],3,0),"")</f>
        <v/>
      </c>
    </row>
    <row r="416" spans="2:7" x14ac:dyDescent="0.25">
      <c r="B416" s="2" t="s">
        <v>50</v>
      </c>
      <c r="C416" s="8" t="s">
        <v>1239</v>
      </c>
      <c r="D416" s="15" t="s">
        <v>78</v>
      </c>
      <c r="E416" s="61">
        <v>3</v>
      </c>
      <c r="F416" s="50">
        <v>1</v>
      </c>
      <c r="G416" s="59" t="str">
        <f>IFERROR(VLOOKUP(T_Materiales[[#This Row],[UNIDAD DE COMPRA]],[2]!T_Equivalencias[#All],3,0),"")</f>
        <v/>
      </c>
    </row>
    <row r="417" spans="2:7" x14ac:dyDescent="0.25">
      <c r="B417" s="2" t="s">
        <v>50</v>
      </c>
      <c r="C417" s="8" t="s">
        <v>1315</v>
      </c>
      <c r="D417" s="15" t="s">
        <v>78</v>
      </c>
      <c r="E417" s="61">
        <v>3</v>
      </c>
      <c r="F417" s="50">
        <v>1</v>
      </c>
      <c r="G417" s="59" t="str">
        <f>IFERROR(VLOOKUP(T_Materiales[[#This Row],[UNIDAD DE COMPRA]],[2]!T_Equivalencias[#All],3,0),"")</f>
        <v/>
      </c>
    </row>
    <row r="418" spans="2:7" x14ac:dyDescent="0.25">
      <c r="B418" s="2" t="s">
        <v>50</v>
      </c>
      <c r="C418" s="8" t="s">
        <v>1240</v>
      </c>
      <c r="D418" s="15" t="s">
        <v>78</v>
      </c>
      <c r="E418" s="61">
        <v>3</v>
      </c>
      <c r="F418" s="50">
        <v>1</v>
      </c>
      <c r="G418" s="59" t="str">
        <f>IFERROR(VLOOKUP(T_Materiales[[#This Row],[UNIDAD DE COMPRA]],[2]!T_Equivalencias[#All],3,0),"")</f>
        <v/>
      </c>
    </row>
    <row r="419" spans="2:7" x14ac:dyDescent="0.25">
      <c r="B419" s="2" t="s">
        <v>50</v>
      </c>
      <c r="C419" s="8" t="s">
        <v>1241</v>
      </c>
      <c r="D419" s="15" t="s">
        <v>78</v>
      </c>
      <c r="E419" s="61">
        <v>3</v>
      </c>
      <c r="F419" s="50">
        <v>1</v>
      </c>
      <c r="G419" s="59" t="str">
        <f>IFERROR(VLOOKUP(T_Materiales[[#This Row],[UNIDAD DE COMPRA]],[2]!T_Equivalencias[#All],3,0),"")</f>
        <v/>
      </c>
    </row>
    <row r="420" spans="2:7" x14ac:dyDescent="0.25">
      <c r="B420" s="2" t="s">
        <v>50</v>
      </c>
      <c r="C420" s="8" t="s">
        <v>1242</v>
      </c>
      <c r="D420" s="15" t="s">
        <v>78</v>
      </c>
      <c r="E420" s="61">
        <v>3</v>
      </c>
      <c r="F420" s="50">
        <v>1</v>
      </c>
      <c r="G420" s="59" t="str">
        <f>IFERROR(VLOOKUP(T_Materiales[[#This Row],[UNIDAD DE COMPRA]],[2]!T_Equivalencias[#All],3,0),"")</f>
        <v/>
      </c>
    </row>
    <row r="421" spans="2:7" x14ac:dyDescent="0.25">
      <c r="B421" s="2" t="s">
        <v>50</v>
      </c>
      <c r="C421" s="8" t="s">
        <v>1243</v>
      </c>
      <c r="D421" s="15" t="s">
        <v>78</v>
      </c>
      <c r="E421" s="61">
        <v>3</v>
      </c>
      <c r="F421" s="50">
        <v>1</v>
      </c>
      <c r="G421" s="59" t="str">
        <f>IFERROR(VLOOKUP(T_Materiales[[#This Row],[UNIDAD DE COMPRA]],[2]!T_Equivalencias[#All],3,0),"")</f>
        <v/>
      </c>
    </row>
    <row r="422" spans="2:7" x14ac:dyDescent="0.25">
      <c r="B422" s="2" t="s">
        <v>50</v>
      </c>
      <c r="C422" s="8" t="s">
        <v>1244</v>
      </c>
      <c r="D422" s="15" t="s">
        <v>78</v>
      </c>
      <c r="E422" s="61">
        <v>3</v>
      </c>
      <c r="F422" s="50">
        <v>1</v>
      </c>
      <c r="G422" s="59" t="str">
        <f>IFERROR(VLOOKUP(T_Materiales[[#This Row],[UNIDAD DE COMPRA]],[2]!T_Equivalencias[#All],3,0),"")</f>
        <v/>
      </c>
    </row>
    <row r="423" spans="2:7" x14ac:dyDescent="0.25">
      <c r="B423" s="2" t="s">
        <v>50</v>
      </c>
      <c r="C423" s="8" t="s">
        <v>1245</v>
      </c>
      <c r="D423" s="15" t="s">
        <v>78</v>
      </c>
      <c r="E423" s="61">
        <v>3</v>
      </c>
      <c r="F423" s="50">
        <v>1</v>
      </c>
      <c r="G423" s="59" t="str">
        <f>IFERROR(VLOOKUP(T_Materiales[[#This Row],[UNIDAD DE COMPRA]],[2]!T_Equivalencias[#All],3,0),"")</f>
        <v/>
      </c>
    </row>
    <row r="424" spans="2:7" x14ac:dyDescent="0.25">
      <c r="B424" s="2" t="s">
        <v>50</v>
      </c>
      <c r="C424" s="8" t="s">
        <v>1246</v>
      </c>
      <c r="D424" s="15" t="s">
        <v>78</v>
      </c>
      <c r="E424" s="61">
        <v>3</v>
      </c>
      <c r="F424" s="50">
        <v>1</v>
      </c>
      <c r="G424" s="59" t="str">
        <f>IFERROR(VLOOKUP(T_Materiales[[#This Row],[UNIDAD DE COMPRA]],[2]!T_Equivalencias[#All],3,0),"")</f>
        <v/>
      </c>
    </row>
    <row r="425" spans="2:7" x14ac:dyDescent="0.25">
      <c r="B425" s="2" t="s">
        <v>50</v>
      </c>
      <c r="C425" s="8" t="s">
        <v>1247</v>
      </c>
      <c r="D425" s="15" t="s">
        <v>78</v>
      </c>
      <c r="E425" s="61">
        <v>4.5</v>
      </c>
      <c r="F425" s="50">
        <v>1</v>
      </c>
      <c r="G425" s="59" t="str">
        <f>IFERROR(VLOOKUP(T_Materiales[[#This Row],[UNIDAD DE COMPRA]],[2]!T_Equivalencias[#All],3,0),"")</f>
        <v/>
      </c>
    </row>
    <row r="426" spans="2:7" x14ac:dyDescent="0.25">
      <c r="B426" s="2" t="s">
        <v>50</v>
      </c>
      <c r="C426" s="8" t="s">
        <v>1248</v>
      </c>
      <c r="D426" s="15" t="s">
        <v>78</v>
      </c>
      <c r="E426" s="61">
        <v>4.5</v>
      </c>
      <c r="F426" s="50">
        <v>1</v>
      </c>
      <c r="G426" s="59" t="str">
        <f>IFERROR(VLOOKUP(T_Materiales[[#This Row],[UNIDAD DE COMPRA]],[2]!T_Equivalencias[#All],3,0),"")</f>
        <v/>
      </c>
    </row>
    <row r="427" spans="2:7" x14ac:dyDescent="0.25">
      <c r="B427" s="2" t="s">
        <v>50</v>
      </c>
      <c r="C427" s="8" t="s">
        <v>1249</v>
      </c>
      <c r="D427" s="15" t="s">
        <v>78</v>
      </c>
      <c r="E427" s="61">
        <v>4.5</v>
      </c>
      <c r="F427" s="50">
        <v>1</v>
      </c>
      <c r="G427" s="59" t="str">
        <f>IFERROR(VLOOKUP(T_Materiales[[#This Row],[UNIDAD DE COMPRA]],[2]!T_Equivalencias[#All],3,0),"")</f>
        <v/>
      </c>
    </row>
    <row r="428" spans="2:7" x14ac:dyDescent="0.25">
      <c r="B428" s="2" t="s">
        <v>50</v>
      </c>
      <c r="C428" s="8" t="s">
        <v>1474</v>
      </c>
      <c r="D428" s="15" t="s">
        <v>78</v>
      </c>
      <c r="E428" s="61">
        <v>4.5</v>
      </c>
      <c r="F428" s="50">
        <v>1</v>
      </c>
      <c r="G428" s="59" t="str">
        <f>IFERROR(VLOOKUP(T_Materiales[[#This Row],[UNIDAD DE COMPRA]],[2]!T_Equivalencias[#All],3,0),"")</f>
        <v/>
      </c>
    </row>
    <row r="429" spans="2:7" x14ac:dyDescent="0.25">
      <c r="B429" s="2" t="s">
        <v>50</v>
      </c>
      <c r="C429" s="8" t="s">
        <v>1250</v>
      </c>
      <c r="D429" s="15" t="s">
        <v>78</v>
      </c>
      <c r="E429" s="61">
        <v>4.5</v>
      </c>
      <c r="F429" s="50">
        <v>1</v>
      </c>
      <c r="G429" s="59" t="str">
        <f>IFERROR(VLOOKUP(T_Materiales[[#This Row],[UNIDAD DE COMPRA]],[2]!T_Equivalencias[#All],3,0),"")</f>
        <v/>
      </c>
    </row>
    <row r="430" spans="2:7" x14ac:dyDescent="0.25">
      <c r="B430" s="2" t="s">
        <v>50</v>
      </c>
      <c r="C430" s="8" t="s">
        <v>1251</v>
      </c>
      <c r="D430" s="15" t="s">
        <v>78</v>
      </c>
      <c r="E430" s="61">
        <v>4.5</v>
      </c>
      <c r="F430" s="50">
        <v>1</v>
      </c>
      <c r="G430" s="59" t="str">
        <f>IFERROR(VLOOKUP(T_Materiales[[#This Row],[UNIDAD DE COMPRA]],[2]!T_Equivalencias[#All],3,0),"")</f>
        <v/>
      </c>
    </row>
    <row r="431" spans="2:7" x14ac:dyDescent="0.25">
      <c r="B431" s="2" t="s">
        <v>50</v>
      </c>
      <c r="C431" s="8" t="s">
        <v>1252</v>
      </c>
      <c r="D431" s="15" t="s">
        <v>78</v>
      </c>
      <c r="E431" s="61">
        <v>4.5</v>
      </c>
      <c r="F431" s="50">
        <v>1</v>
      </c>
      <c r="G431" s="59" t="str">
        <f>IFERROR(VLOOKUP(T_Materiales[[#This Row],[UNIDAD DE COMPRA]],[2]!T_Equivalencias[#All],3,0),"")</f>
        <v/>
      </c>
    </row>
    <row r="432" spans="2:7" x14ac:dyDescent="0.25">
      <c r="B432" s="2" t="s">
        <v>50</v>
      </c>
      <c r="C432" s="8" t="s">
        <v>1253</v>
      </c>
      <c r="D432" s="15" t="s">
        <v>78</v>
      </c>
      <c r="E432" s="61">
        <v>4.5</v>
      </c>
      <c r="F432" s="50">
        <v>1</v>
      </c>
      <c r="G432" s="59" t="str">
        <f>IFERROR(VLOOKUP(T_Materiales[[#This Row],[UNIDAD DE COMPRA]],[2]!T_Equivalencias[#All],3,0),"")</f>
        <v/>
      </c>
    </row>
    <row r="433" spans="2:7" x14ac:dyDescent="0.25">
      <c r="B433" s="2" t="s">
        <v>50</v>
      </c>
      <c r="C433" s="8" t="s">
        <v>1254</v>
      </c>
      <c r="D433" s="15" t="s">
        <v>78</v>
      </c>
      <c r="E433" s="61">
        <v>4.5</v>
      </c>
      <c r="F433" s="50">
        <v>1</v>
      </c>
      <c r="G433" s="59" t="str">
        <f>IFERROR(VLOOKUP(T_Materiales[[#This Row],[UNIDAD DE COMPRA]],[2]!T_Equivalencias[#All],3,0),"")</f>
        <v/>
      </c>
    </row>
    <row r="434" spans="2:7" x14ac:dyDescent="0.25">
      <c r="B434" s="2" t="s">
        <v>50</v>
      </c>
      <c r="C434" s="8" t="s">
        <v>1255</v>
      </c>
      <c r="D434" s="15" t="s">
        <v>78</v>
      </c>
      <c r="E434" s="61">
        <v>4.5</v>
      </c>
      <c r="F434" s="50">
        <v>1</v>
      </c>
      <c r="G434" s="59" t="str">
        <f>IFERROR(VLOOKUP(T_Materiales[[#This Row],[UNIDAD DE COMPRA]],[2]!T_Equivalencias[#All],3,0),"")</f>
        <v/>
      </c>
    </row>
    <row r="435" spans="2:7" x14ac:dyDescent="0.25">
      <c r="B435" s="2" t="s">
        <v>50</v>
      </c>
      <c r="C435" s="8" t="s">
        <v>1256</v>
      </c>
      <c r="D435" s="15" t="s">
        <v>78</v>
      </c>
      <c r="E435" s="61">
        <v>3</v>
      </c>
      <c r="F435" s="50">
        <v>1</v>
      </c>
      <c r="G435" s="59" t="str">
        <f>IFERROR(VLOOKUP(T_Materiales[[#This Row],[UNIDAD DE COMPRA]],[2]!T_Equivalencias[#All],3,0),"")</f>
        <v/>
      </c>
    </row>
    <row r="436" spans="2:7" x14ac:dyDescent="0.25">
      <c r="B436" s="2" t="s">
        <v>50</v>
      </c>
      <c r="C436" s="8" t="s">
        <v>1257</v>
      </c>
      <c r="D436" s="15" t="s">
        <v>78</v>
      </c>
      <c r="E436" s="61">
        <v>3</v>
      </c>
      <c r="F436" s="50">
        <v>1</v>
      </c>
      <c r="G436" s="59" t="str">
        <f>IFERROR(VLOOKUP(T_Materiales[[#This Row],[UNIDAD DE COMPRA]],[2]!T_Equivalencias[#All],3,0),"")</f>
        <v/>
      </c>
    </row>
    <row r="437" spans="2:7" x14ac:dyDescent="0.25">
      <c r="B437" s="2" t="s">
        <v>258</v>
      </c>
      <c r="C437" s="8" t="s">
        <v>1272</v>
      </c>
      <c r="D437" s="15" t="s">
        <v>78</v>
      </c>
      <c r="E437" s="61">
        <v>0.1</v>
      </c>
      <c r="F437" s="50">
        <v>1</v>
      </c>
      <c r="G437" s="59" t="str">
        <f>IFERROR(VLOOKUP(T_Materiales[[#This Row],[UNIDAD DE COMPRA]],[2]!T_Equivalencias[#All],3,0),"")</f>
        <v/>
      </c>
    </row>
    <row r="438" spans="2:7" x14ac:dyDescent="0.25">
      <c r="B438" s="2" t="s">
        <v>258</v>
      </c>
      <c r="C438" s="8" t="s">
        <v>1275</v>
      </c>
      <c r="D438" s="8" t="s">
        <v>1276</v>
      </c>
      <c r="E438" s="61">
        <v>5</v>
      </c>
      <c r="F438" s="50">
        <v>1</v>
      </c>
      <c r="G438" s="59" t="str">
        <f>IFERROR(VLOOKUP(T_Materiales[[#This Row],[UNIDAD DE COMPRA]],[2]!T_Equivalencias[#All],3,0),"")</f>
        <v/>
      </c>
    </row>
    <row r="439" spans="2:7" x14ac:dyDescent="0.25">
      <c r="B439" s="2" t="s">
        <v>258</v>
      </c>
      <c r="C439" s="8" t="s">
        <v>1277</v>
      </c>
      <c r="D439" s="8" t="s">
        <v>78</v>
      </c>
      <c r="E439" s="61">
        <v>0.12</v>
      </c>
      <c r="F439" s="50">
        <v>1</v>
      </c>
      <c r="G439" s="59" t="str">
        <f>IFERROR(VLOOKUP(T_Materiales[[#This Row],[UNIDAD DE COMPRA]],[2]!T_Equivalencias[#All],3,0),"")</f>
        <v/>
      </c>
    </row>
    <row r="440" spans="2:7" x14ac:dyDescent="0.25">
      <c r="B440" s="2" t="s">
        <v>258</v>
      </c>
      <c r="C440" s="8" t="s">
        <v>1278</v>
      </c>
      <c r="D440" s="8" t="s">
        <v>78</v>
      </c>
      <c r="E440" s="61">
        <v>0.156</v>
      </c>
      <c r="F440" s="50">
        <v>1</v>
      </c>
      <c r="G440" s="59" t="str">
        <f>IFERROR(VLOOKUP(T_Materiales[[#This Row],[UNIDAD DE COMPRA]],[2]!T_Equivalencias[#All],3,0),"")</f>
        <v/>
      </c>
    </row>
    <row r="441" spans="2:7" x14ac:dyDescent="0.25">
      <c r="B441" s="2" t="s">
        <v>258</v>
      </c>
      <c r="C441" s="8" t="s">
        <v>1279</v>
      </c>
      <c r="D441" s="8" t="s">
        <v>78</v>
      </c>
      <c r="E441" s="61">
        <v>0.156</v>
      </c>
      <c r="F441" s="50">
        <v>1</v>
      </c>
      <c r="G441" s="59" t="str">
        <f>IFERROR(VLOOKUP(T_Materiales[[#This Row],[UNIDAD DE COMPRA]],[2]!T_Equivalencias[#All],3,0),"")</f>
        <v/>
      </c>
    </row>
    <row r="442" spans="2:7" x14ac:dyDescent="0.25">
      <c r="B442" s="2" t="s">
        <v>258</v>
      </c>
      <c r="C442" s="8" t="s">
        <v>1280</v>
      </c>
      <c r="D442" s="8" t="s">
        <v>78</v>
      </c>
      <c r="E442" s="61">
        <v>0.156</v>
      </c>
      <c r="F442" s="50">
        <v>1</v>
      </c>
      <c r="G442" s="59" t="str">
        <f>IFERROR(VLOOKUP(T_Materiales[[#This Row],[UNIDAD DE COMPRA]],[2]!T_Equivalencias[#All],3,0),"")</f>
        <v/>
      </c>
    </row>
    <row r="443" spans="2:7" x14ac:dyDescent="0.25">
      <c r="B443" s="2" t="s">
        <v>258</v>
      </c>
      <c r="C443" s="8" t="s">
        <v>1281</v>
      </c>
      <c r="D443" s="8" t="s">
        <v>78</v>
      </c>
      <c r="E443" s="61">
        <v>0.156</v>
      </c>
      <c r="F443" s="50">
        <v>1</v>
      </c>
      <c r="G443" s="59" t="str">
        <f>IFERROR(VLOOKUP(T_Materiales[[#This Row],[UNIDAD DE COMPRA]],[2]!T_Equivalencias[#All],3,0),"")</f>
        <v/>
      </c>
    </row>
    <row r="444" spans="2:7" x14ac:dyDescent="0.25">
      <c r="B444" s="2" t="s">
        <v>258</v>
      </c>
      <c r="C444" s="8" t="s">
        <v>1282</v>
      </c>
      <c r="D444" s="8" t="s">
        <v>78</v>
      </c>
      <c r="E444" s="61">
        <v>0.156</v>
      </c>
      <c r="F444" s="50">
        <v>1</v>
      </c>
      <c r="G444" s="59" t="str">
        <f>IFERROR(VLOOKUP(T_Materiales[[#This Row],[UNIDAD DE COMPRA]],[2]!T_Equivalencias[#All],3,0),"")</f>
        <v/>
      </c>
    </row>
    <row r="445" spans="2:7" x14ac:dyDescent="0.25">
      <c r="B445" s="2" t="s">
        <v>50</v>
      </c>
      <c r="C445" s="8" t="s">
        <v>1286</v>
      </c>
      <c r="D445" s="8" t="s">
        <v>78</v>
      </c>
      <c r="E445" s="61">
        <v>5</v>
      </c>
      <c r="F445" s="50">
        <v>1</v>
      </c>
      <c r="G445" s="59" t="str">
        <f>IFERROR(VLOOKUP(T_Materiales[[#This Row],[UNIDAD DE COMPRA]],[2]!T_Equivalencias[#All],3,0),"")</f>
        <v/>
      </c>
    </row>
    <row r="446" spans="2:7" x14ac:dyDescent="0.25">
      <c r="B446" s="2" t="s">
        <v>50</v>
      </c>
      <c r="C446" s="8" t="s">
        <v>1287</v>
      </c>
      <c r="D446" s="8" t="s">
        <v>78</v>
      </c>
      <c r="E446" s="61">
        <v>5</v>
      </c>
      <c r="F446" s="50">
        <v>1</v>
      </c>
      <c r="G446" s="59" t="str">
        <f>IFERROR(VLOOKUP(T_Materiales[[#This Row],[UNIDAD DE COMPRA]],[2]!T_Equivalencias[#All],3,0),"")</f>
        <v/>
      </c>
    </row>
    <row r="447" spans="2:7" x14ac:dyDescent="0.25">
      <c r="B447" s="2" t="s">
        <v>258</v>
      </c>
      <c r="C447" s="8" t="s">
        <v>1300</v>
      </c>
      <c r="D447" s="8" t="s">
        <v>76</v>
      </c>
      <c r="E447" s="61">
        <v>1</v>
      </c>
      <c r="F447" s="50">
        <v>1</v>
      </c>
      <c r="G447" s="59" t="str">
        <f>IFERROR(VLOOKUP(T_Materiales[[#This Row],[UNIDAD DE COMPRA]],[2]!T_Equivalencias[#All],3,0),"")</f>
        <v/>
      </c>
    </row>
    <row r="448" spans="2:7" x14ac:dyDescent="0.25">
      <c r="B448" s="2" t="s">
        <v>50</v>
      </c>
      <c r="C448" s="8" t="s">
        <v>1306</v>
      </c>
      <c r="D448" s="8" t="s">
        <v>78</v>
      </c>
      <c r="E448" s="61">
        <v>5</v>
      </c>
      <c r="F448" s="50">
        <v>1</v>
      </c>
      <c r="G448" s="59" t="str">
        <f>IFERROR(VLOOKUP(T_Materiales[[#This Row],[UNIDAD DE COMPRA]],[2]!T_Equivalencias[#All],3,0),"")</f>
        <v/>
      </c>
    </row>
    <row r="449" spans="2:7" x14ac:dyDescent="0.25">
      <c r="B449" s="2" t="s">
        <v>50</v>
      </c>
      <c r="C449" s="8" t="s">
        <v>1312</v>
      </c>
      <c r="D449" s="8" t="s">
        <v>78</v>
      </c>
      <c r="E449" s="61">
        <v>6</v>
      </c>
      <c r="F449" s="50">
        <v>1</v>
      </c>
      <c r="G449" s="59" t="str">
        <f>IFERROR(VLOOKUP(T_Materiales[[#This Row],[UNIDAD DE COMPRA]],[2]!T_Equivalencias[#All],3,0),"")</f>
        <v/>
      </c>
    </row>
    <row r="450" spans="2:7" x14ac:dyDescent="0.25">
      <c r="B450" s="2" t="s">
        <v>50</v>
      </c>
      <c r="C450" s="8" t="s">
        <v>1314</v>
      </c>
      <c r="D450" s="8" t="s">
        <v>78</v>
      </c>
      <c r="E450" s="61">
        <v>4.5</v>
      </c>
      <c r="F450" s="50">
        <v>1</v>
      </c>
      <c r="G450" s="59" t="str">
        <f>IFERROR(VLOOKUP(T_Materiales[[#This Row],[UNIDAD DE COMPRA]],[2]!T_Equivalencias[#All],3,0),"")</f>
        <v/>
      </c>
    </row>
    <row r="451" spans="2:7" x14ac:dyDescent="0.25">
      <c r="B451" s="2" t="s">
        <v>1316</v>
      </c>
      <c r="C451" s="8" t="s">
        <v>1318</v>
      </c>
      <c r="D451" s="8" t="s">
        <v>78</v>
      </c>
      <c r="E451" s="61">
        <v>0.24</v>
      </c>
      <c r="F451" s="50">
        <v>1</v>
      </c>
      <c r="G451" s="59" t="str">
        <f>IFERROR(VLOOKUP(T_Materiales[[#This Row],[UNIDAD DE COMPRA]],[2]!T_Equivalencias[#All],3,0),"")</f>
        <v/>
      </c>
    </row>
    <row r="452" spans="2:7" x14ac:dyDescent="0.25">
      <c r="B452" s="2" t="s">
        <v>1316</v>
      </c>
      <c r="C452" s="8" t="s">
        <v>1319</v>
      </c>
      <c r="D452" s="8" t="s">
        <v>78</v>
      </c>
      <c r="E452" s="61">
        <v>0.24</v>
      </c>
      <c r="F452" s="50">
        <v>1</v>
      </c>
      <c r="G452" s="59" t="str">
        <f>IFERROR(VLOOKUP(T_Materiales[[#This Row],[UNIDAD DE COMPRA]],[2]!T_Equivalencias[#All],3,0),"")</f>
        <v/>
      </c>
    </row>
    <row r="453" spans="2:7" x14ac:dyDescent="0.25">
      <c r="B453" s="2" t="s">
        <v>1316</v>
      </c>
      <c r="C453" s="8" t="s">
        <v>1320</v>
      </c>
      <c r="D453" s="8" t="s">
        <v>78</v>
      </c>
      <c r="E453" s="61">
        <v>0.24</v>
      </c>
      <c r="F453" s="50">
        <v>1</v>
      </c>
      <c r="G453" s="59" t="str">
        <f>IFERROR(VLOOKUP(T_Materiales[[#This Row],[UNIDAD DE COMPRA]],[2]!T_Equivalencias[#All],3,0),"")</f>
        <v/>
      </c>
    </row>
    <row r="454" spans="2:7" x14ac:dyDescent="0.25">
      <c r="B454" s="2" t="s">
        <v>1316</v>
      </c>
      <c r="C454" s="8" t="s">
        <v>1628</v>
      </c>
      <c r="D454" s="8" t="s">
        <v>78</v>
      </c>
      <c r="E454" s="61">
        <v>0.24</v>
      </c>
      <c r="F454" s="50">
        <v>1</v>
      </c>
      <c r="G454" s="59" t="str">
        <f>IFERROR(VLOOKUP(T_Materiales[[#This Row],[UNIDAD DE COMPRA]],[2]!T_Equivalencias[#All],3,0),"")</f>
        <v/>
      </c>
    </row>
    <row r="455" spans="2:7" x14ac:dyDescent="0.25">
      <c r="B455" s="2" t="s">
        <v>1316</v>
      </c>
      <c r="C455" s="8" t="s">
        <v>1317</v>
      </c>
      <c r="D455" s="8" t="s">
        <v>78</v>
      </c>
      <c r="E455" s="61">
        <v>0.24</v>
      </c>
      <c r="F455" s="50">
        <v>1</v>
      </c>
      <c r="G455" s="59" t="str">
        <f>IFERROR(VLOOKUP(T_Materiales[[#This Row],[UNIDAD DE COMPRA]],[2]!T_Equivalencias[#All],3,0),"")</f>
        <v/>
      </c>
    </row>
    <row r="456" spans="2:7" x14ac:dyDescent="0.25">
      <c r="B456" s="2" t="s">
        <v>1316</v>
      </c>
      <c r="C456" s="8" t="s">
        <v>1317</v>
      </c>
      <c r="D456" s="8" t="s">
        <v>78</v>
      </c>
      <c r="E456" s="61">
        <v>0.24</v>
      </c>
      <c r="F456" s="50">
        <v>1</v>
      </c>
      <c r="G456" s="59" t="str">
        <f>IFERROR(VLOOKUP(T_Materiales[[#This Row],[UNIDAD DE COMPRA]],[2]!T_Equivalencias[#All],3,0),"")</f>
        <v/>
      </c>
    </row>
    <row r="457" spans="2:7" x14ac:dyDescent="0.25">
      <c r="B457" s="2" t="s">
        <v>1316</v>
      </c>
      <c r="C457" s="8" t="s">
        <v>1324</v>
      </c>
      <c r="D457" s="8" t="s">
        <v>78</v>
      </c>
      <c r="E457" s="61">
        <v>1</v>
      </c>
      <c r="F457" s="50">
        <v>1</v>
      </c>
      <c r="G457" s="59" t="str">
        <f>IFERROR(VLOOKUP(T_Materiales[[#This Row],[UNIDAD DE COMPRA]],[2]!T_Equivalencias[#All],3,0),"")</f>
        <v/>
      </c>
    </row>
    <row r="458" spans="2:7" x14ac:dyDescent="0.25">
      <c r="B458" s="2" t="s">
        <v>1316</v>
      </c>
      <c r="C458" s="8" t="s">
        <v>1325</v>
      </c>
      <c r="D458" s="8" t="s">
        <v>78</v>
      </c>
      <c r="E458" s="61">
        <v>8.8999999999999996E-2</v>
      </c>
      <c r="F458" s="50">
        <v>1</v>
      </c>
      <c r="G458" s="59" t="str">
        <f>IFERROR(VLOOKUP(T_Materiales[[#This Row],[UNIDAD DE COMPRA]],[2]!T_Equivalencias[#All],3,0),"")</f>
        <v/>
      </c>
    </row>
    <row r="459" spans="2:7" x14ac:dyDescent="0.25">
      <c r="B459" s="2" t="s">
        <v>1316</v>
      </c>
      <c r="C459" s="8" t="s">
        <v>1326</v>
      </c>
      <c r="D459" s="8" t="s">
        <v>78</v>
      </c>
      <c r="E459" s="61">
        <v>8.8999999999999996E-2</v>
      </c>
      <c r="F459" s="50">
        <v>1</v>
      </c>
      <c r="G459" s="59" t="str">
        <f>IFERROR(VLOOKUP(T_Materiales[[#This Row],[UNIDAD DE COMPRA]],[2]!T_Equivalencias[#All],3,0),"")</f>
        <v/>
      </c>
    </row>
    <row r="460" spans="2:7" x14ac:dyDescent="0.25">
      <c r="B460" s="2" t="s">
        <v>1316</v>
      </c>
      <c r="C460" s="8" t="s">
        <v>1327</v>
      </c>
      <c r="D460" s="8" t="s">
        <v>78</v>
      </c>
      <c r="E460" s="61">
        <v>8.8999999999999996E-2</v>
      </c>
      <c r="F460" s="50">
        <v>1</v>
      </c>
      <c r="G460" s="59" t="str">
        <f>IFERROR(VLOOKUP(T_Materiales[[#This Row],[UNIDAD DE COMPRA]],[2]!T_Equivalencias[#All],3,0),"")</f>
        <v/>
      </c>
    </row>
    <row r="461" spans="2:7" x14ac:dyDescent="0.25">
      <c r="B461" s="2" t="s">
        <v>1316</v>
      </c>
      <c r="C461" s="8" t="s">
        <v>1328</v>
      </c>
      <c r="D461" s="8" t="s">
        <v>78</v>
      </c>
      <c r="E461" s="61">
        <v>8.8999999999999996E-2</v>
      </c>
      <c r="F461" s="50">
        <v>1</v>
      </c>
      <c r="G461" s="59" t="str">
        <f>IFERROR(VLOOKUP(T_Materiales[[#This Row],[UNIDAD DE COMPRA]],[2]!T_Equivalencias[#All],3,0),"")</f>
        <v/>
      </c>
    </row>
    <row r="462" spans="2:7" x14ac:dyDescent="0.25">
      <c r="B462" s="2" t="s">
        <v>1316</v>
      </c>
      <c r="C462" s="8" t="s">
        <v>1329</v>
      </c>
      <c r="D462" s="8" t="s">
        <v>78</v>
      </c>
      <c r="E462" s="61">
        <v>8.8999999999999996E-2</v>
      </c>
      <c r="F462" s="50">
        <v>1</v>
      </c>
      <c r="G462" s="59" t="str">
        <f>IFERROR(VLOOKUP(T_Materiales[[#This Row],[UNIDAD DE COMPRA]],[2]!T_Equivalencias[#All],3,0),"")</f>
        <v/>
      </c>
    </row>
    <row r="463" spans="2:7" x14ac:dyDescent="0.25">
      <c r="B463" s="2" t="s">
        <v>1316</v>
      </c>
      <c r="C463" s="8" t="s">
        <v>1330</v>
      </c>
      <c r="D463" s="8" t="s">
        <v>78</v>
      </c>
      <c r="E463" s="61">
        <v>8.8999999999999996E-2</v>
      </c>
      <c r="F463" s="50">
        <v>1</v>
      </c>
      <c r="G463" s="59" t="str">
        <f>IFERROR(VLOOKUP(T_Materiales[[#This Row],[UNIDAD DE COMPRA]],[2]!T_Equivalencias[#All],3,0),"")</f>
        <v/>
      </c>
    </row>
    <row r="464" spans="2:7" x14ac:dyDescent="0.25">
      <c r="B464" s="2" t="s">
        <v>1316</v>
      </c>
      <c r="C464" s="8" t="s">
        <v>1331</v>
      </c>
      <c r="D464" s="8" t="s">
        <v>78</v>
      </c>
      <c r="E464" s="61">
        <v>8.8999999999999996E-2</v>
      </c>
      <c r="F464" s="50">
        <v>1</v>
      </c>
      <c r="G464" s="59" t="str">
        <f>IFERROR(VLOOKUP(T_Materiales[[#This Row],[UNIDAD DE COMPRA]],[2]!T_Equivalencias[#All],3,0),"")</f>
        <v/>
      </c>
    </row>
    <row r="465" spans="2:7" x14ac:dyDescent="0.25">
      <c r="B465" s="2" t="s">
        <v>1316</v>
      </c>
      <c r="C465" s="8" t="s">
        <v>1332</v>
      </c>
      <c r="D465" s="8" t="s">
        <v>78</v>
      </c>
      <c r="E465" s="61">
        <v>8.8999999999999996E-2</v>
      </c>
      <c r="F465" s="50">
        <v>1</v>
      </c>
      <c r="G465" s="59" t="str">
        <f>IFERROR(VLOOKUP(T_Materiales[[#This Row],[UNIDAD DE COMPRA]],[2]!T_Equivalencias[#All],3,0),"")</f>
        <v/>
      </c>
    </row>
    <row r="466" spans="2:7" x14ac:dyDescent="0.25">
      <c r="B466" s="2" t="s">
        <v>1316</v>
      </c>
      <c r="C466" s="8" t="s">
        <v>1333</v>
      </c>
      <c r="D466" s="8" t="s">
        <v>78</v>
      </c>
      <c r="E466" s="61">
        <v>8.8999999999999996E-2</v>
      </c>
      <c r="F466" s="50">
        <v>1</v>
      </c>
      <c r="G466" s="59" t="str">
        <f>IFERROR(VLOOKUP(T_Materiales[[#This Row],[UNIDAD DE COMPRA]],[2]!T_Equivalencias[#All],3,0),"")</f>
        <v/>
      </c>
    </row>
    <row r="467" spans="2:7" x14ac:dyDescent="0.25">
      <c r="B467" s="2" t="s">
        <v>50</v>
      </c>
      <c r="C467" s="8" t="s">
        <v>1349</v>
      </c>
      <c r="D467" s="8" t="s">
        <v>78</v>
      </c>
      <c r="E467" s="61">
        <v>9.5</v>
      </c>
      <c r="F467" s="50">
        <v>1</v>
      </c>
      <c r="G467" s="59" t="str">
        <f>IFERROR(VLOOKUP(T_Materiales[[#This Row],[UNIDAD DE COMPRA]],[2]!T_Equivalencias[#All],3,0),"")</f>
        <v/>
      </c>
    </row>
    <row r="468" spans="2:7" x14ac:dyDescent="0.25">
      <c r="B468" s="2" t="s">
        <v>50</v>
      </c>
      <c r="C468" s="8" t="s">
        <v>1350</v>
      </c>
      <c r="D468" s="8" t="s">
        <v>78</v>
      </c>
      <c r="E468" s="61">
        <v>9.5</v>
      </c>
      <c r="F468" s="50">
        <v>1</v>
      </c>
      <c r="G468" s="59" t="str">
        <f>IFERROR(VLOOKUP(T_Materiales[[#This Row],[UNIDAD DE COMPRA]],[2]!T_Equivalencias[#All],3,0),"")</f>
        <v/>
      </c>
    </row>
    <row r="469" spans="2:7" x14ac:dyDescent="0.25">
      <c r="B469" s="2" t="s">
        <v>50</v>
      </c>
      <c r="C469" s="8" t="s">
        <v>1351</v>
      </c>
      <c r="D469" s="8" t="s">
        <v>78</v>
      </c>
      <c r="E469" s="61">
        <v>9.5</v>
      </c>
      <c r="F469" s="50">
        <v>1</v>
      </c>
      <c r="G469" s="59" t="str">
        <f>IFERROR(VLOOKUP(T_Materiales[[#This Row],[UNIDAD DE COMPRA]],[2]!T_Equivalencias[#All],3,0),"")</f>
        <v/>
      </c>
    </row>
    <row r="470" spans="2:7" x14ac:dyDescent="0.25">
      <c r="B470" s="2" t="s">
        <v>50</v>
      </c>
      <c r="C470" s="8" t="s">
        <v>1352</v>
      </c>
      <c r="D470" s="8" t="s">
        <v>78</v>
      </c>
      <c r="E470" s="61">
        <v>9.5</v>
      </c>
      <c r="F470" s="50">
        <v>1</v>
      </c>
      <c r="G470" s="59" t="str">
        <f>IFERROR(VLOOKUP(T_Materiales[[#This Row],[UNIDAD DE COMPRA]],[2]!T_Equivalencias[#All],3,0),"")</f>
        <v/>
      </c>
    </row>
    <row r="471" spans="2:7" x14ac:dyDescent="0.25">
      <c r="B471" s="2" t="s">
        <v>50</v>
      </c>
      <c r="C471" s="8" t="s">
        <v>1353</v>
      </c>
      <c r="D471" s="8" t="s">
        <v>78</v>
      </c>
      <c r="E471" s="61">
        <v>9.5</v>
      </c>
      <c r="F471" s="50">
        <v>1</v>
      </c>
      <c r="G471" s="59" t="str">
        <f>IFERROR(VLOOKUP(T_Materiales[[#This Row],[UNIDAD DE COMPRA]],[2]!T_Equivalencias[#All],3,0),"")</f>
        <v/>
      </c>
    </row>
    <row r="472" spans="2:7" x14ac:dyDescent="0.25">
      <c r="B472" s="2" t="s">
        <v>50</v>
      </c>
      <c r="C472" s="8" t="s">
        <v>1354</v>
      </c>
      <c r="D472" s="8" t="s">
        <v>78</v>
      </c>
      <c r="E472" s="61">
        <v>9.5</v>
      </c>
      <c r="F472" s="50">
        <v>1</v>
      </c>
      <c r="G472" s="59" t="str">
        <f>IFERROR(VLOOKUP(T_Materiales[[#This Row],[UNIDAD DE COMPRA]],[2]!T_Equivalencias[#All],3,0),"")</f>
        <v/>
      </c>
    </row>
    <row r="473" spans="2:7" x14ac:dyDescent="0.25">
      <c r="B473" s="2" t="s">
        <v>50</v>
      </c>
      <c r="C473" s="8" t="s">
        <v>1355</v>
      </c>
      <c r="D473" s="8" t="s">
        <v>78</v>
      </c>
      <c r="E473" s="61">
        <v>9.5</v>
      </c>
      <c r="F473" s="50">
        <v>1</v>
      </c>
      <c r="G473" s="59" t="str">
        <f>IFERROR(VLOOKUP(T_Materiales[[#This Row],[UNIDAD DE COMPRA]],[2]!T_Equivalencias[#All],3,0),"")</f>
        <v/>
      </c>
    </row>
    <row r="474" spans="2:7" x14ac:dyDescent="0.25">
      <c r="B474" s="2" t="s">
        <v>50</v>
      </c>
      <c r="C474" s="8" t="s">
        <v>1356</v>
      </c>
      <c r="D474" s="8" t="s">
        <v>78</v>
      </c>
      <c r="E474" s="61">
        <v>9.5</v>
      </c>
      <c r="F474" s="50">
        <v>1</v>
      </c>
      <c r="G474" s="59" t="str">
        <f>IFERROR(VLOOKUP(T_Materiales[[#This Row],[UNIDAD DE COMPRA]],[2]!T_Equivalencias[#All],3,0),"")</f>
        <v/>
      </c>
    </row>
    <row r="475" spans="2:7" x14ac:dyDescent="0.25">
      <c r="B475" s="2" t="s">
        <v>50</v>
      </c>
      <c r="C475" s="8" t="s">
        <v>1357</v>
      </c>
      <c r="D475" s="8" t="s">
        <v>78</v>
      </c>
      <c r="E475" s="61">
        <v>9.5</v>
      </c>
      <c r="F475" s="50">
        <v>1</v>
      </c>
      <c r="G475" s="59" t="str">
        <f>IFERROR(VLOOKUP(T_Materiales[[#This Row],[UNIDAD DE COMPRA]],[2]!T_Equivalencias[#All],3,0),"")</f>
        <v/>
      </c>
    </row>
    <row r="476" spans="2:7" x14ac:dyDescent="0.25">
      <c r="B476" s="2" t="s">
        <v>50</v>
      </c>
      <c r="C476" s="8" t="s">
        <v>1358</v>
      </c>
      <c r="D476" s="8" t="s">
        <v>78</v>
      </c>
      <c r="E476" s="61">
        <v>9.5</v>
      </c>
      <c r="F476" s="50">
        <v>1</v>
      </c>
      <c r="G476" s="59" t="str">
        <f>IFERROR(VLOOKUP(T_Materiales[[#This Row],[UNIDAD DE COMPRA]],[2]!T_Equivalencias[#All],3,0),"")</f>
        <v/>
      </c>
    </row>
    <row r="477" spans="2:7" x14ac:dyDescent="0.25">
      <c r="B477" s="2" t="s">
        <v>50</v>
      </c>
      <c r="C477" s="8" t="s">
        <v>1359</v>
      </c>
      <c r="D477" s="8" t="s">
        <v>78</v>
      </c>
      <c r="E477" s="61">
        <v>7</v>
      </c>
      <c r="F477" s="50">
        <v>1</v>
      </c>
      <c r="G477" s="59" t="str">
        <f>IFERROR(VLOOKUP(T_Materiales[[#This Row],[UNIDAD DE COMPRA]],[2]!T_Equivalencias[#All],3,0),"")</f>
        <v/>
      </c>
    </row>
    <row r="478" spans="2:7" x14ac:dyDescent="0.25">
      <c r="B478" s="2" t="s">
        <v>51</v>
      </c>
      <c r="C478" s="8" t="s">
        <v>1361</v>
      </c>
      <c r="D478" s="8" t="s">
        <v>78</v>
      </c>
      <c r="E478" s="61">
        <v>0.1</v>
      </c>
      <c r="F478" s="50">
        <v>1</v>
      </c>
      <c r="G478" s="59" t="str">
        <f>IFERROR(VLOOKUP(T_Materiales[[#This Row],[UNIDAD DE COMPRA]],[2]!T_Equivalencias[#All],3,0),"")</f>
        <v/>
      </c>
    </row>
    <row r="479" spans="2:7" x14ac:dyDescent="0.25">
      <c r="B479" s="2" t="s">
        <v>50</v>
      </c>
      <c r="C479" s="8" t="s">
        <v>1364</v>
      </c>
      <c r="D479" s="8" t="s">
        <v>78</v>
      </c>
      <c r="E479" s="61">
        <v>22</v>
      </c>
      <c r="F479" s="50">
        <v>1</v>
      </c>
      <c r="G479" s="59" t="str">
        <f>IFERROR(VLOOKUP(T_Materiales[[#This Row],[UNIDAD DE COMPRA]],[2]!T_Equivalencias[#All],3,0),"")</f>
        <v/>
      </c>
    </row>
    <row r="480" spans="2:7" x14ac:dyDescent="0.25">
      <c r="B480" s="2" t="s">
        <v>50</v>
      </c>
      <c r="C480" s="8" t="s">
        <v>1365</v>
      </c>
      <c r="D480" s="8" t="s">
        <v>78</v>
      </c>
      <c r="E480" s="61">
        <v>7.5</v>
      </c>
      <c r="F480" s="50">
        <v>1</v>
      </c>
      <c r="G480" s="59" t="str">
        <f>IFERROR(VLOOKUP(T_Materiales[[#This Row],[UNIDAD DE COMPRA]],[2]!T_Equivalencias[#All],3,0),"")</f>
        <v/>
      </c>
    </row>
    <row r="481" spans="2:7" x14ac:dyDescent="0.25">
      <c r="B481" s="2" t="s">
        <v>51</v>
      </c>
      <c r="C481" s="8" t="s">
        <v>1382</v>
      </c>
      <c r="D481" s="8" t="s">
        <v>78</v>
      </c>
      <c r="E481" s="61">
        <v>0.16700000000000001</v>
      </c>
      <c r="F481" s="50">
        <v>1</v>
      </c>
      <c r="G481" s="59" t="str">
        <f>IFERROR(VLOOKUP(T_Materiales[[#This Row],[UNIDAD DE COMPRA]],[2]!T_Equivalencias[#All],3,0),"")</f>
        <v/>
      </c>
    </row>
    <row r="482" spans="2:7" x14ac:dyDescent="0.25">
      <c r="B482" s="2" t="s">
        <v>50</v>
      </c>
      <c r="C482" s="8" t="s">
        <v>1385</v>
      </c>
      <c r="D482" s="8" t="s">
        <v>78</v>
      </c>
      <c r="E482" s="61">
        <v>13.5</v>
      </c>
      <c r="F482" s="50">
        <v>1</v>
      </c>
      <c r="G482" s="59" t="str">
        <f>IFERROR(VLOOKUP(T_Materiales[[#This Row],[UNIDAD DE COMPRA]],[2]!T_Equivalencias[#All],3,0),"")</f>
        <v/>
      </c>
    </row>
    <row r="483" spans="2:7" x14ac:dyDescent="0.25">
      <c r="B483" s="2" t="s">
        <v>50</v>
      </c>
      <c r="C483" s="8" t="s">
        <v>1386</v>
      </c>
      <c r="D483" s="8" t="s">
        <v>78</v>
      </c>
      <c r="E483" s="61">
        <v>13.5</v>
      </c>
      <c r="F483" s="50">
        <v>1</v>
      </c>
      <c r="G483" s="59" t="str">
        <f>IFERROR(VLOOKUP(T_Materiales[[#This Row],[UNIDAD DE COMPRA]],[2]!T_Equivalencias[#All],3,0),"")</f>
        <v/>
      </c>
    </row>
    <row r="484" spans="2:7" x14ac:dyDescent="0.25">
      <c r="B484" s="2" t="s">
        <v>50</v>
      </c>
      <c r="C484" s="8" t="s">
        <v>1387</v>
      </c>
      <c r="D484" s="8" t="s">
        <v>78</v>
      </c>
      <c r="E484" s="61">
        <v>13.5</v>
      </c>
      <c r="F484" s="50">
        <v>1</v>
      </c>
      <c r="G484" s="59" t="str">
        <f>IFERROR(VLOOKUP(T_Materiales[[#This Row],[UNIDAD DE COMPRA]],[2]!T_Equivalencias[#All],3,0),"")</f>
        <v/>
      </c>
    </row>
    <row r="485" spans="2:7" x14ac:dyDescent="0.25">
      <c r="B485" s="2" t="s">
        <v>50</v>
      </c>
      <c r="C485" s="8" t="s">
        <v>1388</v>
      </c>
      <c r="D485" s="8" t="s">
        <v>78</v>
      </c>
      <c r="E485" s="61">
        <v>13.5</v>
      </c>
      <c r="F485" s="50">
        <v>1</v>
      </c>
      <c r="G485" s="59" t="str">
        <f>IFERROR(VLOOKUP(T_Materiales[[#This Row],[UNIDAD DE COMPRA]],[2]!T_Equivalencias[#All],3,0),"")</f>
        <v/>
      </c>
    </row>
    <row r="486" spans="2:7" x14ac:dyDescent="0.25">
      <c r="B486" s="2" t="s">
        <v>50</v>
      </c>
      <c r="C486" s="8" t="s">
        <v>1391</v>
      </c>
      <c r="D486" s="8" t="s">
        <v>78</v>
      </c>
      <c r="E486" s="61">
        <v>13.5</v>
      </c>
      <c r="F486" s="50">
        <v>1</v>
      </c>
      <c r="G486" s="59" t="str">
        <f>IFERROR(VLOOKUP(T_Materiales[[#This Row],[UNIDAD DE COMPRA]],[2]!T_Equivalencias[#All],3,0),"")</f>
        <v/>
      </c>
    </row>
    <row r="487" spans="2:7" x14ac:dyDescent="0.25">
      <c r="B487" s="2" t="s">
        <v>50</v>
      </c>
      <c r="C487" s="8" t="s">
        <v>1389</v>
      </c>
      <c r="D487" s="8" t="s">
        <v>78</v>
      </c>
      <c r="E487" s="61">
        <v>13.5</v>
      </c>
      <c r="F487" s="50">
        <v>1</v>
      </c>
      <c r="G487" s="59" t="str">
        <f>IFERROR(VLOOKUP(T_Materiales[[#This Row],[UNIDAD DE COMPRA]],[2]!T_Equivalencias[#All],3,0),"")</f>
        <v/>
      </c>
    </row>
    <row r="488" spans="2:7" x14ac:dyDescent="0.25">
      <c r="B488" s="2" t="s">
        <v>50</v>
      </c>
      <c r="C488" s="8" t="s">
        <v>1390</v>
      </c>
      <c r="D488" s="8" t="s">
        <v>78</v>
      </c>
      <c r="E488" s="61">
        <v>13.5</v>
      </c>
      <c r="F488" s="50">
        <v>1</v>
      </c>
      <c r="G488" s="59" t="str">
        <f>IFERROR(VLOOKUP(T_Materiales[[#This Row],[UNIDAD DE COMPRA]],[2]!T_Equivalencias[#All],3,0),"")</f>
        <v/>
      </c>
    </row>
    <row r="489" spans="2:7" x14ac:dyDescent="0.25">
      <c r="B489" s="2" t="s">
        <v>50</v>
      </c>
      <c r="C489" s="8" t="s">
        <v>1392</v>
      </c>
      <c r="D489" s="8" t="s">
        <v>78</v>
      </c>
      <c r="E489" s="61">
        <v>13.5</v>
      </c>
      <c r="F489" s="50">
        <v>1</v>
      </c>
      <c r="G489" s="59" t="str">
        <f>IFERROR(VLOOKUP(T_Materiales[[#This Row],[UNIDAD DE COMPRA]],[2]!T_Equivalencias[#All],3,0),"")</f>
        <v/>
      </c>
    </row>
    <row r="490" spans="2:7" x14ac:dyDescent="0.25">
      <c r="B490" s="2" t="s">
        <v>50</v>
      </c>
      <c r="C490" s="8" t="s">
        <v>1393</v>
      </c>
      <c r="D490" s="8" t="s">
        <v>78</v>
      </c>
      <c r="E490" s="61">
        <v>13.5</v>
      </c>
      <c r="F490" s="50">
        <v>1</v>
      </c>
      <c r="G490" s="59" t="str">
        <f>IFERROR(VLOOKUP(T_Materiales[[#This Row],[UNIDAD DE COMPRA]],[2]!T_Equivalencias[#All],3,0),"")</f>
        <v/>
      </c>
    </row>
    <row r="491" spans="2:7" x14ac:dyDescent="0.25">
      <c r="B491" s="2" t="s">
        <v>50</v>
      </c>
      <c r="C491" s="8" t="s">
        <v>1394</v>
      </c>
      <c r="D491" s="8" t="s">
        <v>78</v>
      </c>
      <c r="E491" s="61">
        <v>8</v>
      </c>
      <c r="F491" s="50">
        <v>1</v>
      </c>
      <c r="G491" s="59" t="str">
        <f>IFERROR(VLOOKUP(T_Materiales[[#This Row],[UNIDAD DE COMPRA]],[2]!T_Equivalencias[#All],3,0),"")</f>
        <v/>
      </c>
    </row>
    <row r="492" spans="2:7" x14ac:dyDescent="0.25">
      <c r="B492" s="2" t="s">
        <v>51</v>
      </c>
      <c r="C492" s="8" t="s">
        <v>1395</v>
      </c>
      <c r="D492" s="8" t="s">
        <v>78</v>
      </c>
      <c r="E492" s="61">
        <v>3</v>
      </c>
      <c r="F492" s="50">
        <v>1</v>
      </c>
      <c r="G492" s="59" t="str">
        <f>IFERROR(VLOOKUP(T_Materiales[[#This Row],[UNIDAD DE COMPRA]],[2]!T_Equivalencias[#All],3,0),"")</f>
        <v/>
      </c>
    </row>
    <row r="493" spans="2:7" x14ac:dyDescent="0.25">
      <c r="B493" s="2" t="s">
        <v>51</v>
      </c>
      <c r="C493" s="8" t="s">
        <v>1396</v>
      </c>
      <c r="D493" s="8" t="s">
        <v>78</v>
      </c>
      <c r="E493" s="61">
        <v>2.2000000000000002</v>
      </c>
      <c r="F493" s="50">
        <v>1</v>
      </c>
      <c r="G493" s="59" t="str">
        <f>IFERROR(VLOOKUP(T_Materiales[[#This Row],[UNIDAD DE COMPRA]],[2]!T_Equivalencias[#All],3,0),"")</f>
        <v/>
      </c>
    </row>
    <row r="494" spans="2:7" x14ac:dyDescent="0.25">
      <c r="B494" s="2" t="s">
        <v>51</v>
      </c>
      <c r="C494" s="8" t="s">
        <v>1397</v>
      </c>
      <c r="D494" s="8" t="s">
        <v>78</v>
      </c>
      <c r="E494" s="45">
        <v>0.2</v>
      </c>
      <c r="F494" s="50">
        <v>1</v>
      </c>
      <c r="G494" s="59" t="str">
        <f>IFERROR(VLOOKUP(T_Materiales[[#This Row],[UNIDAD DE COMPRA]],[2]!T_Equivalencias[#All],3,0),"")</f>
        <v/>
      </c>
    </row>
    <row r="495" spans="2:7" x14ac:dyDescent="0.25">
      <c r="B495" s="2" t="s">
        <v>51</v>
      </c>
      <c r="C495" s="8" t="s">
        <v>1398</v>
      </c>
      <c r="D495" s="8" t="s">
        <v>78</v>
      </c>
      <c r="E495" s="45">
        <v>0.2</v>
      </c>
      <c r="F495" s="50">
        <v>1</v>
      </c>
      <c r="G495" s="59" t="str">
        <f>IFERROR(VLOOKUP(T_Materiales[[#This Row],[UNIDAD DE COMPRA]],[2]!T_Equivalencias[#All],3,0),"")</f>
        <v/>
      </c>
    </row>
    <row r="496" spans="2:7" x14ac:dyDescent="0.25">
      <c r="B496" s="2" t="s">
        <v>51</v>
      </c>
      <c r="C496" s="8" t="s">
        <v>1399</v>
      </c>
      <c r="D496" s="8" t="s">
        <v>78</v>
      </c>
      <c r="E496" s="45">
        <v>0.2</v>
      </c>
      <c r="F496" s="50">
        <v>1</v>
      </c>
      <c r="G496" s="59" t="str">
        <f>IFERROR(VLOOKUP(T_Materiales[[#This Row],[UNIDAD DE COMPRA]],[2]!T_Equivalencias[#All],3,0),"")</f>
        <v/>
      </c>
    </row>
    <row r="497" spans="2:7" x14ac:dyDescent="0.25">
      <c r="B497" s="2" t="s">
        <v>51</v>
      </c>
      <c r="C497" s="8" t="s">
        <v>1400</v>
      </c>
      <c r="D497" s="8" t="s">
        <v>78</v>
      </c>
      <c r="E497" s="45">
        <v>0.2</v>
      </c>
      <c r="F497" s="50">
        <v>1</v>
      </c>
      <c r="G497" s="59" t="str">
        <f>IFERROR(VLOOKUP(T_Materiales[[#This Row],[UNIDAD DE COMPRA]],[2]!T_Equivalencias[#All],3,0),"")</f>
        <v/>
      </c>
    </row>
    <row r="498" spans="2:7" x14ac:dyDescent="0.25">
      <c r="B498" s="2" t="s">
        <v>51</v>
      </c>
      <c r="C498" s="8" t="s">
        <v>1401</v>
      </c>
      <c r="D498" s="8" t="s">
        <v>78</v>
      </c>
      <c r="E498" s="45">
        <v>0.2</v>
      </c>
      <c r="F498" s="50">
        <v>1</v>
      </c>
      <c r="G498" s="59" t="str">
        <f>IFERROR(VLOOKUP(T_Materiales[[#This Row],[UNIDAD DE COMPRA]],[2]!T_Equivalencias[#All],3,0),"")</f>
        <v/>
      </c>
    </row>
    <row r="499" spans="2:7" x14ac:dyDescent="0.25">
      <c r="B499" s="2" t="s">
        <v>51</v>
      </c>
      <c r="C499" s="8" t="s">
        <v>1402</v>
      </c>
      <c r="D499" s="8" t="s">
        <v>78</v>
      </c>
      <c r="E499" s="45">
        <v>0.2</v>
      </c>
      <c r="F499" s="50">
        <v>1</v>
      </c>
      <c r="G499" s="59" t="str">
        <f>IFERROR(VLOOKUP(T_Materiales[[#This Row],[UNIDAD DE COMPRA]],[2]!T_Equivalencias[#All],3,0),"")</f>
        <v/>
      </c>
    </row>
    <row r="500" spans="2:7" x14ac:dyDescent="0.25">
      <c r="B500" s="2" t="s">
        <v>51</v>
      </c>
      <c r="C500" s="8" t="s">
        <v>1403</v>
      </c>
      <c r="D500" s="8" t="s">
        <v>78</v>
      </c>
      <c r="E500" s="45">
        <v>0.2</v>
      </c>
      <c r="F500" s="50">
        <v>1</v>
      </c>
      <c r="G500" s="59" t="str">
        <f>IFERROR(VLOOKUP(T_Materiales[[#This Row],[UNIDAD DE COMPRA]],[2]!T_Equivalencias[#All],3,0),"")</f>
        <v/>
      </c>
    </row>
    <row r="501" spans="2:7" x14ac:dyDescent="0.25">
      <c r="B501" s="2" t="s">
        <v>51</v>
      </c>
      <c r="C501" s="8" t="s">
        <v>1404</v>
      </c>
      <c r="D501" s="8" t="s">
        <v>78</v>
      </c>
      <c r="E501" s="45">
        <v>0.2</v>
      </c>
      <c r="F501" s="50">
        <v>1</v>
      </c>
      <c r="G501" s="59" t="str">
        <f>IFERROR(VLOOKUP(T_Materiales[[#This Row],[UNIDAD DE COMPRA]],[2]!T_Equivalencias[#All],3,0),"")</f>
        <v/>
      </c>
    </row>
    <row r="502" spans="2:7" x14ac:dyDescent="0.25">
      <c r="B502" s="2" t="s">
        <v>51</v>
      </c>
      <c r="C502" s="8" t="s">
        <v>1405</v>
      </c>
      <c r="D502" s="8" t="s">
        <v>78</v>
      </c>
      <c r="E502" s="45">
        <v>0.2</v>
      </c>
      <c r="F502" s="50">
        <v>1</v>
      </c>
      <c r="G502" s="59" t="str">
        <f>IFERROR(VLOOKUP(T_Materiales[[#This Row],[UNIDAD DE COMPRA]],[2]!T_Equivalencias[#All],3,0),"")</f>
        <v/>
      </c>
    </row>
    <row r="503" spans="2:7" x14ac:dyDescent="0.25">
      <c r="B503" s="2" t="s">
        <v>50</v>
      </c>
      <c r="C503" s="8" t="s">
        <v>1410</v>
      </c>
      <c r="D503" s="8" t="s">
        <v>78</v>
      </c>
      <c r="E503" s="61">
        <v>6.5</v>
      </c>
      <c r="F503" s="50">
        <v>1</v>
      </c>
      <c r="G503" s="59" t="str">
        <f>IFERROR(VLOOKUP(T_Materiales[[#This Row],[UNIDAD DE COMPRA]],[2]!T_Equivalencias[#All],3,0),"")</f>
        <v/>
      </c>
    </row>
    <row r="504" spans="2:7" x14ac:dyDescent="0.25">
      <c r="B504" s="2" t="s">
        <v>51</v>
      </c>
      <c r="C504" s="8" t="s">
        <v>1411</v>
      </c>
      <c r="D504" s="8" t="s">
        <v>396</v>
      </c>
      <c r="E504" s="61">
        <v>0.11700000000000001</v>
      </c>
      <c r="F504" s="50">
        <v>1</v>
      </c>
      <c r="G504" s="59" t="str">
        <f>IFERROR(VLOOKUP(T_Materiales[[#This Row],[UNIDAD DE COMPRA]],[2]!T_Equivalencias[#All],3,0),"")</f>
        <v/>
      </c>
    </row>
    <row r="505" spans="2:7" x14ac:dyDescent="0.25">
      <c r="B505" s="2" t="s">
        <v>51</v>
      </c>
      <c r="C505" s="8" t="s">
        <v>1412</v>
      </c>
      <c r="D505" s="8" t="s">
        <v>396</v>
      </c>
      <c r="E505" s="61">
        <v>0.11700000000000001</v>
      </c>
      <c r="F505" s="50">
        <v>1</v>
      </c>
      <c r="G505" s="59" t="str">
        <f>IFERROR(VLOOKUP(T_Materiales[[#This Row],[UNIDAD DE COMPRA]],[2]!T_Equivalencias[#All],3,0),"")</f>
        <v/>
      </c>
    </row>
    <row r="506" spans="2:7" x14ac:dyDescent="0.25">
      <c r="B506" s="2" t="s">
        <v>51</v>
      </c>
      <c r="C506" s="8" t="s">
        <v>1413</v>
      </c>
      <c r="D506" s="8" t="s">
        <v>396</v>
      </c>
      <c r="E506" s="61">
        <v>0.11700000000000001</v>
      </c>
      <c r="F506" s="50">
        <v>1</v>
      </c>
      <c r="G506" s="59" t="str">
        <f>IFERROR(VLOOKUP(T_Materiales[[#This Row],[UNIDAD DE COMPRA]],[2]!T_Equivalencias[#All],3,0),"")</f>
        <v/>
      </c>
    </row>
    <row r="507" spans="2:7" x14ac:dyDescent="0.25">
      <c r="B507" s="2" t="s">
        <v>50</v>
      </c>
      <c r="C507" s="8" t="s">
        <v>1420</v>
      </c>
      <c r="D507" s="8" t="s">
        <v>78</v>
      </c>
      <c r="E507" s="61">
        <v>3</v>
      </c>
      <c r="F507" s="50">
        <v>1</v>
      </c>
      <c r="G507" s="59" t="str">
        <f>IFERROR(VLOOKUP(T_Materiales[[#This Row],[UNIDAD DE COMPRA]],[2]!T_Equivalencias[#All],3,0),"")</f>
        <v/>
      </c>
    </row>
    <row r="508" spans="2:7" x14ac:dyDescent="0.25">
      <c r="B508" s="2" t="s">
        <v>51</v>
      </c>
      <c r="C508" s="8" t="s">
        <v>1421</v>
      </c>
      <c r="D508" s="8" t="s">
        <v>78</v>
      </c>
      <c r="E508" s="61">
        <v>1E-3</v>
      </c>
      <c r="F508" s="50">
        <v>1</v>
      </c>
      <c r="G508" s="59" t="str">
        <f>IFERROR(VLOOKUP(T_Materiales[[#This Row],[UNIDAD DE COMPRA]],[2]!T_Equivalencias[#All],3,0),"")</f>
        <v/>
      </c>
    </row>
    <row r="509" spans="2:7" x14ac:dyDescent="0.25">
      <c r="B509" s="2" t="s">
        <v>50</v>
      </c>
      <c r="C509" s="8" t="s">
        <v>1424</v>
      </c>
      <c r="D509" s="8" t="s">
        <v>78</v>
      </c>
      <c r="E509" s="61">
        <v>4.8</v>
      </c>
      <c r="F509" s="50">
        <v>1</v>
      </c>
      <c r="G509" s="59" t="str">
        <f>IFERROR(VLOOKUP(T_Materiales[[#This Row],[UNIDAD DE COMPRA]],[2]!T_Equivalencias[#All],3,0),"")</f>
        <v/>
      </c>
    </row>
    <row r="510" spans="2:7" x14ac:dyDescent="0.25">
      <c r="B510" s="2" t="s">
        <v>51</v>
      </c>
      <c r="C510" s="8" t="s">
        <v>1425</v>
      </c>
      <c r="D510" s="8" t="s">
        <v>78</v>
      </c>
      <c r="E510" s="61">
        <v>1E-3</v>
      </c>
      <c r="F510" s="50">
        <v>1</v>
      </c>
      <c r="G510" s="59" t="str">
        <f>IFERROR(VLOOKUP(T_Materiales[[#This Row],[UNIDAD DE COMPRA]],[2]!T_Equivalencias[#All],3,0),"")</f>
        <v/>
      </c>
    </row>
    <row r="511" spans="2:7" x14ac:dyDescent="0.25">
      <c r="B511" s="2" t="s">
        <v>51</v>
      </c>
      <c r="C511" s="8" t="s">
        <v>1435</v>
      </c>
      <c r="D511" s="8" t="s">
        <v>78</v>
      </c>
      <c r="E511" s="61">
        <v>0.223</v>
      </c>
      <c r="F511" s="50">
        <v>1</v>
      </c>
      <c r="G511" s="59" t="str">
        <f>IFERROR(VLOOKUP(T_Materiales[[#This Row],[UNIDAD DE COMPRA]],[2]!T_Equivalencias[#All],3,0),"")</f>
        <v/>
      </c>
    </row>
    <row r="512" spans="2:7" x14ac:dyDescent="0.25">
      <c r="B512" s="2" t="s">
        <v>51</v>
      </c>
      <c r="C512" s="8" t="s">
        <v>1436</v>
      </c>
      <c r="D512" s="8" t="s">
        <v>78</v>
      </c>
      <c r="E512" s="61">
        <v>0.5</v>
      </c>
      <c r="F512" s="50">
        <v>1</v>
      </c>
      <c r="G512" s="59" t="str">
        <f>IFERROR(VLOOKUP(T_Materiales[[#This Row],[UNIDAD DE COMPRA]],[2]!T_Equivalencias[#All],3,0),"")</f>
        <v/>
      </c>
    </row>
    <row r="513" spans="2:7" x14ac:dyDescent="0.25">
      <c r="B513" s="2" t="s">
        <v>51</v>
      </c>
      <c r="C513" s="8" t="s">
        <v>1437</v>
      </c>
      <c r="D513" s="8" t="s">
        <v>78</v>
      </c>
      <c r="E513" s="61">
        <v>0.5</v>
      </c>
      <c r="F513" s="50">
        <v>1</v>
      </c>
      <c r="G513" s="59" t="str">
        <f>IFERROR(VLOOKUP(T_Materiales[[#This Row],[UNIDAD DE COMPRA]],[2]!T_Equivalencias[#All],3,0),"")</f>
        <v/>
      </c>
    </row>
    <row r="514" spans="2:7" x14ac:dyDescent="0.25">
      <c r="B514" s="2" t="s">
        <v>51</v>
      </c>
      <c r="C514" s="8" t="s">
        <v>1444</v>
      </c>
      <c r="D514" s="8" t="s">
        <v>78</v>
      </c>
      <c r="E514" s="61">
        <v>0.1</v>
      </c>
      <c r="F514" s="50">
        <v>1</v>
      </c>
      <c r="G514" s="59" t="str">
        <f>IFERROR(VLOOKUP(T_Materiales[[#This Row],[UNIDAD DE COMPRA]],[2]!T_Equivalencias[#All],3,0),"")</f>
        <v/>
      </c>
    </row>
    <row r="515" spans="2:7" x14ac:dyDescent="0.25">
      <c r="B515" s="2" t="s">
        <v>50</v>
      </c>
      <c r="C515" s="8" t="s">
        <v>107</v>
      </c>
      <c r="D515" s="8" t="s">
        <v>78</v>
      </c>
      <c r="E515" s="61">
        <v>2.2000000000000002</v>
      </c>
      <c r="F515" s="50">
        <v>1</v>
      </c>
      <c r="G515" s="59" t="str">
        <f>IFERROR(VLOOKUP(T_Materiales[[#This Row],[UNIDAD DE COMPRA]],[2]!T_Equivalencias[#All],3,0),"")</f>
        <v/>
      </c>
    </row>
    <row r="516" spans="2:7" x14ac:dyDescent="0.25">
      <c r="B516" s="2" t="s">
        <v>50</v>
      </c>
      <c r="C516" s="8" t="s">
        <v>1449</v>
      </c>
      <c r="D516" s="8" t="s">
        <v>78</v>
      </c>
      <c r="E516" s="61">
        <v>9.6999999999999993</v>
      </c>
      <c r="F516" s="50">
        <v>1</v>
      </c>
      <c r="G516" s="59" t="str">
        <f>IFERROR(VLOOKUP(T_Materiales[[#This Row],[UNIDAD DE COMPRA]],[2]!T_Equivalencias[#All],3,0),"")</f>
        <v/>
      </c>
    </row>
    <row r="517" spans="2:7" x14ac:dyDescent="0.25">
      <c r="B517" s="2" t="s">
        <v>406</v>
      </c>
      <c r="C517" s="8" t="s">
        <v>1451</v>
      </c>
      <c r="D517" s="8" t="s">
        <v>78</v>
      </c>
      <c r="E517" s="61">
        <v>1.1299999999999999</v>
      </c>
      <c r="F517" s="50">
        <v>1</v>
      </c>
      <c r="G517" s="59" t="str">
        <f>IFERROR(VLOOKUP(T_Materiales[[#This Row],[UNIDAD DE COMPRA]],[2]!T_Equivalencias[#All],3,0),"")</f>
        <v/>
      </c>
    </row>
    <row r="518" spans="2:7" x14ac:dyDescent="0.25">
      <c r="B518" s="2" t="s">
        <v>406</v>
      </c>
      <c r="C518" s="8" t="s">
        <v>1452</v>
      </c>
      <c r="D518" s="8" t="s">
        <v>448</v>
      </c>
      <c r="E518" s="61">
        <v>0.26400000000000001</v>
      </c>
      <c r="F518" s="50">
        <v>1</v>
      </c>
      <c r="G518" s="59" t="str">
        <f>IFERROR(VLOOKUP(T_Materiales[[#This Row],[UNIDAD DE COMPRA]],[2]!T_Equivalencias[#All],3,0),"")</f>
        <v/>
      </c>
    </row>
    <row r="519" spans="2:7" x14ac:dyDescent="0.25">
      <c r="B519" s="2" t="s">
        <v>406</v>
      </c>
      <c r="C519" s="8" t="s">
        <v>1453</v>
      </c>
      <c r="D519" s="8" t="s">
        <v>448</v>
      </c>
      <c r="E519" s="61">
        <v>0.26400000000000001</v>
      </c>
      <c r="F519" s="50">
        <v>1</v>
      </c>
      <c r="G519" s="59" t="str">
        <f>IFERROR(VLOOKUP(T_Materiales[[#This Row],[UNIDAD DE COMPRA]],[2]!T_Equivalencias[#All],3,0),"")</f>
        <v/>
      </c>
    </row>
    <row r="520" spans="2:7" x14ac:dyDescent="0.25">
      <c r="B520" s="2" t="s">
        <v>406</v>
      </c>
      <c r="C520" s="8" t="s">
        <v>1454</v>
      </c>
      <c r="D520" s="8" t="s">
        <v>448</v>
      </c>
      <c r="E520" s="61">
        <v>0.26400000000000001</v>
      </c>
      <c r="F520" s="50">
        <v>1</v>
      </c>
      <c r="G520" s="59" t="str">
        <f>IFERROR(VLOOKUP(T_Materiales[[#This Row],[UNIDAD DE COMPRA]],[2]!T_Equivalencias[#All],3,0),"")</f>
        <v/>
      </c>
    </row>
    <row r="521" spans="2:7" x14ac:dyDescent="0.25">
      <c r="B521" s="2" t="s">
        <v>406</v>
      </c>
      <c r="C521" s="8" t="s">
        <v>1455</v>
      </c>
      <c r="D521" s="8" t="s">
        <v>448</v>
      </c>
      <c r="E521" s="61">
        <v>0.26400000000000001</v>
      </c>
      <c r="F521" s="50">
        <v>1</v>
      </c>
      <c r="G521" s="59" t="str">
        <f>IFERROR(VLOOKUP(T_Materiales[[#This Row],[UNIDAD DE COMPRA]],[2]!T_Equivalencias[#All],3,0),"")</f>
        <v/>
      </c>
    </row>
    <row r="522" spans="2:7" x14ac:dyDescent="0.25">
      <c r="B522" s="2" t="s">
        <v>50</v>
      </c>
      <c r="C522" s="8" t="s">
        <v>1458</v>
      </c>
      <c r="D522" s="8" t="s">
        <v>78</v>
      </c>
      <c r="E522" s="61">
        <v>9.6999999999999993</v>
      </c>
      <c r="F522" s="50">
        <v>1</v>
      </c>
      <c r="G522" s="59" t="str">
        <f>IFERROR(VLOOKUP(T_Materiales[[#This Row],[UNIDAD DE COMPRA]],[2]!T_Equivalencias[#All],3,0),"")</f>
        <v/>
      </c>
    </row>
    <row r="523" spans="2:7" x14ac:dyDescent="0.25">
      <c r="B523" s="2" t="s">
        <v>50</v>
      </c>
      <c r="C523" s="8" t="s">
        <v>1459</v>
      </c>
      <c r="D523" s="8" t="s">
        <v>78</v>
      </c>
      <c r="E523" s="61">
        <v>7.5</v>
      </c>
      <c r="F523" s="50">
        <v>1</v>
      </c>
      <c r="G523" s="59" t="str">
        <f>IFERROR(VLOOKUP(T_Materiales[[#This Row],[UNIDAD DE COMPRA]],[2]!T_Equivalencias[#All],3,0),"")</f>
        <v/>
      </c>
    </row>
    <row r="524" spans="2:7" x14ac:dyDescent="0.25">
      <c r="B524" s="2" t="s">
        <v>51</v>
      </c>
      <c r="C524" s="8" t="s">
        <v>1462</v>
      </c>
      <c r="D524" s="8" t="s">
        <v>78</v>
      </c>
      <c r="E524" s="61">
        <v>0.45</v>
      </c>
      <c r="F524" s="50">
        <v>1</v>
      </c>
      <c r="G524" s="59" t="str">
        <f>IFERROR(VLOOKUP(T_Materiales[[#This Row],[UNIDAD DE COMPRA]],[2]!T_Equivalencias[#All],3,0),"")</f>
        <v/>
      </c>
    </row>
    <row r="525" spans="2:7" x14ac:dyDescent="0.25">
      <c r="B525" s="2" t="s">
        <v>51</v>
      </c>
      <c r="C525" s="8" t="s">
        <v>1463</v>
      </c>
      <c r="D525" s="8" t="s">
        <v>78</v>
      </c>
      <c r="E525" s="61">
        <v>0.45</v>
      </c>
      <c r="F525" s="50">
        <v>1</v>
      </c>
      <c r="G525" s="59" t="str">
        <f>IFERROR(VLOOKUP(T_Materiales[[#This Row],[UNIDAD DE COMPRA]],[2]!T_Equivalencias[#All],3,0),"")</f>
        <v/>
      </c>
    </row>
    <row r="526" spans="2:7" x14ac:dyDescent="0.25">
      <c r="B526" s="2" t="s">
        <v>51</v>
      </c>
      <c r="C526" s="8" t="s">
        <v>1466</v>
      </c>
      <c r="D526" s="8" t="s">
        <v>78</v>
      </c>
      <c r="E526" s="61">
        <v>0.1</v>
      </c>
      <c r="F526" s="50">
        <v>1</v>
      </c>
      <c r="G526" s="59" t="str">
        <f>IFERROR(VLOOKUP(T_Materiales[[#This Row],[UNIDAD DE COMPRA]],[2]!T_Equivalencias[#All],3,0),"")</f>
        <v/>
      </c>
    </row>
    <row r="527" spans="2:7" x14ac:dyDescent="0.25">
      <c r="B527" s="2" t="s">
        <v>51</v>
      </c>
      <c r="C527" s="8" t="s">
        <v>1697</v>
      </c>
      <c r="D527" s="8" t="s">
        <v>78</v>
      </c>
      <c r="E527" s="61">
        <v>0.24</v>
      </c>
      <c r="F527" s="50">
        <v>1</v>
      </c>
      <c r="G527" s="59" t="str">
        <f>IFERROR(VLOOKUP(T_Materiales[[#This Row],[UNIDAD DE COMPRA]],[2]!T_Equivalencias[#All],3,0),"")</f>
        <v/>
      </c>
    </row>
    <row r="528" spans="2:7" x14ac:dyDescent="0.25">
      <c r="B528" s="2" t="s">
        <v>50</v>
      </c>
      <c r="C528" s="8" t="s">
        <v>1477</v>
      </c>
      <c r="D528" s="8" t="s">
        <v>78</v>
      </c>
      <c r="E528" s="61">
        <v>11</v>
      </c>
      <c r="F528" s="50">
        <v>1</v>
      </c>
      <c r="G528" s="59" t="str">
        <f>IFERROR(VLOOKUP(T_Materiales[[#This Row],[UNIDAD DE COMPRA]],[2]!T_Equivalencias[#All],3,0),"")</f>
        <v/>
      </c>
    </row>
    <row r="529" spans="2:7" x14ac:dyDescent="0.25">
      <c r="B529" s="2" t="s">
        <v>51</v>
      </c>
      <c r="C529" s="8" t="s">
        <v>1478</v>
      </c>
      <c r="D529" s="8" t="s">
        <v>78</v>
      </c>
      <c r="E529" s="61">
        <v>0.7</v>
      </c>
      <c r="F529" s="50">
        <v>1</v>
      </c>
      <c r="G529" s="59" t="str">
        <f>IFERROR(VLOOKUP(T_Materiales[[#This Row],[UNIDAD DE COMPRA]],[2]!T_Equivalencias[#All],3,0),"")</f>
        <v/>
      </c>
    </row>
    <row r="530" spans="2:7" x14ac:dyDescent="0.25">
      <c r="B530" s="2" t="s">
        <v>51</v>
      </c>
      <c r="C530" s="8" t="s">
        <v>1506</v>
      </c>
      <c r="D530" s="8" t="s">
        <v>78</v>
      </c>
      <c r="E530" s="61">
        <v>0.7</v>
      </c>
      <c r="F530" s="50">
        <v>1</v>
      </c>
      <c r="G530" s="59" t="str">
        <f>IFERROR(VLOOKUP(T_Materiales[[#This Row],[UNIDAD DE COMPRA]],[2]!T_Equivalencias[#All],3,0),"")</f>
        <v/>
      </c>
    </row>
    <row r="531" spans="2:7" x14ac:dyDescent="0.25">
      <c r="B531" s="2" t="s">
        <v>50</v>
      </c>
      <c r="C531" s="8" t="s">
        <v>1481</v>
      </c>
      <c r="D531" s="8" t="s">
        <v>78</v>
      </c>
      <c r="E531" s="61">
        <v>4.8</v>
      </c>
      <c r="F531" s="50">
        <v>1</v>
      </c>
      <c r="G531" s="59" t="str">
        <f>IFERROR(VLOOKUP(T_Materiales[[#This Row],[UNIDAD DE COMPRA]],[2]!T_Equivalencias[#All],3,0),"")</f>
        <v/>
      </c>
    </row>
    <row r="532" spans="2:7" x14ac:dyDescent="0.25">
      <c r="B532" s="2" t="s">
        <v>51</v>
      </c>
      <c r="C532" s="8" t="s">
        <v>1482</v>
      </c>
      <c r="D532" s="8" t="s">
        <v>78</v>
      </c>
      <c r="E532" s="61">
        <v>0.11</v>
      </c>
      <c r="F532" s="50">
        <v>1</v>
      </c>
      <c r="G532" s="59" t="str">
        <f>IFERROR(VLOOKUP(T_Materiales[[#This Row],[UNIDAD DE COMPRA]],[2]!T_Equivalencias[#All],3,0),"")</f>
        <v/>
      </c>
    </row>
    <row r="533" spans="2:7" x14ac:dyDescent="0.25">
      <c r="B533" s="2" t="s">
        <v>50</v>
      </c>
      <c r="C533" s="8" t="s">
        <v>1485</v>
      </c>
      <c r="D533" s="8" t="s">
        <v>78</v>
      </c>
      <c r="E533" s="61">
        <v>6.6</v>
      </c>
      <c r="F533" s="50">
        <v>1</v>
      </c>
      <c r="G533" s="59" t="str">
        <f>IFERROR(VLOOKUP(T_Materiales[[#This Row],[UNIDAD DE COMPRA]],[2]!T_Equivalencias[#All],3,0),"")</f>
        <v/>
      </c>
    </row>
    <row r="534" spans="2:7" x14ac:dyDescent="0.25">
      <c r="B534" s="2" t="s">
        <v>50</v>
      </c>
      <c r="C534" s="8" t="s">
        <v>1486</v>
      </c>
      <c r="D534" s="8" t="s">
        <v>78</v>
      </c>
      <c r="E534" s="61">
        <v>6.6</v>
      </c>
      <c r="F534" s="50">
        <v>1</v>
      </c>
      <c r="G534" s="59" t="str">
        <f>IFERROR(VLOOKUP(T_Materiales[[#This Row],[UNIDAD DE COMPRA]],[2]!T_Equivalencias[#All],3,0),"")</f>
        <v/>
      </c>
    </row>
    <row r="535" spans="2:7" x14ac:dyDescent="0.25">
      <c r="B535" s="2" t="s">
        <v>50</v>
      </c>
      <c r="C535" s="8" t="s">
        <v>1487</v>
      </c>
      <c r="D535" s="8" t="s">
        <v>78</v>
      </c>
      <c r="E535" s="61">
        <v>6.6</v>
      </c>
      <c r="F535" s="50">
        <v>1</v>
      </c>
      <c r="G535" s="59" t="str">
        <f>IFERROR(VLOOKUP(T_Materiales[[#This Row],[UNIDAD DE COMPRA]],[2]!T_Equivalencias[#All],3,0),"")</f>
        <v/>
      </c>
    </row>
    <row r="536" spans="2:7" x14ac:dyDescent="0.25">
      <c r="B536" s="2" t="s">
        <v>50</v>
      </c>
      <c r="C536" s="8" t="s">
        <v>1488</v>
      </c>
      <c r="D536" s="8" t="s">
        <v>78</v>
      </c>
      <c r="E536" s="61">
        <v>6.6</v>
      </c>
      <c r="F536" s="50">
        <v>1</v>
      </c>
      <c r="G536" s="59" t="str">
        <f>IFERROR(VLOOKUP(T_Materiales[[#This Row],[UNIDAD DE COMPRA]],[2]!T_Equivalencias[#All],3,0),"")</f>
        <v/>
      </c>
    </row>
    <row r="537" spans="2:7" x14ac:dyDescent="0.25">
      <c r="B537" s="2" t="s">
        <v>50</v>
      </c>
      <c r="C537" s="8" t="s">
        <v>1489</v>
      </c>
      <c r="D537" s="8" t="s">
        <v>78</v>
      </c>
      <c r="E537" s="61">
        <v>6.6</v>
      </c>
      <c r="F537" s="50">
        <v>1</v>
      </c>
      <c r="G537" s="59" t="str">
        <f>IFERROR(VLOOKUP(T_Materiales[[#This Row],[UNIDAD DE COMPRA]],[2]!T_Equivalencias[#All],3,0),"")</f>
        <v/>
      </c>
    </row>
    <row r="538" spans="2:7" x14ac:dyDescent="0.25">
      <c r="B538" s="2" t="s">
        <v>50</v>
      </c>
      <c r="C538" s="8" t="s">
        <v>1490</v>
      </c>
      <c r="D538" s="8" t="s">
        <v>78</v>
      </c>
      <c r="E538" s="61">
        <v>6.6</v>
      </c>
      <c r="F538" s="50">
        <v>1</v>
      </c>
      <c r="G538" s="59" t="str">
        <f>IFERROR(VLOOKUP(T_Materiales[[#This Row],[UNIDAD DE COMPRA]],[2]!T_Equivalencias[#All],3,0),"")</f>
        <v/>
      </c>
    </row>
    <row r="539" spans="2:7" x14ac:dyDescent="0.25">
      <c r="B539" s="2" t="s">
        <v>1316</v>
      </c>
      <c r="C539" s="8" t="s">
        <v>1495</v>
      </c>
      <c r="D539" s="8" t="s">
        <v>78</v>
      </c>
      <c r="E539" s="61">
        <v>0.1</v>
      </c>
      <c r="F539" s="50">
        <v>1</v>
      </c>
      <c r="G539" s="59" t="str">
        <f>IFERROR(VLOOKUP(T_Materiales[[#This Row],[UNIDAD DE COMPRA]],[2]!T_Equivalencias[#All],3,0),"")</f>
        <v/>
      </c>
    </row>
    <row r="540" spans="2:7" x14ac:dyDescent="0.25">
      <c r="B540" s="2" t="s">
        <v>50</v>
      </c>
      <c r="C540" s="8" t="s">
        <v>1504</v>
      </c>
      <c r="D540" s="8" t="s">
        <v>78</v>
      </c>
      <c r="E540" s="61">
        <v>2.2000000000000002</v>
      </c>
      <c r="F540" s="50">
        <v>1</v>
      </c>
      <c r="G540" s="59" t="str">
        <f>IFERROR(VLOOKUP(T_Materiales[[#This Row],[UNIDAD DE COMPRA]],[2]!T_Equivalencias[#All],3,0),"")</f>
        <v/>
      </c>
    </row>
    <row r="541" spans="2:7" x14ac:dyDescent="0.25">
      <c r="B541" s="2" t="s">
        <v>50</v>
      </c>
      <c r="C541" s="8" t="s">
        <v>1515</v>
      </c>
      <c r="D541" s="8" t="s">
        <v>78</v>
      </c>
      <c r="E541" s="61">
        <v>5</v>
      </c>
      <c r="F541" s="50">
        <v>1</v>
      </c>
      <c r="G541" s="59" t="str">
        <f>IFERROR(VLOOKUP(T_Materiales[[#This Row],[UNIDAD DE COMPRA]],[2]!T_Equivalencias[#All],3,0),"")</f>
        <v/>
      </c>
    </row>
    <row r="542" spans="2:7" x14ac:dyDescent="0.25">
      <c r="B542" s="2" t="s">
        <v>51</v>
      </c>
      <c r="C542" s="8" t="s">
        <v>1516</v>
      </c>
      <c r="D542" s="8" t="s">
        <v>78</v>
      </c>
      <c r="E542" s="61">
        <v>2.5000000000000001E-2</v>
      </c>
      <c r="F542" s="50">
        <v>1</v>
      </c>
      <c r="G542" s="59" t="str">
        <f>IFERROR(VLOOKUP(T_Materiales[[#This Row],[UNIDAD DE COMPRA]],[2]!T_Equivalencias[#All],3,0),"")</f>
        <v/>
      </c>
    </row>
    <row r="543" spans="2:7" x14ac:dyDescent="0.25">
      <c r="B543" s="2" t="s">
        <v>50</v>
      </c>
      <c r="C543" s="8" t="s">
        <v>1521</v>
      </c>
      <c r="D543" s="8" t="s">
        <v>78</v>
      </c>
      <c r="E543" s="61">
        <v>5</v>
      </c>
      <c r="F543" s="50">
        <v>1</v>
      </c>
      <c r="G543" s="59" t="str">
        <f>IFERROR(VLOOKUP(T_Materiales[[#This Row],[UNIDAD DE COMPRA]],[2]!T_Equivalencias[#All],3,0),"")</f>
        <v/>
      </c>
    </row>
    <row r="544" spans="2:7" x14ac:dyDescent="0.25">
      <c r="B544" s="2" t="s">
        <v>1316</v>
      </c>
      <c r="C544" s="8" t="s">
        <v>1522</v>
      </c>
      <c r="D544" s="8" t="s">
        <v>396</v>
      </c>
      <c r="E544" s="61">
        <v>0.25</v>
      </c>
      <c r="F544" s="50">
        <v>1</v>
      </c>
      <c r="G544" s="59" t="str">
        <f>IFERROR(VLOOKUP(T_Materiales[[#This Row],[UNIDAD DE COMPRA]],[2]!T_Equivalencias[#All],3,0),"")</f>
        <v/>
      </c>
    </row>
    <row r="545" spans="2:7" x14ac:dyDescent="0.25">
      <c r="B545" s="2" t="s">
        <v>1316</v>
      </c>
      <c r="C545" s="8" t="s">
        <v>1523</v>
      </c>
      <c r="D545" s="8" t="s">
        <v>78</v>
      </c>
      <c r="E545" s="45">
        <v>0.55000000000000004</v>
      </c>
      <c r="F545" s="50">
        <v>1</v>
      </c>
      <c r="G545" s="59" t="str">
        <f>IFERROR(VLOOKUP(T_Materiales[[#This Row],[UNIDAD DE COMPRA]],[2]!T_Equivalencias[#All],3,0),"")</f>
        <v/>
      </c>
    </row>
    <row r="546" spans="2:7" x14ac:dyDescent="0.25">
      <c r="B546" s="2" t="s">
        <v>1316</v>
      </c>
      <c r="C546" s="8" t="s">
        <v>1524</v>
      </c>
      <c r="D546" s="8" t="s">
        <v>396</v>
      </c>
      <c r="E546" s="45">
        <v>4.4999999999999998E-2</v>
      </c>
      <c r="F546" s="50">
        <v>1</v>
      </c>
      <c r="G546" s="59" t="str">
        <f>IFERROR(VLOOKUP(T_Materiales[[#This Row],[UNIDAD DE COMPRA]],[2]!T_Equivalencias[#All],3,0),"")</f>
        <v/>
      </c>
    </row>
    <row r="547" spans="2:7" x14ac:dyDescent="0.25">
      <c r="B547" s="2" t="s">
        <v>1316</v>
      </c>
      <c r="C547" s="8" t="s">
        <v>1525</v>
      </c>
      <c r="D547" s="8" t="s">
        <v>396</v>
      </c>
      <c r="E547" s="45">
        <v>0.05</v>
      </c>
      <c r="F547" s="50">
        <v>1</v>
      </c>
      <c r="G547" s="59" t="str">
        <f>IFERROR(VLOOKUP(T_Materiales[[#This Row],[UNIDAD DE COMPRA]],[2]!T_Equivalencias[#All],3,0),"")</f>
        <v/>
      </c>
    </row>
    <row r="548" spans="2:7" x14ac:dyDescent="0.25">
      <c r="B548" s="2" t="s">
        <v>1316</v>
      </c>
      <c r="C548" s="8" t="s">
        <v>1526</v>
      </c>
      <c r="D548" s="8" t="s">
        <v>78</v>
      </c>
      <c r="E548" s="45">
        <v>0.55000000000000004</v>
      </c>
      <c r="F548" s="50">
        <v>1</v>
      </c>
      <c r="G548" s="59" t="str">
        <f>IFERROR(VLOOKUP(T_Materiales[[#This Row],[UNIDAD DE COMPRA]],[2]!T_Equivalencias[#All],3,0),"")</f>
        <v/>
      </c>
    </row>
    <row r="549" spans="2:7" x14ac:dyDescent="0.25">
      <c r="B549" s="2" t="s">
        <v>1316</v>
      </c>
      <c r="C549" s="8" t="s">
        <v>1527</v>
      </c>
      <c r="D549" s="8" t="s">
        <v>396</v>
      </c>
      <c r="E549" s="45">
        <v>4.4999999999999998E-2</v>
      </c>
      <c r="F549" s="50">
        <v>1</v>
      </c>
      <c r="G549" s="59" t="str">
        <f>IFERROR(VLOOKUP(T_Materiales[[#This Row],[UNIDAD DE COMPRA]],[2]!T_Equivalencias[#All],3,0),"")</f>
        <v/>
      </c>
    </row>
    <row r="550" spans="2:7" x14ac:dyDescent="0.25">
      <c r="B550" s="2" t="s">
        <v>1316</v>
      </c>
      <c r="C550" s="8" t="s">
        <v>1528</v>
      </c>
      <c r="D550" s="8" t="s">
        <v>396</v>
      </c>
      <c r="E550" s="45">
        <v>0.1</v>
      </c>
      <c r="F550" s="50">
        <v>1</v>
      </c>
      <c r="G550" s="59" t="str">
        <f>IFERROR(VLOOKUP(T_Materiales[[#This Row],[UNIDAD DE COMPRA]],[2]!T_Equivalencias[#All],3,0),"")</f>
        <v/>
      </c>
    </row>
    <row r="551" spans="2:7" x14ac:dyDescent="0.25">
      <c r="B551" s="2" t="s">
        <v>1316</v>
      </c>
      <c r="C551" s="8" t="s">
        <v>1529</v>
      </c>
      <c r="D551" s="8" t="s">
        <v>396</v>
      </c>
      <c r="E551" s="45">
        <v>0.05</v>
      </c>
      <c r="F551" s="50">
        <v>1</v>
      </c>
      <c r="G551" s="59" t="str">
        <f>IFERROR(VLOOKUP(T_Materiales[[#This Row],[UNIDAD DE COMPRA]],[2]!T_Equivalencias[#All],3,0),"")</f>
        <v/>
      </c>
    </row>
    <row r="552" spans="2:7" x14ac:dyDescent="0.25">
      <c r="B552" s="2" t="s">
        <v>1316</v>
      </c>
      <c r="C552" s="8" t="s">
        <v>1534</v>
      </c>
      <c r="D552" s="8" t="s">
        <v>78</v>
      </c>
      <c r="E552" s="45">
        <v>0.26100000000000001</v>
      </c>
      <c r="F552" s="50">
        <v>1</v>
      </c>
      <c r="G552" s="59" t="str">
        <f>IFERROR(VLOOKUP(T_Materiales[[#This Row],[UNIDAD DE COMPRA]],[2]!T_Equivalencias[#All],3,0),"")</f>
        <v/>
      </c>
    </row>
    <row r="553" spans="2:7" x14ac:dyDescent="0.25">
      <c r="B553" s="2" t="s">
        <v>1316</v>
      </c>
      <c r="C553" s="8" t="s">
        <v>1535</v>
      </c>
      <c r="D553" s="8" t="s">
        <v>78</v>
      </c>
      <c r="E553" s="45">
        <v>0.26100000000000001</v>
      </c>
      <c r="F553" s="50">
        <v>1</v>
      </c>
      <c r="G553" s="59" t="str">
        <f>IFERROR(VLOOKUP(T_Materiales[[#This Row],[UNIDAD DE COMPRA]],[2]!T_Equivalencias[#All],3,0),"")</f>
        <v/>
      </c>
    </row>
    <row r="554" spans="2:7" x14ac:dyDescent="0.25">
      <c r="B554" s="2" t="s">
        <v>1316</v>
      </c>
      <c r="C554" s="8" t="s">
        <v>1539</v>
      </c>
      <c r="D554" s="8" t="s">
        <v>396</v>
      </c>
      <c r="E554" s="45">
        <v>8.4000000000000005E-2</v>
      </c>
      <c r="F554" s="50">
        <v>1</v>
      </c>
      <c r="G554" s="59" t="str">
        <f>IFERROR(VLOOKUP(T_Materiales[[#This Row],[UNIDAD DE COMPRA]],[2]!T_Equivalencias[#All],3,0),"")</f>
        <v/>
      </c>
    </row>
    <row r="555" spans="2:7" x14ac:dyDescent="0.25">
      <c r="B555" s="2" t="s">
        <v>51</v>
      </c>
      <c r="C555" s="8" t="s">
        <v>1541</v>
      </c>
      <c r="D555" s="8" t="s">
        <v>396</v>
      </c>
      <c r="E555" s="61">
        <v>2.5</v>
      </c>
      <c r="F555" s="50">
        <v>1</v>
      </c>
      <c r="G555" s="59" t="str">
        <f>IFERROR(VLOOKUP(T_Materiales[[#This Row],[UNIDAD DE COMPRA]],[2]!T_Equivalencias[#All],3,0),"")</f>
        <v/>
      </c>
    </row>
    <row r="556" spans="2:7" x14ac:dyDescent="0.25">
      <c r="B556" s="2" t="s">
        <v>1543</v>
      </c>
      <c r="C556" s="8" t="s">
        <v>1544</v>
      </c>
      <c r="D556" s="8" t="s">
        <v>78</v>
      </c>
      <c r="E556" s="61">
        <v>4.5</v>
      </c>
      <c r="F556" s="50">
        <v>1</v>
      </c>
      <c r="G556" s="59" t="str">
        <f>IFERROR(VLOOKUP(T_Materiales[[#This Row],[UNIDAD DE COMPRA]],[2]!T_Equivalencias[#All],3,0),"")</f>
        <v/>
      </c>
    </row>
    <row r="557" spans="2:7" x14ac:dyDescent="0.25">
      <c r="B557" s="2" t="s">
        <v>50</v>
      </c>
      <c r="C557" s="8" t="s">
        <v>1545</v>
      </c>
      <c r="D557" s="8" t="s">
        <v>78</v>
      </c>
      <c r="E557" s="61">
        <v>12</v>
      </c>
      <c r="F557" s="50">
        <v>1</v>
      </c>
      <c r="G557" s="59" t="str">
        <f>IFERROR(VLOOKUP(T_Materiales[[#This Row],[UNIDAD DE COMPRA]],[2]!T_Equivalencias[#All],3,0),"")</f>
        <v/>
      </c>
    </row>
    <row r="558" spans="2:7" x14ac:dyDescent="0.25">
      <c r="B558" s="2" t="s">
        <v>1548</v>
      </c>
      <c r="C558" s="8" t="s">
        <v>1549</v>
      </c>
      <c r="D558" s="8" t="s">
        <v>410</v>
      </c>
      <c r="E558" s="61">
        <v>0.06</v>
      </c>
      <c r="F558" s="50">
        <v>1</v>
      </c>
      <c r="G558" s="59" t="str">
        <f>IFERROR(VLOOKUP(T_Materiales[[#This Row],[UNIDAD DE COMPRA]],[2]!T_Equivalencias[#All],3,0),"")</f>
        <v/>
      </c>
    </row>
    <row r="559" spans="2:7" x14ac:dyDescent="0.25">
      <c r="B559" s="2" t="s">
        <v>51</v>
      </c>
      <c r="C559" s="8" t="s">
        <v>1550</v>
      </c>
      <c r="D559" s="8" t="s">
        <v>396</v>
      </c>
      <c r="E559" s="61">
        <v>0.03</v>
      </c>
      <c r="F559" s="50">
        <v>1</v>
      </c>
      <c r="G559" s="59" t="str">
        <f>IFERROR(VLOOKUP(T_Materiales[[#This Row],[UNIDAD DE COMPRA]],[2]!T_Equivalencias[#All],3,0),"")</f>
        <v/>
      </c>
    </row>
    <row r="560" spans="2:7" x14ac:dyDescent="0.25">
      <c r="B560" s="2" t="s">
        <v>50</v>
      </c>
      <c r="C560" s="8" t="s">
        <v>1553</v>
      </c>
      <c r="D560" s="8" t="s">
        <v>78</v>
      </c>
      <c r="E560" s="61">
        <v>11</v>
      </c>
      <c r="F560" s="50">
        <v>1</v>
      </c>
      <c r="G560" s="59" t="str">
        <f>IFERROR(VLOOKUP(T_Materiales[[#This Row],[UNIDAD DE COMPRA]],[2]!T_Equivalencias[#All],3,0),"")</f>
        <v/>
      </c>
    </row>
    <row r="561" spans="2:7" x14ac:dyDescent="0.25">
      <c r="B561" s="2" t="s">
        <v>51</v>
      </c>
      <c r="C561" s="8" t="s">
        <v>1554</v>
      </c>
      <c r="D561" s="8" t="s">
        <v>78</v>
      </c>
      <c r="E561" s="61">
        <v>4</v>
      </c>
      <c r="F561" s="50">
        <v>1</v>
      </c>
      <c r="G561" s="59" t="str">
        <f>IFERROR(VLOOKUP(T_Materiales[[#This Row],[UNIDAD DE COMPRA]],[2]!T_Equivalencias[#All],3,0),"")</f>
        <v/>
      </c>
    </row>
    <row r="562" spans="2:7" x14ac:dyDescent="0.25">
      <c r="B562" s="2" t="s">
        <v>51</v>
      </c>
      <c r="C562" s="8" t="s">
        <v>1555</v>
      </c>
      <c r="D562" s="8" t="s">
        <v>396</v>
      </c>
      <c r="E562" s="61">
        <v>0.3</v>
      </c>
      <c r="F562" s="50">
        <v>1</v>
      </c>
      <c r="G562" s="59" t="str">
        <f>IFERROR(VLOOKUP(T_Materiales[[#This Row],[UNIDAD DE COMPRA]],[2]!T_Equivalencias[#All],3,0),"")</f>
        <v/>
      </c>
    </row>
    <row r="563" spans="2:7" x14ac:dyDescent="0.25">
      <c r="B563" s="2" t="s">
        <v>50</v>
      </c>
      <c r="C563" s="8" t="s">
        <v>1557</v>
      </c>
      <c r="D563" s="8" t="s">
        <v>78</v>
      </c>
      <c r="E563" s="61">
        <v>22</v>
      </c>
      <c r="F563" s="50">
        <v>1</v>
      </c>
      <c r="G563" s="59" t="str">
        <f>IFERROR(VLOOKUP(T_Materiales[[#This Row],[UNIDAD DE COMPRA]],[2]!T_Equivalencias[#All],3,0),"")</f>
        <v/>
      </c>
    </row>
    <row r="564" spans="2:7" x14ac:dyDescent="0.25">
      <c r="B564" s="2" t="s">
        <v>51</v>
      </c>
      <c r="C564" s="8" t="s">
        <v>1558</v>
      </c>
      <c r="D564" s="8" t="s">
        <v>78</v>
      </c>
      <c r="E564" s="61">
        <v>0.152</v>
      </c>
      <c r="F564" s="50">
        <v>1</v>
      </c>
      <c r="G564" s="59" t="str">
        <f>IFERROR(VLOOKUP(T_Materiales[[#This Row],[UNIDAD DE COMPRA]],[2]!T_Equivalencias[#All],3,0),"")</f>
        <v/>
      </c>
    </row>
    <row r="565" spans="2:7" x14ac:dyDescent="0.25">
      <c r="B565" s="2" t="s">
        <v>51</v>
      </c>
      <c r="C565" s="8" t="s">
        <v>1559</v>
      </c>
      <c r="D565" s="8" t="s">
        <v>78</v>
      </c>
      <c r="E565" s="61">
        <v>0.152</v>
      </c>
      <c r="F565" s="50">
        <v>1</v>
      </c>
      <c r="G565" s="59" t="str">
        <f>IFERROR(VLOOKUP(T_Materiales[[#This Row],[UNIDAD DE COMPRA]],[2]!T_Equivalencias[#All],3,0),"")</f>
        <v/>
      </c>
    </row>
    <row r="566" spans="2:7" x14ac:dyDescent="0.25">
      <c r="B566" s="2" t="s">
        <v>51</v>
      </c>
      <c r="C566" s="8" t="s">
        <v>1560</v>
      </c>
      <c r="D566" s="8" t="s">
        <v>78</v>
      </c>
      <c r="E566" s="61">
        <v>0.152</v>
      </c>
      <c r="F566" s="50">
        <v>1</v>
      </c>
      <c r="G566" s="59" t="str">
        <f>IFERROR(VLOOKUP(T_Materiales[[#This Row],[UNIDAD DE COMPRA]],[2]!T_Equivalencias[#All],3,0),"")</f>
        <v/>
      </c>
    </row>
    <row r="567" spans="2:7" x14ac:dyDescent="0.25">
      <c r="B567" s="2" t="s">
        <v>50</v>
      </c>
      <c r="C567" s="8" t="s">
        <v>1567</v>
      </c>
      <c r="D567" s="8" t="s">
        <v>78</v>
      </c>
      <c r="E567" s="61">
        <v>13.3</v>
      </c>
      <c r="F567" s="50">
        <v>1</v>
      </c>
      <c r="G567" s="59" t="str">
        <f>IFERROR(VLOOKUP(T_Materiales[[#This Row],[UNIDAD DE COMPRA]],[2]!T_Equivalencias[#All],3,0),"")</f>
        <v/>
      </c>
    </row>
    <row r="568" spans="2:7" x14ac:dyDescent="0.25">
      <c r="B568" s="2" t="s">
        <v>51</v>
      </c>
      <c r="C568" s="8" t="s">
        <v>1568</v>
      </c>
      <c r="D568" s="8" t="s">
        <v>78</v>
      </c>
      <c r="E568" s="61">
        <v>2.5000000000000001E-2</v>
      </c>
      <c r="F568" s="50">
        <v>1</v>
      </c>
      <c r="G568" s="59" t="str">
        <f>IFERROR(VLOOKUP(T_Materiales[[#This Row],[UNIDAD DE COMPRA]],[2]!T_Equivalencias[#All],3,0),"")</f>
        <v/>
      </c>
    </row>
    <row r="569" spans="2:7" x14ac:dyDescent="0.25">
      <c r="B569" s="2" t="s">
        <v>50</v>
      </c>
      <c r="C569" s="8" t="s">
        <v>1573</v>
      </c>
      <c r="D569" s="8" t="s">
        <v>78</v>
      </c>
      <c r="E569" s="61">
        <v>4.8</v>
      </c>
      <c r="F569" s="50">
        <v>1</v>
      </c>
      <c r="G569" s="59" t="str">
        <f>IFERROR(VLOOKUP(T_Materiales[[#This Row],[UNIDAD DE COMPRA]],[2]!T_Equivalencias[#All],3,0),"")</f>
        <v/>
      </c>
    </row>
    <row r="570" spans="2:7" x14ac:dyDescent="0.25">
      <c r="B570" s="2" t="s">
        <v>50</v>
      </c>
      <c r="C570" s="8" t="s">
        <v>1576</v>
      </c>
      <c r="D570" s="8" t="s">
        <v>78</v>
      </c>
      <c r="E570" s="61">
        <v>7.5</v>
      </c>
      <c r="F570" s="13">
        <v>1</v>
      </c>
      <c r="G570" s="59" t="str">
        <f>IFERROR(VLOOKUP(T_Materiales[[#This Row],[UNIDAD DE COMPRA]],[2]!T_Equivalencias[#All],3,0),"")</f>
        <v/>
      </c>
    </row>
    <row r="571" spans="2:7" x14ac:dyDescent="0.25">
      <c r="B571" s="2" t="s">
        <v>51</v>
      </c>
      <c r="C571" s="8" t="s">
        <v>1577</v>
      </c>
      <c r="D571" s="8" t="s">
        <v>410</v>
      </c>
      <c r="E571" s="61">
        <v>1.2E-2</v>
      </c>
      <c r="F571" s="13">
        <v>1</v>
      </c>
      <c r="G571" s="59" t="str">
        <f>IFERROR(VLOOKUP(T_Materiales[[#This Row],[UNIDAD DE COMPRA]],[2]!T_Equivalencias[#All],3,0),"")</f>
        <v/>
      </c>
    </row>
    <row r="572" spans="2:7" x14ac:dyDescent="0.25">
      <c r="B572" s="2" t="s">
        <v>51</v>
      </c>
      <c r="C572" s="8" t="s">
        <v>1578</v>
      </c>
      <c r="D572" s="8" t="s">
        <v>396</v>
      </c>
      <c r="E572" s="61">
        <v>0.2</v>
      </c>
      <c r="F572" s="13">
        <v>1</v>
      </c>
      <c r="G572" s="59" t="str">
        <f>IFERROR(VLOOKUP(T_Materiales[[#This Row],[UNIDAD DE COMPRA]],[2]!T_Equivalencias[#All],3,0),"")</f>
        <v/>
      </c>
    </row>
    <row r="573" spans="2:7" x14ac:dyDescent="0.25">
      <c r="B573" s="2" t="s">
        <v>51</v>
      </c>
      <c r="C573" s="8" t="s">
        <v>1581</v>
      </c>
      <c r="D573" s="8" t="s">
        <v>78</v>
      </c>
      <c r="E573" s="61">
        <v>0.36</v>
      </c>
      <c r="F573" s="13">
        <v>1</v>
      </c>
      <c r="G573" s="59" t="str">
        <f>IFERROR(VLOOKUP(T_Materiales[[#This Row],[UNIDAD DE COMPRA]],[2]!T_Equivalencias[#All],3,0),"")</f>
        <v/>
      </c>
    </row>
    <row r="574" spans="2:7" x14ac:dyDescent="0.25">
      <c r="B574" s="2" t="s">
        <v>51</v>
      </c>
      <c r="C574" s="8" t="s">
        <v>1586</v>
      </c>
      <c r="D574" s="8" t="s">
        <v>78</v>
      </c>
      <c r="E574" s="61">
        <v>0.5</v>
      </c>
      <c r="F574" s="13">
        <v>1</v>
      </c>
      <c r="G574" s="59" t="str">
        <f>IFERROR(VLOOKUP(T_Materiales[[#This Row],[UNIDAD DE COMPRA]],[2]!T_Equivalencias[#All],3,0),"")</f>
        <v/>
      </c>
    </row>
    <row r="575" spans="2:7" x14ac:dyDescent="0.25">
      <c r="B575" s="2" t="s">
        <v>51</v>
      </c>
      <c r="C575" s="8" t="s">
        <v>1587</v>
      </c>
      <c r="D575" s="8" t="s">
        <v>78</v>
      </c>
      <c r="E575" s="61">
        <v>0.5</v>
      </c>
      <c r="F575" s="13">
        <v>1</v>
      </c>
      <c r="G575" s="59" t="str">
        <f>IFERROR(VLOOKUP(T_Materiales[[#This Row],[UNIDAD DE COMPRA]],[2]!T_Equivalencias[#All],3,0),"")</f>
        <v/>
      </c>
    </row>
    <row r="576" spans="2:7" x14ac:dyDescent="0.25">
      <c r="B576" s="2" t="s">
        <v>51</v>
      </c>
      <c r="C576" s="8" t="s">
        <v>1588</v>
      </c>
      <c r="D576" s="8" t="s">
        <v>78</v>
      </c>
      <c r="E576" s="61">
        <v>0.42099999999999999</v>
      </c>
      <c r="F576" s="13">
        <v>1</v>
      </c>
      <c r="G576" s="59" t="str">
        <f>IFERROR(VLOOKUP(T_Materiales[[#This Row],[UNIDAD DE COMPRA]],[2]!T_Equivalencias[#All],3,0),"")</f>
        <v/>
      </c>
    </row>
    <row r="577" spans="2:7" x14ac:dyDescent="0.25">
      <c r="B577" s="2" t="s">
        <v>51</v>
      </c>
      <c r="C577" s="8" t="s">
        <v>1591</v>
      </c>
      <c r="D577" s="8" t="s">
        <v>78</v>
      </c>
      <c r="E577" s="61">
        <v>7.0000000000000007E-2</v>
      </c>
      <c r="F577" s="13">
        <v>1</v>
      </c>
      <c r="G577" s="59" t="str">
        <f>IFERROR(VLOOKUP(T_Materiales[[#This Row],[UNIDAD DE COMPRA]],[2]!T_Equivalencias[#All],3,0),"")</f>
        <v/>
      </c>
    </row>
    <row r="578" spans="2:7" x14ac:dyDescent="0.25">
      <c r="B578" s="2" t="s">
        <v>51</v>
      </c>
      <c r="C578" s="8" t="s">
        <v>1592</v>
      </c>
      <c r="D578" s="8" t="s">
        <v>78</v>
      </c>
      <c r="E578" s="61">
        <v>7.0000000000000007E-2</v>
      </c>
      <c r="F578" s="13">
        <v>1</v>
      </c>
      <c r="G578" s="59" t="str">
        <f>IFERROR(VLOOKUP(T_Materiales[[#This Row],[UNIDAD DE COMPRA]],[2]!T_Equivalencias[#All],3,0),"")</f>
        <v/>
      </c>
    </row>
    <row r="579" spans="2:7" x14ac:dyDescent="0.25">
      <c r="B579" s="2" t="s">
        <v>51</v>
      </c>
      <c r="C579" s="8" t="s">
        <v>1593</v>
      </c>
      <c r="D579" s="8" t="s">
        <v>78</v>
      </c>
      <c r="E579" s="61">
        <v>7.0000000000000007E-2</v>
      </c>
      <c r="F579" s="13">
        <v>1</v>
      </c>
      <c r="G579" s="59" t="str">
        <f>IFERROR(VLOOKUP(T_Materiales[[#This Row],[UNIDAD DE COMPRA]],[2]!T_Equivalencias[#All],3,0),"")</f>
        <v/>
      </c>
    </row>
    <row r="580" spans="2:7" x14ac:dyDescent="0.25">
      <c r="B580" s="2" t="s">
        <v>51</v>
      </c>
      <c r="C580" s="8" t="s">
        <v>1594</v>
      </c>
      <c r="D580" s="8" t="s">
        <v>78</v>
      </c>
      <c r="E580" s="61">
        <v>7.0000000000000007E-2</v>
      </c>
      <c r="F580" s="13">
        <v>1</v>
      </c>
      <c r="G580" s="59" t="str">
        <f>IFERROR(VLOOKUP(T_Materiales[[#This Row],[UNIDAD DE COMPRA]],[2]!T_Equivalencias[#All],3,0),"")</f>
        <v/>
      </c>
    </row>
    <row r="581" spans="2:7" x14ac:dyDescent="0.25">
      <c r="B581" s="2" t="s">
        <v>51</v>
      </c>
      <c r="C581" s="8" t="s">
        <v>1595</v>
      </c>
      <c r="D581" s="8" t="s">
        <v>78</v>
      </c>
      <c r="E581" s="61">
        <v>7.0000000000000007E-2</v>
      </c>
      <c r="F581" s="13">
        <v>1</v>
      </c>
      <c r="G581" s="59" t="str">
        <f>IFERROR(VLOOKUP(T_Materiales[[#This Row],[UNIDAD DE COMPRA]],[2]!T_Equivalencias[#All],3,0),"")</f>
        <v/>
      </c>
    </row>
    <row r="582" spans="2:7" x14ac:dyDescent="0.25">
      <c r="B582" s="2" t="s">
        <v>51</v>
      </c>
      <c r="C582" s="8" t="s">
        <v>1596</v>
      </c>
      <c r="D582" s="8" t="s">
        <v>78</v>
      </c>
      <c r="E582" s="61">
        <v>7.0000000000000007E-2</v>
      </c>
      <c r="F582" s="13">
        <v>1</v>
      </c>
      <c r="G582" s="59" t="str">
        <f>IFERROR(VLOOKUP(T_Materiales[[#This Row],[UNIDAD DE COMPRA]],[2]!T_Equivalencias[#All],3,0),"")</f>
        <v/>
      </c>
    </row>
    <row r="583" spans="2:7" x14ac:dyDescent="0.25">
      <c r="B583" s="2" t="s">
        <v>51</v>
      </c>
      <c r="C583" s="8" t="s">
        <v>1597</v>
      </c>
      <c r="D583" s="8" t="s">
        <v>78</v>
      </c>
      <c r="E583" s="61">
        <v>7.0000000000000007E-2</v>
      </c>
      <c r="F583" s="13">
        <v>1</v>
      </c>
      <c r="G583" s="59" t="str">
        <f>IFERROR(VLOOKUP(T_Materiales[[#This Row],[UNIDAD DE COMPRA]],[2]!T_Equivalencias[#All],3,0),"")</f>
        <v/>
      </c>
    </row>
    <row r="584" spans="2:7" x14ac:dyDescent="0.25">
      <c r="B584" s="2" t="s">
        <v>51</v>
      </c>
      <c r="C584" s="8" t="s">
        <v>1599</v>
      </c>
      <c r="D584" s="8" t="s">
        <v>78</v>
      </c>
      <c r="E584" s="61">
        <v>7.0000000000000007E-2</v>
      </c>
      <c r="F584" s="13">
        <v>1</v>
      </c>
      <c r="G584" s="59" t="str">
        <f>IFERROR(VLOOKUP(T_Materiales[[#This Row],[UNIDAD DE COMPRA]],[2]!T_Equivalencias[#All],3,0),"")</f>
        <v/>
      </c>
    </row>
    <row r="585" spans="2:7" x14ac:dyDescent="0.25">
      <c r="B585" s="2" t="s">
        <v>51</v>
      </c>
      <c r="C585" s="8" t="s">
        <v>1598</v>
      </c>
      <c r="D585" s="8" t="s">
        <v>78</v>
      </c>
      <c r="E585" s="61">
        <v>7.0000000000000007E-2</v>
      </c>
      <c r="F585" s="13">
        <v>1</v>
      </c>
      <c r="G585" s="59" t="str">
        <f>IFERROR(VLOOKUP(T_Materiales[[#This Row],[UNIDAD DE COMPRA]],[2]!T_Equivalencias[#All],3,0),"")</f>
        <v/>
      </c>
    </row>
    <row r="586" spans="2:7" x14ac:dyDescent="0.25">
      <c r="B586" s="2" t="s">
        <v>51</v>
      </c>
      <c r="C586" s="8" t="s">
        <v>1589</v>
      </c>
      <c r="D586" s="8" t="s">
        <v>78</v>
      </c>
      <c r="E586" s="61">
        <v>6.2E-2</v>
      </c>
      <c r="F586" s="13">
        <v>1</v>
      </c>
      <c r="G586" s="59" t="str">
        <f>IFERROR(VLOOKUP(T_Materiales[[#This Row],[UNIDAD DE COMPRA]],[2]!T_Equivalencias[#All],3,0),"")</f>
        <v/>
      </c>
    </row>
    <row r="587" spans="2:7" x14ac:dyDescent="0.25">
      <c r="B587" s="2" t="s">
        <v>51</v>
      </c>
      <c r="C587" s="8" t="s">
        <v>1590</v>
      </c>
      <c r="D587" s="8" t="s">
        <v>78</v>
      </c>
      <c r="E587" s="61">
        <v>0.1</v>
      </c>
      <c r="F587" s="13">
        <v>1</v>
      </c>
      <c r="G587" s="59" t="str">
        <f>IFERROR(VLOOKUP(T_Materiales[[#This Row],[UNIDAD DE COMPRA]],[2]!T_Equivalencias[#All],3,0),"")</f>
        <v/>
      </c>
    </row>
    <row r="588" spans="2:7" x14ac:dyDescent="0.25">
      <c r="B588" s="2" t="s">
        <v>50</v>
      </c>
      <c r="C588" s="8" t="s">
        <v>1602</v>
      </c>
      <c r="D588" s="8" t="s">
        <v>78</v>
      </c>
      <c r="E588" s="61">
        <v>4.2</v>
      </c>
      <c r="F588" s="13">
        <v>1</v>
      </c>
      <c r="G588" s="59" t="str">
        <f>IFERROR(VLOOKUP(T_Materiales[[#This Row],[UNIDAD DE COMPRA]],[2]!T_Equivalencias[#All],3,0),"")</f>
        <v/>
      </c>
    </row>
    <row r="589" spans="2:7" x14ac:dyDescent="0.25">
      <c r="B589" s="2" t="s">
        <v>50</v>
      </c>
      <c r="C589" s="8" t="s">
        <v>1603</v>
      </c>
      <c r="D589" s="8" t="s">
        <v>78</v>
      </c>
      <c r="E589" s="61">
        <v>7</v>
      </c>
      <c r="F589" s="13">
        <v>1</v>
      </c>
      <c r="G589" s="59" t="str">
        <f>IFERROR(VLOOKUP(T_Materiales[[#This Row],[UNIDAD DE COMPRA]],[2]!T_Equivalencias[#All],3,0),"")</f>
        <v/>
      </c>
    </row>
    <row r="590" spans="2:7" x14ac:dyDescent="0.25">
      <c r="B590" s="2" t="s">
        <v>51</v>
      </c>
      <c r="C590" s="8" t="s">
        <v>1606</v>
      </c>
      <c r="D590" s="8" t="s">
        <v>78</v>
      </c>
      <c r="E590" s="61">
        <v>0.6</v>
      </c>
      <c r="F590" s="13">
        <v>1</v>
      </c>
      <c r="G590" s="59" t="str">
        <f>IFERROR(VLOOKUP(T_Materiales[[#This Row],[UNIDAD DE COMPRA]],[2]!T_Equivalencias[#All],3,0),"")</f>
        <v/>
      </c>
    </row>
    <row r="591" spans="2:7" x14ac:dyDescent="0.25">
      <c r="B591" s="2" t="s">
        <v>51</v>
      </c>
      <c r="C591" s="8" t="s">
        <v>1607</v>
      </c>
      <c r="D591" s="8" t="s">
        <v>78</v>
      </c>
      <c r="E591" s="61">
        <v>0.28000000000000003</v>
      </c>
      <c r="F591" s="13">
        <v>1</v>
      </c>
      <c r="G591" s="59" t="str">
        <f>IFERROR(VLOOKUP(T_Materiales[[#This Row],[UNIDAD DE COMPRA]],[2]!T_Equivalencias[#All],3,0),"")</f>
        <v/>
      </c>
    </row>
    <row r="592" spans="2:7" x14ac:dyDescent="0.25">
      <c r="B592" s="2" t="s">
        <v>51</v>
      </c>
      <c r="C592" s="8" t="s">
        <v>1608</v>
      </c>
      <c r="D592" s="8" t="s">
        <v>78</v>
      </c>
      <c r="E592" s="61">
        <v>0.1</v>
      </c>
      <c r="F592" s="50">
        <v>1</v>
      </c>
      <c r="G592" s="59" t="str">
        <f>IFERROR(VLOOKUP(T_Materiales[[#This Row],[UNIDAD DE COMPRA]],[2]!T_Equivalencias[#All],3,0),"")</f>
        <v/>
      </c>
    </row>
    <row r="593" spans="2:7" x14ac:dyDescent="0.25">
      <c r="B593" s="2" t="s">
        <v>50</v>
      </c>
      <c r="C593" s="8" t="s">
        <v>1611</v>
      </c>
      <c r="D593" s="8" t="s">
        <v>78</v>
      </c>
      <c r="E593" s="61">
        <v>3</v>
      </c>
      <c r="F593" s="50">
        <v>1</v>
      </c>
      <c r="G593" s="59" t="str">
        <f>IFERROR(VLOOKUP(T_Materiales[[#This Row],[UNIDAD DE COMPRA]],[2]!T_Equivalencias[#All],3,0),"")</f>
        <v/>
      </c>
    </row>
    <row r="594" spans="2:7" x14ac:dyDescent="0.25">
      <c r="B594" s="2" t="s">
        <v>51</v>
      </c>
      <c r="C594" s="8" t="s">
        <v>1620</v>
      </c>
      <c r="D594" s="8" t="s">
        <v>396</v>
      </c>
      <c r="E594" s="61">
        <v>0.24</v>
      </c>
      <c r="F594" s="50">
        <v>1</v>
      </c>
      <c r="G594" s="59" t="str">
        <f>IFERROR(VLOOKUP(T_Materiales[[#This Row],[UNIDAD DE COMPRA]],[2]!T_Equivalencias[#All],3,0),"")</f>
        <v/>
      </c>
    </row>
    <row r="595" spans="2:7" x14ac:dyDescent="0.25">
      <c r="B595" s="2" t="s">
        <v>51</v>
      </c>
      <c r="C595" s="8" t="s">
        <v>1621</v>
      </c>
      <c r="D595" s="8" t="s">
        <v>396</v>
      </c>
      <c r="E595" s="61">
        <v>0.1</v>
      </c>
      <c r="F595" s="50">
        <v>1</v>
      </c>
      <c r="G595" s="59" t="str">
        <f>IFERROR(VLOOKUP(T_Materiales[[#This Row],[UNIDAD DE COMPRA]],[2]!T_Equivalencias[#All],3,0),"")</f>
        <v/>
      </c>
    </row>
    <row r="596" spans="2:7" x14ac:dyDescent="0.25">
      <c r="B596" s="2" t="s">
        <v>50</v>
      </c>
      <c r="C596" s="8" t="s">
        <v>1631</v>
      </c>
      <c r="D596" s="8" t="s">
        <v>78</v>
      </c>
      <c r="E596" s="61">
        <v>9.6999999999999993</v>
      </c>
      <c r="F596" s="50">
        <v>1</v>
      </c>
      <c r="G596" s="59" t="str">
        <f>IFERROR(VLOOKUP(T_Materiales[[#This Row],[UNIDAD DE COMPRA]],[2]!T_Equivalencias[#All],3,0),"")</f>
        <v/>
      </c>
    </row>
    <row r="597" spans="2:7" x14ac:dyDescent="0.25">
      <c r="B597" s="2" t="s">
        <v>50</v>
      </c>
      <c r="C597" s="8" t="s">
        <v>1632</v>
      </c>
      <c r="D597" s="8" t="s">
        <v>78</v>
      </c>
      <c r="E597" s="45">
        <v>4.5</v>
      </c>
      <c r="F597" s="50">
        <v>1</v>
      </c>
      <c r="G597" s="59" t="str">
        <f>IFERROR(VLOOKUP(T_Materiales[[#This Row],[UNIDAD DE COMPRA]],[2]!T_Equivalencias[#All],3,0),"")</f>
        <v/>
      </c>
    </row>
    <row r="598" spans="2:7" x14ac:dyDescent="0.25">
      <c r="B598" s="2" t="s">
        <v>51</v>
      </c>
      <c r="C598" s="8" t="s">
        <v>1633</v>
      </c>
      <c r="D598" s="8" t="s">
        <v>78</v>
      </c>
      <c r="E598" s="61">
        <v>0.26100000000000001</v>
      </c>
      <c r="F598" s="50">
        <v>1</v>
      </c>
      <c r="G598" s="59" t="str">
        <f>IFERROR(VLOOKUP(T_Materiales[[#This Row],[UNIDAD DE COMPRA]],[2]!T_Equivalencias[#All],3,0),"")</f>
        <v/>
      </c>
    </row>
    <row r="599" spans="2:7" x14ac:dyDescent="0.25">
      <c r="B599" s="2" t="s">
        <v>50</v>
      </c>
      <c r="C599" s="8" t="s">
        <v>1636</v>
      </c>
      <c r="D599" s="8" t="s">
        <v>78</v>
      </c>
      <c r="E599" s="61">
        <v>15</v>
      </c>
      <c r="F599" s="50">
        <v>1</v>
      </c>
      <c r="G599" s="59" t="str">
        <f>IFERROR(VLOOKUP(T_Materiales[[#This Row],[UNIDAD DE COMPRA]],[2]!T_Equivalencias[#All],3,0),"")</f>
        <v/>
      </c>
    </row>
    <row r="600" spans="2:7" x14ac:dyDescent="0.25">
      <c r="B600" s="2" t="s">
        <v>1637</v>
      </c>
      <c r="C600" s="62" t="s">
        <v>1638</v>
      </c>
      <c r="D600" s="8" t="s">
        <v>396</v>
      </c>
      <c r="E600" s="61">
        <v>0.03</v>
      </c>
      <c r="F600" s="50">
        <v>1</v>
      </c>
      <c r="G600" s="59" t="str">
        <f>IFERROR(VLOOKUP(T_Materiales[[#This Row],[UNIDAD DE COMPRA]],[2]!T_Equivalencias[#All],3,0),"")</f>
        <v/>
      </c>
    </row>
    <row r="601" spans="2:7" x14ac:dyDescent="0.25">
      <c r="B601" s="2" t="s">
        <v>50</v>
      </c>
      <c r="C601" s="8" t="s">
        <v>1645</v>
      </c>
      <c r="D601" s="8" t="s">
        <v>78</v>
      </c>
      <c r="E601" s="61">
        <v>5</v>
      </c>
      <c r="F601" s="50">
        <v>1</v>
      </c>
      <c r="G601" s="59" t="str">
        <f>IFERROR(VLOOKUP(T_Materiales[[#This Row],[UNIDAD DE COMPRA]],[2]!T_Equivalencias[#All],3,0),"")</f>
        <v/>
      </c>
    </row>
    <row r="602" spans="2:7" x14ac:dyDescent="0.25">
      <c r="B602" s="2" t="s">
        <v>51</v>
      </c>
      <c r="C602" s="8" t="s">
        <v>1652</v>
      </c>
      <c r="D602" s="8" t="s">
        <v>396</v>
      </c>
      <c r="E602" s="61">
        <v>0.05</v>
      </c>
      <c r="F602" s="50">
        <v>1</v>
      </c>
      <c r="G602" s="59" t="str">
        <f>IFERROR(VLOOKUP(T_Materiales[[#This Row],[UNIDAD DE COMPRA]],[2]!T_Equivalencias[#All],3,0),"")</f>
        <v/>
      </c>
    </row>
    <row r="603" spans="2:7" x14ac:dyDescent="0.25">
      <c r="B603" s="2" t="s">
        <v>50</v>
      </c>
      <c r="C603" s="8" t="s">
        <v>1655</v>
      </c>
      <c r="D603" s="8" t="s">
        <v>78</v>
      </c>
      <c r="E603" s="61">
        <v>4.5</v>
      </c>
      <c r="F603" s="50">
        <v>1</v>
      </c>
      <c r="G603" s="59" t="str">
        <f>IFERROR(VLOOKUP(T_Materiales[[#This Row],[UNIDAD DE COMPRA]],[2]!T_Equivalencias[#All],3,0),"")</f>
        <v/>
      </c>
    </row>
    <row r="604" spans="2:7" x14ac:dyDescent="0.25">
      <c r="B604" s="2" t="s">
        <v>50</v>
      </c>
      <c r="C604" s="8" t="s">
        <v>1656</v>
      </c>
      <c r="D604" s="8" t="s">
        <v>78</v>
      </c>
      <c r="E604" s="61">
        <v>6.6</v>
      </c>
      <c r="F604" s="50">
        <v>1</v>
      </c>
      <c r="G604" s="59" t="str">
        <f>IFERROR(VLOOKUP(T_Materiales[[#This Row],[UNIDAD DE COMPRA]],[2]!T_Equivalencias[#All],3,0),"")</f>
        <v/>
      </c>
    </row>
    <row r="605" spans="2:7" x14ac:dyDescent="0.25">
      <c r="B605" s="2" t="s">
        <v>1543</v>
      </c>
      <c r="C605" s="8" t="s">
        <v>1666</v>
      </c>
      <c r="D605" s="8" t="s">
        <v>78</v>
      </c>
      <c r="E605" s="61">
        <v>6.6</v>
      </c>
      <c r="F605" s="50">
        <v>1</v>
      </c>
      <c r="G605" s="59" t="str">
        <f>IFERROR(VLOOKUP(T_Materiales[[#This Row],[UNIDAD DE COMPRA]],[2]!T_Equivalencias[#All],3,0),"")</f>
        <v/>
      </c>
    </row>
    <row r="606" spans="2:7" x14ac:dyDescent="0.25">
      <c r="B606" s="2" t="s">
        <v>51</v>
      </c>
      <c r="C606" s="8" t="s">
        <v>1671</v>
      </c>
      <c r="D606" s="8" t="s">
        <v>396</v>
      </c>
      <c r="E606" s="61">
        <v>0.58399999999999996</v>
      </c>
      <c r="F606" s="50">
        <v>1</v>
      </c>
      <c r="G606" s="59" t="str">
        <f>IFERROR(VLOOKUP(T_Materiales[[#This Row],[UNIDAD DE COMPRA]],[2]!T_Equivalencias[#All],3,0),"")</f>
        <v/>
      </c>
    </row>
    <row r="607" spans="2:7" x14ac:dyDescent="0.25">
      <c r="B607" s="2" t="s">
        <v>50</v>
      </c>
      <c r="C607" s="8" t="s">
        <v>1674</v>
      </c>
      <c r="D607" s="8" t="s">
        <v>78</v>
      </c>
      <c r="E607" s="61">
        <v>9</v>
      </c>
      <c r="F607" s="50">
        <v>1</v>
      </c>
      <c r="G607" s="59" t="str">
        <f>IFERROR(VLOOKUP(T_Materiales[[#This Row],[UNIDAD DE COMPRA]],[2]!T_Equivalencias[#All],3,0),"")</f>
        <v/>
      </c>
    </row>
    <row r="608" spans="2:7" x14ac:dyDescent="0.25">
      <c r="B608" s="2" t="s">
        <v>50</v>
      </c>
      <c r="C608" s="8" t="s">
        <v>1677</v>
      </c>
      <c r="D608" s="8" t="s">
        <v>78</v>
      </c>
      <c r="E608" s="61">
        <v>11</v>
      </c>
      <c r="F608" s="50">
        <v>1</v>
      </c>
      <c r="G608" s="59" t="str">
        <f>IFERROR(VLOOKUP(T_Materiales[[#This Row],[UNIDAD DE COMPRA]],[2]!T_Equivalencias[#All],3,0),"")</f>
        <v/>
      </c>
    </row>
    <row r="609" spans="2:7" x14ac:dyDescent="0.25">
      <c r="B609" s="2" t="s">
        <v>1543</v>
      </c>
      <c r="C609" s="8" t="s">
        <v>1680</v>
      </c>
      <c r="D609" s="8" t="s">
        <v>78</v>
      </c>
      <c r="E609" s="61">
        <v>9.5</v>
      </c>
      <c r="F609" s="50">
        <v>1</v>
      </c>
      <c r="G609" s="59" t="str">
        <f>IFERROR(VLOOKUP(T_Materiales[[#This Row],[UNIDAD DE COMPRA]],[2]!T_Equivalencias[#All],3,0),"")</f>
        <v/>
      </c>
    </row>
    <row r="610" spans="2:7" x14ac:dyDescent="0.25">
      <c r="B610" s="2" t="s">
        <v>51</v>
      </c>
      <c r="C610" s="8" t="s">
        <v>1282</v>
      </c>
      <c r="D610" s="8" t="s">
        <v>78</v>
      </c>
      <c r="E610" s="61">
        <v>0.156</v>
      </c>
      <c r="F610" s="50">
        <v>1</v>
      </c>
      <c r="G610" s="59" t="str">
        <f>IFERROR(VLOOKUP(T_Materiales[[#This Row],[UNIDAD DE COMPRA]],[2]!T_Equivalencias[#All],3,0),"")</f>
        <v/>
      </c>
    </row>
    <row r="611" spans="2:7" x14ac:dyDescent="0.25">
      <c r="B611" s="2" t="s">
        <v>50</v>
      </c>
      <c r="C611" s="8" t="s">
        <v>1687</v>
      </c>
      <c r="D611" s="8" t="s">
        <v>78</v>
      </c>
      <c r="E611" s="61">
        <v>12</v>
      </c>
      <c r="F611" s="50">
        <v>1</v>
      </c>
      <c r="G611" s="59" t="str">
        <f>IFERROR(VLOOKUP(T_Materiales[[#This Row],[UNIDAD DE COMPRA]],[2]!T_Equivalencias[#All],3,0),"")</f>
        <v/>
      </c>
    </row>
    <row r="612" spans="2:7" x14ac:dyDescent="0.25">
      <c r="B612" s="2" t="s">
        <v>50</v>
      </c>
      <c r="C612" s="8" t="s">
        <v>1688</v>
      </c>
      <c r="D612" s="8" t="s">
        <v>78</v>
      </c>
      <c r="E612" s="61">
        <v>35</v>
      </c>
      <c r="F612" s="50">
        <v>1</v>
      </c>
      <c r="G612" s="59" t="str">
        <f>IFERROR(VLOOKUP(T_Materiales[[#This Row],[UNIDAD DE COMPRA]],[2]!T_Equivalencias[#All],3,0),"")</f>
        <v/>
      </c>
    </row>
    <row r="613" spans="2:7" x14ac:dyDescent="0.25">
      <c r="B613" s="2" t="s">
        <v>50</v>
      </c>
      <c r="C613" s="8" t="s">
        <v>1693</v>
      </c>
      <c r="D613" s="8" t="s">
        <v>78</v>
      </c>
      <c r="E613" s="61">
        <v>9.5</v>
      </c>
      <c r="F613" s="50">
        <v>1</v>
      </c>
      <c r="G613" s="59" t="str">
        <f>IFERROR(VLOOKUP(T_Materiales[[#This Row],[UNIDAD DE COMPRA]],[2]!T_Equivalencias[#All],3,0),"")</f>
        <v/>
      </c>
    </row>
    <row r="614" spans="2:7" x14ac:dyDescent="0.25">
      <c r="B614" s="2" t="s">
        <v>51</v>
      </c>
      <c r="C614" s="8" t="s">
        <v>1698</v>
      </c>
      <c r="D614" s="8" t="s">
        <v>396</v>
      </c>
      <c r="E614" s="61">
        <v>0.11</v>
      </c>
      <c r="F614" s="50">
        <v>1</v>
      </c>
      <c r="G614" s="59" t="str">
        <f>IFERROR(VLOOKUP(T_Materiales[[#This Row],[UNIDAD DE COMPRA]],[2]!T_Equivalencias[#All],3,0),"")</f>
        <v/>
      </c>
    </row>
    <row r="615" spans="2:7" x14ac:dyDescent="0.25">
      <c r="B615" s="2" t="s">
        <v>51</v>
      </c>
      <c r="C615" s="8" t="s">
        <v>1696</v>
      </c>
      <c r="D615" s="8" t="s">
        <v>78</v>
      </c>
      <c r="E615" s="61">
        <v>0.24</v>
      </c>
      <c r="F615" s="50">
        <v>1</v>
      </c>
      <c r="G615" s="59" t="str">
        <f>IFERROR(VLOOKUP(T_Materiales[[#This Row],[UNIDAD DE COMPRA]],[2]!T_Equivalencias[#All],3,0),"")</f>
        <v/>
      </c>
    </row>
    <row r="616" spans="2:7" x14ac:dyDescent="0.25">
      <c r="B616" s="2" t="s">
        <v>50</v>
      </c>
      <c r="C616" s="8" t="s">
        <v>1707</v>
      </c>
      <c r="D616" s="8" t="s">
        <v>78</v>
      </c>
      <c r="E616" s="61">
        <v>4.2</v>
      </c>
      <c r="F616" s="50">
        <v>1</v>
      </c>
      <c r="G616" s="59" t="str">
        <f>IFERROR(VLOOKUP(T_Materiales[[#This Row],[UNIDAD DE COMPRA]],[2]!T_Equivalencias[#All],3,0),"")</f>
        <v/>
      </c>
    </row>
    <row r="617" spans="2:7" x14ac:dyDescent="0.25">
      <c r="B617" s="2" t="s">
        <v>50</v>
      </c>
      <c r="C617" s="8" t="s">
        <v>1712</v>
      </c>
      <c r="D617" s="8" t="s">
        <v>78</v>
      </c>
      <c r="E617" s="61">
        <v>4.2</v>
      </c>
      <c r="F617" s="50">
        <v>1</v>
      </c>
      <c r="G617" s="59" t="str">
        <f>IFERROR(VLOOKUP(T_Materiales[[#This Row],[UNIDAD DE COMPRA]],[2]!T_Equivalencias[#All],3,0),"")</f>
        <v/>
      </c>
    </row>
    <row r="618" spans="2:7" x14ac:dyDescent="0.25">
      <c r="B618" s="2" t="s">
        <v>51</v>
      </c>
      <c r="C618" s="8" t="s">
        <v>1722</v>
      </c>
      <c r="D618" s="8" t="s">
        <v>78</v>
      </c>
      <c r="E618" s="61">
        <v>0.1</v>
      </c>
      <c r="F618" s="50">
        <v>1</v>
      </c>
      <c r="G618" s="59" t="str">
        <f>IFERROR(VLOOKUP(T_Materiales[[#This Row],[UNIDAD DE COMPRA]],[2]!T_Equivalencias[#All],3,0),"")</f>
        <v/>
      </c>
    </row>
    <row r="619" spans="2:7" x14ac:dyDescent="0.25">
      <c r="B619" s="59"/>
      <c r="C619" s="62"/>
      <c r="D619" s="62"/>
      <c r="E619" s="61"/>
      <c r="F619" s="13"/>
      <c r="G619" s="59" t="str">
        <f>IFERROR(VLOOKUP(T_Materiales[[#This Row],[UNIDAD DE COMPRA]],[2]!T_Equivalencias[#All],3,0),"")</f>
        <v/>
      </c>
    </row>
    <row r="620" spans="2:7" x14ac:dyDescent="0.25">
      <c r="B620" s="59"/>
      <c r="C620" s="62"/>
      <c r="D620" s="62"/>
      <c r="E620" s="61"/>
      <c r="F620" s="13"/>
      <c r="G620" s="59" t="str">
        <f>IFERROR(VLOOKUP(T_Materiales[[#This Row],[UNIDAD DE COMPRA]],[2]!T_Equivalencias[#All],3,0),"")</f>
        <v/>
      </c>
    </row>
    <row r="621" spans="2:7" x14ac:dyDescent="0.25">
      <c r="B621" s="59"/>
      <c r="C621" s="62"/>
      <c r="D621" s="62"/>
      <c r="E621" s="61"/>
      <c r="F621" s="13"/>
      <c r="G621" s="59"/>
    </row>
    <row r="622" spans="2:7" x14ac:dyDescent="0.25">
      <c r="B622" s="59"/>
      <c r="C622" s="62"/>
      <c r="D622" s="62"/>
      <c r="E622" s="61"/>
      <c r="F622" s="13"/>
      <c r="G622" s="59"/>
    </row>
    <row r="623" spans="2:7" x14ac:dyDescent="0.25">
      <c r="B623" s="59"/>
      <c r="C623" s="62"/>
      <c r="D623" s="62"/>
      <c r="E623" s="61"/>
      <c r="F623" s="13"/>
      <c r="G623" s="59"/>
    </row>
    <row r="624" spans="2:7" x14ac:dyDescent="0.25">
      <c r="B624" s="59"/>
      <c r="C624" s="62"/>
      <c r="D624" s="62"/>
      <c r="E624" s="61"/>
      <c r="F624" s="13"/>
      <c r="G624" s="59"/>
    </row>
    <row r="625" spans="2:7" x14ac:dyDescent="0.25">
      <c r="B625" s="59"/>
      <c r="C625" s="62"/>
      <c r="D625" s="62"/>
      <c r="E625" s="61"/>
      <c r="F625" s="13"/>
      <c r="G625" s="59"/>
    </row>
    <row r="626" spans="2:7" x14ac:dyDescent="0.25">
      <c r="B626" s="59"/>
      <c r="C626" s="62"/>
      <c r="D626" s="62"/>
      <c r="E626" s="61"/>
      <c r="F626" s="13"/>
      <c r="G626" s="59"/>
    </row>
    <row r="627" spans="2:7" x14ac:dyDescent="0.25">
      <c r="B627" s="59"/>
      <c r="C627" s="62"/>
      <c r="D627" s="62"/>
      <c r="E627" s="61"/>
      <c r="F627" s="13"/>
      <c r="G627" s="59"/>
    </row>
    <row r="628" spans="2:7" x14ac:dyDescent="0.25">
      <c r="B628" s="59"/>
      <c r="C628" s="62"/>
      <c r="D628" s="62"/>
      <c r="E628" s="61"/>
      <c r="F628" s="13"/>
      <c r="G628" s="59"/>
    </row>
    <row r="629" spans="2:7" x14ac:dyDescent="0.25">
      <c r="B629" s="59"/>
      <c r="C629" s="62"/>
      <c r="D629" s="62"/>
      <c r="E629" s="61"/>
      <c r="F629" s="13"/>
      <c r="G629" s="59"/>
    </row>
    <row r="630" spans="2:7" x14ac:dyDescent="0.25">
      <c r="B630" s="59"/>
      <c r="C630" s="62"/>
      <c r="D630" s="62"/>
      <c r="E630" s="61"/>
      <c r="F630" s="13"/>
      <c r="G630" s="59"/>
    </row>
    <row r="631" spans="2:7" x14ac:dyDescent="0.25">
      <c r="B631" s="59"/>
      <c r="C631" s="62"/>
      <c r="D631" s="62"/>
      <c r="E631" s="61"/>
      <c r="F631" s="13"/>
      <c r="G631" s="59"/>
    </row>
    <row r="632" spans="2:7" x14ac:dyDescent="0.25">
      <c r="B632" s="59"/>
      <c r="C632" s="62"/>
      <c r="D632" s="62"/>
      <c r="E632" s="61"/>
      <c r="F632" s="13"/>
      <c r="G632" s="59"/>
    </row>
    <row r="633" spans="2:7" x14ac:dyDescent="0.25">
      <c r="B633" s="59"/>
      <c r="C633" s="62"/>
      <c r="D633" s="62"/>
      <c r="E633" s="61"/>
      <c r="F633" s="13"/>
      <c r="G633" s="59"/>
    </row>
    <row r="634" spans="2:7" x14ac:dyDescent="0.25">
      <c r="B634" s="59"/>
      <c r="C634" s="62"/>
      <c r="D634" s="62"/>
      <c r="E634" s="61"/>
      <c r="F634" s="13"/>
      <c r="G634" s="59"/>
    </row>
    <row r="635" spans="2:7" x14ac:dyDescent="0.25">
      <c r="B635" s="59"/>
      <c r="C635" s="62"/>
      <c r="D635" s="62"/>
      <c r="E635" s="61"/>
      <c r="F635" s="13"/>
      <c r="G635" s="59"/>
    </row>
    <row r="636" spans="2:7" x14ac:dyDescent="0.25">
      <c r="B636" s="59"/>
      <c r="C636" s="62"/>
      <c r="D636" s="62"/>
      <c r="E636" s="61"/>
      <c r="F636" s="13"/>
      <c r="G636" s="59"/>
    </row>
    <row r="642" spans="2:5" x14ac:dyDescent="0.25">
      <c r="B642" s="17" t="s">
        <v>432</v>
      </c>
      <c r="C642" s="17" t="s">
        <v>433</v>
      </c>
      <c r="D642" s="17" t="s">
        <v>434</v>
      </c>
      <c r="E642" s="17" t="s">
        <v>435</v>
      </c>
    </row>
    <row r="643" spans="2:5" x14ac:dyDescent="0.25">
      <c r="B643" s="18" t="s">
        <v>408</v>
      </c>
      <c r="C643" s="18">
        <v>1000</v>
      </c>
      <c r="D643" s="18" t="s">
        <v>410</v>
      </c>
      <c r="E643" s="19"/>
    </row>
    <row r="644" spans="2:5" x14ac:dyDescent="0.25">
      <c r="B644" s="18" t="s">
        <v>78</v>
      </c>
      <c r="C644" s="18">
        <v>1</v>
      </c>
      <c r="D644" s="18" t="s">
        <v>78</v>
      </c>
      <c r="E644" s="19"/>
    </row>
    <row r="645" spans="2:5" x14ac:dyDescent="0.25">
      <c r="B645" s="18" t="s">
        <v>436</v>
      </c>
      <c r="C645" s="18">
        <v>0.91439999999999999</v>
      </c>
      <c r="D645" s="18" t="s">
        <v>78</v>
      </c>
      <c r="E645" s="19"/>
    </row>
    <row r="646" spans="2:5" x14ac:dyDescent="0.25">
      <c r="B646" s="18" t="s">
        <v>437</v>
      </c>
      <c r="C646" s="18">
        <v>144</v>
      </c>
      <c r="D646" s="18" t="s">
        <v>396</v>
      </c>
      <c r="E646" s="19"/>
    </row>
    <row r="647" spans="2:5" x14ac:dyDescent="0.25">
      <c r="B647" s="18" t="s">
        <v>381</v>
      </c>
      <c r="C647" s="18">
        <v>1000</v>
      </c>
      <c r="D647" s="18" t="s">
        <v>396</v>
      </c>
      <c r="E647" s="19"/>
    </row>
    <row r="648" spans="2:5" x14ac:dyDescent="0.25">
      <c r="B648" s="18" t="s">
        <v>260</v>
      </c>
      <c r="C648" s="18">
        <v>100</v>
      </c>
      <c r="D648" s="18" t="s">
        <v>396</v>
      </c>
      <c r="E648" s="19"/>
    </row>
    <row r="649" spans="2:5" x14ac:dyDescent="0.25">
      <c r="B649" s="18" t="s">
        <v>438</v>
      </c>
      <c r="C649" s="18">
        <v>12</v>
      </c>
      <c r="D649" s="18" t="s">
        <v>396</v>
      </c>
      <c r="E649" s="19"/>
    </row>
    <row r="650" spans="2:5" x14ac:dyDescent="0.25">
      <c r="B650" s="18" t="s">
        <v>439</v>
      </c>
      <c r="C650" s="18">
        <v>1</v>
      </c>
      <c r="D650" s="18" t="s">
        <v>396</v>
      </c>
      <c r="E650" s="19"/>
    </row>
    <row r="651" spans="2:5" x14ac:dyDescent="0.25">
      <c r="B651" s="18" t="s">
        <v>440</v>
      </c>
      <c r="C651" s="18"/>
      <c r="D651" s="18" t="s">
        <v>396</v>
      </c>
      <c r="E651" s="19" t="s">
        <v>441</v>
      </c>
    </row>
    <row r="652" spans="2:5" x14ac:dyDescent="0.25">
      <c r="B652" s="18" t="s">
        <v>442</v>
      </c>
      <c r="C652" s="18">
        <v>4572</v>
      </c>
      <c r="D652" s="18" t="s">
        <v>78</v>
      </c>
      <c r="E652" s="19" t="s">
        <v>443</v>
      </c>
    </row>
    <row r="653" spans="2:5" x14ac:dyDescent="0.25">
      <c r="B653" s="18" t="s">
        <v>264</v>
      </c>
      <c r="C653" s="18"/>
      <c r="D653" s="18" t="s">
        <v>78</v>
      </c>
      <c r="E653" s="19" t="s">
        <v>444</v>
      </c>
    </row>
    <row r="654" spans="2:5" x14ac:dyDescent="0.25">
      <c r="B654" s="18" t="s">
        <v>286</v>
      </c>
      <c r="C654" s="18"/>
      <c r="D654" s="18" t="s">
        <v>78</v>
      </c>
      <c r="E654" s="19" t="s">
        <v>445</v>
      </c>
    </row>
    <row r="655" spans="2:5" x14ac:dyDescent="0.25">
      <c r="B655" s="18" t="s">
        <v>446</v>
      </c>
      <c r="C655" s="18"/>
      <c r="D655" s="18" t="s">
        <v>78</v>
      </c>
      <c r="E655" s="19" t="s">
        <v>447</v>
      </c>
    </row>
    <row r="656" spans="2:5" x14ac:dyDescent="0.25">
      <c r="B656" s="18" t="s">
        <v>385</v>
      </c>
      <c r="C656" s="18">
        <f>+C646*12</f>
        <v>1728</v>
      </c>
      <c r="D656" s="18" t="s">
        <v>396</v>
      </c>
      <c r="E656" s="19"/>
    </row>
    <row r="657" spans="2:5" x14ac:dyDescent="0.25">
      <c r="B657" s="18" t="s">
        <v>317</v>
      </c>
      <c r="C657" s="18"/>
      <c r="D657" s="18" t="s">
        <v>78</v>
      </c>
      <c r="E657" s="19"/>
    </row>
    <row r="658" spans="2:5" x14ac:dyDescent="0.25">
      <c r="B658" s="18" t="s">
        <v>321</v>
      </c>
      <c r="C658" s="18">
        <v>45</v>
      </c>
      <c r="D658" s="18" t="s">
        <v>78</v>
      </c>
      <c r="E658" s="19"/>
    </row>
    <row r="659" spans="2:5" x14ac:dyDescent="0.25">
      <c r="B659" s="20" t="s">
        <v>289</v>
      </c>
      <c r="C659" s="18">
        <v>10</v>
      </c>
      <c r="D659" s="20" t="s">
        <v>78</v>
      </c>
      <c r="E659" s="19"/>
    </row>
    <row r="660" spans="2:5" x14ac:dyDescent="0.25">
      <c r="B660" s="20" t="s">
        <v>368</v>
      </c>
      <c r="C660" s="18">
        <v>120</v>
      </c>
      <c r="D660" s="20" t="s">
        <v>396</v>
      </c>
      <c r="E660" s="19"/>
    </row>
    <row r="661" spans="2:5" x14ac:dyDescent="0.25">
      <c r="B661" s="20" t="s">
        <v>414</v>
      </c>
      <c r="C661" s="18">
        <v>1000</v>
      </c>
      <c r="D661" s="20" t="s">
        <v>448</v>
      </c>
      <c r="E661" s="19"/>
    </row>
    <row r="662" spans="2:5" x14ac:dyDescent="0.25">
      <c r="B662" s="18"/>
      <c r="C662" s="18"/>
      <c r="D662" s="18"/>
      <c r="E662" s="19"/>
    </row>
    <row r="663" spans="2:5" x14ac:dyDescent="0.25">
      <c r="B663" s="18"/>
      <c r="C663" s="18"/>
      <c r="D663" s="18"/>
      <c r="E663" s="19"/>
    </row>
    <row r="664" spans="2:5" x14ac:dyDescent="0.25">
      <c r="B664" s="18"/>
      <c r="C664" s="18"/>
      <c r="D664" s="18"/>
      <c r="E664" s="19"/>
    </row>
    <row r="665" spans="2:5" x14ac:dyDescent="0.25">
      <c r="B665" s="18"/>
      <c r="C665" s="18"/>
      <c r="D665" s="18"/>
      <c r="E665" s="19"/>
    </row>
    <row r="666" spans="2:5" x14ac:dyDescent="0.25">
      <c r="B666" s="18"/>
      <c r="C666" s="18"/>
      <c r="D666" s="18"/>
      <c r="E666" s="19"/>
    </row>
  </sheetData>
  <dataValidations count="2">
    <dataValidation type="list" allowBlank="1" showInputMessage="1" showErrorMessage="1" sqref="D360 D366:D437 D3:D358" xr:uid="{EAC2B1F4-BAD7-4C24-A728-9A87228D2DCD}">
      <formula1>INDIRECT("T_Equivalencias[Unidad de compra]")</formula1>
    </dataValidation>
    <dataValidation type="list" allowBlank="1" showInputMessage="1" showErrorMessage="1" sqref="B3:B359 B366:B436" xr:uid="{034E8522-4154-4DCA-BDA5-57745D8AD84A}">
      <formula1>"TELA, AVIOS, INSUMOS"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4D0A-F5A3-40AA-B47B-596F5E1C6EFC}">
  <dimension ref="A1:D375"/>
  <sheetViews>
    <sheetView topLeftCell="A220" workbookViewId="0">
      <selection activeCell="D380" sqref="D380"/>
    </sheetView>
  </sheetViews>
  <sheetFormatPr baseColWidth="10" defaultRowHeight="15" x14ac:dyDescent="0.25"/>
  <cols>
    <col min="3" max="3" width="63.42578125" customWidth="1"/>
  </cols>
  <sheetData>
    <row r="1" spans="1:4" x14ac:dyDescent="0.25">
      <c r="A1" t="s">
        <v>632</v>
      </c>
      <c r="B1" t="s">
        <v>633</v>
      </c>
      <c r="C1" t="s">
        <v>634</v>
      </c>
      <c r="D1" t="s">
        <v>632</v>
      </c>
    </row>
    <row r="2" spans="1:4" x14ac:dyDescent="0.25">
      <c r="A2" t="s">
        <v>635</v>
      </c>
      <c r="B2" s="47" t="s">
        <v>636</v>
      </c>
      <c r="C2" t="s">
        <v>259</v>
      </c>
      <c r="D2" t="s">
        <v>635</v>
      </c>
    </row>
    <row r="3" spans="1:4" x14ac:dyDescent="0.25">
      <c r="A3" t="s">
        <v>637</v>
      </c>
      <c r="B3" s="47" t="s">
        <v>636</v>
      </c>
      <c r="C3" t="s">
        <v>261</v>
      </c>
      <c r="D3" t="s">
        <v>637</v>
      </c>
    </row>
    <row r="4" spans="1:4" x14ac:dyDescent="0.25">
      <c r="A4" t="s">
        <v>638</v>
      </c>
      <c r="B4" s="47" t="s">
        <v>636</v>
      </c>
      <c r="C4" t="s">
        <v>262</v>
      </c>
      <c r="D4" t="s">
        <v>638</v>
      </c>
    </row>
    <row r="5" spans="1:4" x14ac:dyDescent="0.25">
      <c r="A5" t="s">
        <v>639</v>
      </c>
      <c r="B5" s="47" t="s">
        <v>636</v>
      </c>
      <c r="C5" t="s">
        <v>263</v>
      </c>
      <c r="D5" t="s">
        <v>639</v>
      </c>
    </row>
    <row r="6" spans="1:4" x14ac:dyDescent="0.25">
      <c r="A6" t="s">
        <v>640</v>
      </c>
      <c r="B6" s="47" t="s">
        <v>636</v>
      </c>
      <c r="C6" t="s">
        <v>68</v>
      </c>
      <c r="D6" t="s">
        <v>640</v>
      </c>
    </row>
    <row r="7" spans="1:4" x14ac:dyDescent="0.25">
      <c r="A7" t="s">
        <v>641</v>
      </c>
      <c r="B7" s="47" t="s">
        <v>636</v>
      </c>
      <c r="C7" t="s">
        <v>265</v>
      </c>
      <c r="D7" t="s">
        <v>641</v>
      </c>
    </row>
    <row r="8" spans="1:4" x14ac:dyDescent="0.25">
      <c r="A8" t="s">
        <v>642</v>
      </c>
      <c r="B8" s="47" t="s">
        <v>636</v>
      </c>
      <c r="C8" t="s">
        <v>67</v>
      </c>
      <c r="D8" t="s">
        <v>642</v>
      </c>
    </row>
    <row r="9" spans="1:4" x14ac:dyDescent="0.25">
      <c r="A9" t="s">
        <v>643</v>
      </c>
      <c r="B9" s="47" t="s">
        <v>636</v>
      </c>
      <c r="C9" t="s">
        <v>266</v>
      </c>
      <c r="D9" t="s">
        <v>643</v>
      </c>
    </row>
    <row r="10" spans="1:4" x14ac:dyDescent="0.25">
      <c r="A10" t="s">
        <v>18</v>
      </c>
      <c r="B10" s="47" t="s">
        <v>636</v>
      </c>
      <c r="C10" t="s">
        <v>267</v>
      </c>
      <c r="D10" t="s">
        <v>18</v>
      </c>
    </row>
    <row r="11" spans="1:4" x14ac:dyDescent="0.25">
      <c r="A11" t="s">
        <v>15</v>
      </c>
      <c r="B11" s="47" t="s">
        <v>636</v>
      </c>
      <c r="C11" t="s">
        <v>268</v>
      </c>
      <c r="D11" t="s">
        <v>15</v>
      </c>
    </row>
    <row r="12" spans="1:4" x14ac:dyDescent="0.25">
      <c r="A12" t="s">
        <v>644</v>
      </c>
      <c r="B12" s="47" t="s">
        <v>636</v>
      </c>
      <c r="C12" t="s">
        <v>269</v>
      </c>
      <c r="D12" t="s">
        <v>644</v>
      </c>
    </row>
    <row r="13" spans="1:4" x14ac:dyDescent="0.25">
      <c r="A13" t="s">
        <v>16</v>
      </c>
      <c r="B13" s="47" t="s">
        <v>636</v>
      </c>
      <c r="C13" t="s">
        <v>270</v>
      </c>
      <c r="D13" t="s">
        <v>16</v>
      </c>
    </row>
    <row r="14" spans="1:4" x14ac:dyDescent="0.25">
      <c r="A14" t="s">
        <v>645</v>
      </c>
      <c r="B14" s="47" t="s">
        <v>636</v>
      </c>
      <c r="C14" t="s">
        <v>271</v>
      </c>
      <c r="D14" t="s">
        <v>645</v>
      </c>
    </row>
    <row r="15" spans="1:4" x14ac:dyDescent="0.25">
      <c r="A15" t="s">
        <v>646</v>
      </c>
      <c r="B15" s="47" t="s">
        <v>636</v>
      </c>
      <c r="C15" t="s">
        <v>272</v>
      </c>
      <c r="D15" t="s">
        <v>646</v>
      </c>
    </row>
    <row r="16" spans="1:4" x14ac:dyDescent="0.25">
      <c r="A16" t="s">
        <v>647</v>
      </c>
      <c r="B16" s="47" t="s">
        <v>636</v>
      </c>
      <c r="C16" t="s">
        <v>273</v>
      </c>
      <c r="D16" t="s">
        <v>647</v>
      </c>
    </row>
    <row r="17" spans="1:4" x14ac:dyDescent="0.25">
      <c r="A17" t="s">
        <v>648</v>
      </c>
      <c r="B17" s="47" t="s">
        <v>636</v>
      </c>
      <c r="C17" t="s">
        <v>274</v>
      </c>
      <c r="D17" t="s">
        <v>648</v>
      </c>
    </row>
    <row r="18" spans="1:4" x14ac:dyDescent="0.25">
      <c r="A18" t="s">
        <v>649</v>
      </c>
      <c r="B18" s="47" t="s">
        <v>636</v>
      </c>
      <c r="C18" t="s">
        <v>275</v>
      </c>
      <c r="D18" t="s">
        <v>649</v>
      </c>
    </row>
    <row r="19" spans="1:4" x14ac:dyDescent="0.25">
      <c r="A19" t="s">
        <v>650</v>
      </c>
      <c r="B19" s="47" t="s">
        <v>636</v>
      </c>
      <c r="C19" t="s">
        <v>67</v>
      </c>
      <c r="D19" t="s">
        <v>650</v>
      </c>
    </row>
    <row r="20" spans="1:4" x14ac:dyDescent="0.25">
      <c r="A20" t="s">
        <v>651</v>
      </c>
      <c r="B20" s="47" t="s">
        <v>636</v>
      </c>
      <c r="C20" t="s">
        <v>276</v>
      </c>
      <c r="D20" t="s">
        <v>651</v>
      </c>
    </row>
    <row r="21" spans="1:4" x14ac:dyDescent="0.25">
      <c r="A21" t="s">
        <v>652</v>
      </c>
      <c r="B21" s="47" t="s">
        <v>636</v>
      </c>
      <c r="C21" t="s">
        <v>277</v>
      </c>
      <c r="D21" t="s">
        <v>652</v>
      </c>
    </row>
    <row r="22" spans="1:4" x14ac:dyDescent="0.25">
      <c r="A22" t="s">
        <v>653</v>
      </c>
      <c r="B22" s="47" t="s">
        <v>636</v>
      </c>
      <c r="C22" t="s">
        <v>278</v>
      </c>
      <c r="D22" t="s">
        <v>653</v>
      </c>
    </row>
    <row r="23" spans="1:4" x14ac:dyDescent="0.25">
      <c r="A23" t="s">
        <v>654</v>
      </c>
      <c r="B23" s="47" t="s">
        <v>636</v>
      </c>
      <c r="C23" t="s">
        <v>279</v>
      </c>
      <c r="D23" t="s">
        <v>654</v>
      </c>
    </row>
    <row r="24" spans="1:4" x14ac:dyDescent="0.25">
      <c r="A24" t="s">
        <v>655</v>
      </c>
      <c r="B24" s="47" t="s">
        <v>636</v>
      </c>
      <c r="C24" t="s">
        <v>280</v>
      </c>
      <c r="D24" t="s">
        <v>655</v>
      </c>
    </row>
    <row r="25" spans="1:4" x14ac:dyDescent="0.25">
      <c r="A25" t="s">
        <v>656</v>
      </c>
      <c r="B25" s="47" t="s">
        <v>636</v>
      </c>
      <c r="C25" t="s">
        <v>281</v>
      </c>
      <c r="D25" t="s">
        <v>656</v>
      </c>
    </row>
    <row r="26" spans="1:4" x14ac:dyDescent="0.25">
      <c r="A26" t="s">
        <v>657</v>
      </c>
      <c r="B26" s="47" t="s">
        <v>636</v>
      </c>
      <c r="C26" t="s">
        <v>282</v>
      </c>
      <c r="D26" t="s">
        <v>657</v>
      </c>
    </row>
    <row r="27" spans="1:4" x14ac:dyDescent="0.25">
      <c r="A27" t="s">
        <v>658</v>
      </c>
      <c r="B27" s="47" t="s">
        <v>636</v>
      </c>
      <c r="C27" t="s">
        <v>283</v>
      </c>
      <c r="D27" t="s">
        <v>658</v>
      </c>
    </row>
    <row r="28" spans="1:4" x14ac:dyDescent="0.25">
      <c r="A28" t="s">
        <v>659</v>
      </c>
      <c r="B28" s="47" t="s">
        <v>636</v>
      </c>
      <c r="C28" t="s">
        <v>284</v>
      </c>
      <c r="D28" t="s">
        <v>659</v>
      </c>
    </row>
    <row r="29" spans="1:4" x14ac:dyDescent="0.25">
      <c r="A29" t="s">
        <v>660</v>
      </c>
      <c r="B29" s="47" t="s">
        <v>636</v>
      </c>
      <c r="C29" t="s">
        <v>285</v>
      </c>
      <c r="D29" t="s">
        <v>660</v>
      </c>
    </row>
    <row r="30" spans="1:4" x14ac:dyDescent="0.25">
      <c r="A30" t="s">
        <v>661</v>
      </c>
      <c r="B30" s="47" t="s">
        <v>636</v>
      </c>
      <c r="C30" t="s">
        <v>287</v>
      </c>
      <c r="D30" t="s">
        <v>661</v>
      </c>
    </row>
    <row r="31" spans="1:4" x14ac:dyDescent="0.25">
      <c r="A31" t="s">
        <v>662</v>
      </c>
      <c r="B31" s="47" t="s">
        <v>636</v>
      </c>
      <c r="C31" t="s">
        <v>288</v>
      </c>
      <c r="D31" t="s">
        <v>662</v>
      </c>
    </row>
    <row r="32" spans="1:4" x14ac:dyDescent="0.25">
      <c r="A32" t="s">
        <v>663</v>
      </c>
      <c r="B32" s="47" t="s">
        <v>636</v>
      </c>
      <c r="C32" t="s">
        <v>35</v>
      </c>
      <c r="D32" t="s">
        <v>663</v>
      </c>
    </row>
    <row r="33" spans="1:4" x14ac:dyDescent="0.25">
      <c r="A33" t="s">
        <v>664</v>
      </c>
      <c r="B33" s="47" t="s">
        <v>636</v>
      </c>
      <c r="C33" t="s">
        <v>290</v>
      </c>
      <c r="D33" t="s">
        <v>664</v>
      </c>
    </row>
    <row r="34" spans="1:4" x14ac:dyDescent="0.25">
      <c r="A34" t="s">
        <v>665</v>
      </c>
      <c r="B34" s="47" t="s">
        <v>636</v>
      </c>
      <c r="C34" t="s">
        <v>291</v>
      </c>
      <c r="D34" t="s">
        <v>665</v>
      </c>
    </row>
    <row r="35" spans="1:4" x14ac:dyDescent="0.25">
      <c r="A35" t="s">
        <v>666</v>
      </c>
      <c r="B35" s="47" t="s">
        <v>636</v>
      </c>
      <c r="C35" t="s">
        <v>34</v>
      </c>
      <c r="D35" t="s">
        <v>666</v>
      </c>
    </row>
    <row r="36" spans="1:4" x14ac:dyDescent="0.25">
      <c r="A36" t="s">
        <v>667</v>
      </c>
      <c r="B36" s="47" t="s">
        <v>636</v>
      </c>
      <c r="C36" t="s">
        <v>292</v>
      </c>
      <c r="D36" t="s">
        <v>667</v>
      </c>
    </row>
    <row r="37" spans="1:4" x14ac:dyDescent="0.25">
      <c r="A37" t="s">
        <v>668</v>
      </c>
      <c r="B37" s="47" t="s">
        <v>636</v>
      </c>
      <c r="C37" t="s">
        <v>293</v>
      </c>
      <c r="D37" t="s">
        <v>668</v>
      </c>
    </row>
    <row r="38" spans="1:4" x14ac:dyDescent="0.25">
      <c r="A38" t="s">
        <v>669</v>
      </c>
      <c r="B38" s="47" t="s">
        <v>636</v>
      </c>
      <c r="C38" t="s">
        <v>294</v>
      </c>
      <c r="D38" t="s">
        <v>669</v>
      </c>
    </row>
    <row r="39" spans="1:4" x14ac:dyDescent="0.25">
      <c r="A39" t="s">
        <v>670</v>
      </c>
      <c r="B39" s="47" t="s">
        <v>636</v>
      </c>
      <c r="C39" t="s">
        <v>295</v>
      </c>
      <c r="D39" t="s">
        <v>670</v>
      </c>
    </row>
    <row r="40" spans="1:4" x14ac:dyDescent="0.25">
      <c r="A40" t="s">
        <v>671</v>
      </c>
      <c r="B40" s="47" t="s">
        <v>636</v>
      </c>
      <c r="C40" t="s">
        <v>296</v>
      </c>
      <c r="D40" t="s">
        <v>671</v>
      </c>
    </row>
    <row r="41" spans="1:4" x14ac:dyDescent="0.25">
      <c r="A41" t="s">
        <v>672</v>
      </c>
      <c r="B41" s="47" t="s">
        <v>636</v>
      </c>
      <c r="C41" t="s">
        <v>673</v>
      </c>
      <c r="D41" t="s">
        <v>672</v>
      </c>
    </row>
    <row r="42" spans="1:4" x14ac:dyDescent="0.25">
      <c r="A42" t="s">
        <v>674</v>
      </c>
      <c r="B42" s="47" t="s">
        <v>636</v>
      </c>
      <c r="C42" t="s">
        <v>675</v>
      </c>
      <c r="D42" t="s">
        <v>674</v>
      </c>
    </row>
    <row r="43" spans="1:4" x14ac:dyDescent="0.25">
      <c r="A43" t="s">
        <v>676</v>
      </c>
      <c r="B43" s="47" t="s">
        <v>636</v>
      </c>
      <c r="C43" t="s">
        <v>297</v>
      </c>
      <c r="D43" t="s">
        <v>676</v>
      </c>
    </row>
    <row r="44" spans="1:4" x14ac:dyDescent="0.25">
      <c r="A44" t="s">
        <v>677</v>
      </c>
      <c r="B44" s="47" t="s">
        <v>636</v>
      </c>
      <c r="C44" t="s">
        <v>298</v>
      </c>
      <c r="D44" t="s">
        <v>677</v>
      </c>
    </row>
    <row r="45" spans="1:4" x14ac:dyDescent="0.25">
      <c r="A45" t="s">
        <v>678</v>
      </c>
      <c r="B45" s="47" t="s">
        <v>636</v>
      </c>
      <c r="C45" t="s">
        <v>299</v>
      </c>
      <c r="D45" t="s">
        <v>678</v>
      </c>
    </row>
    <row r="46" spans="1:4" x14ac:dyDescent="0.25">
      <c r="A46" t="s">
        <v>679</v>
      </c>
      <c r="B46" s="47" t="s">
        <v>636</v>
      </c>
      <c r="C46" t="s">
        <v>300</v>
      </c>
      <c r="D46" t="s">
        <v>679</v>
      </c>
    </row>
    <row r="47" spans="1:4" x14ac:dyDescent="0.25">
      <c r="A47" t="s">
        <v>680</v>
      </c>
      <c r="B47" s="47" t="s">
        <v>636</v>
      </c>
      <c r="C47" t="s">
        <v>301</v>
      </c>
      <c r="D47" t="s">
        <v>680</v>
      </c>
    </row>
    <row r="48" spans="1:4" x14ac:dyDescent="0.25">
      <c r="A48" t="s">
        <v>681</v>
      </c>
      <c r="B48" s="47" t="s">
        <v>636</v>
      </c>
      <c r="C48" t="s">
        <v>302</v>
      </c>
      <c r="D48" t="s">
        <v>681</v>
      </c>
    </row>
    <row r="49" spans="1:4" x14ac:dyDescent="0.25">
      <c r="A49" t="s">
        <v>682</v>
      </c>
      <c r="B49" s="47" t="s">
        <v>636</v>
      </c>
      <c r="C49" t="s">
        <v>303</v>
      </c>
      <c r="D49" t="s">
        <v>682</v>
      </c>
    </row>
    <row r="50" spans="1:4" x14ac:dyDescent="0.25">
      <c r="A50" t="s">
        <v>683</v>
      </c>
      <c r="B50" s="47" t="s">
        <v>636</v>
      </c>
      <c r="C50" t="s">
        <v>304</v>
      </c>
      <c r="D50" t="s">
        <v>683</v>
      </c>
    </row>
    <row r="51" spans="1:4" x14ac:dyDescent="0.25">
      <c r="A51" t="s">
        <v>684</v>
      </c>
      <c r="B51" s="47" t="s">
        <v>636</v>
      </c>
      <c r="C51" t="s">
        <v>305</v>
      </c>
      <c r="D51" t="s">
        <v>684</v>
      </c>
    </row>
    <row r="52" spans="1:4" x14ac:dyDescent="0.25">
      <c r="A52" t="s">
        <v>685</v>
      </c>
      <c r="B52" s="47" t="s">
        <v>636</v>
      </c>
      <c r="C52" t="s">
        <v>306</v>
      </c>
      <c r="D52" t="s">
        <v>685</v>
      </c>
    </row>
    <row r="53" spans="1:4" x14ac:dyDescent="0.25">
      <c r="A53" t="s">
        <v>686</v>
      </c>
      <c r="B53" s="47" t="s">
        <v>636</v>
      </c>
      <c r="C53" t="s">
        <v>307</v>
      </c>
      <c r="D53" t="s">
        <v>686</v>
      </c>
    </row>
    <row r="54" spans="1:4" x14ac:dyDescent="0.25">
      <c r="A54" t="s">
        <v>17</v>
      </c>
      <c r="B54" s="47" t="s">
        <v>636</v>
      </c>
      <c r="C54" t="s">
        <v>308</v>
      </c>
      <c r="D54" t="s">
        <v>17</v>
      </c>
    </row>
    <row r="55" spans="1:4" x14ac:dyDescent="0.25">
      <c r="A55" t="s">
        <v>687</v>
      </c>
      <c r="B55" s="47" t="s">
        <v>636</v>
      </c>
      <c r="C55" t="s">
        <v>314</v>
      </c>
      <c r="D55" t="s">
        <v>687</v>
      </c>
    </row>
    <row r="56" spans="1:4" x14ac:dyDescent="0.25">
      <c r="A56" t="s">
        <v>688</v>
      </c>
      <c r="B56" s="47" t="s">
        <v>636</v>
      </c>
      <c r="C56" t="s">
        <v>315</v>
      </c>
      <c r="D56" t="s">
        <v>688</v>
      </c>
    </row>
    <row r="57" spans="1:4" x14ac:dyDescent="0.25">
      <c r="A57" t="s">
        <v>689</v>
      </c>
      <c r="B57" s="47" t="s">
        <v>636</v>
      </c>
      <c r="C57" t="s">
        <v>316</v>
      </c>
      <c r="D57" t="s">
        <v>689</v>
      </c>
    </row>
    <row r="58" spans="1:4" x14ac:dyDescent="0.25">
      <c r="A58" t="s">
        <v>690</v>
      </c>
      <c r="B58" s="47" t="s">
        <v>636</v>
      </c>
      <c r="C58" t="s">
        <v>318</v>
      </c>
      <c r="D58" t="s">
        <v>690</v>
      </c>
    </row>
    <row r="59" spans="1:4" x14ac:dyDescent="0.25">
      <c r="A59" t="s">
        <v>691</v>
      </c>
      <c r="B59" s="47" t="s">
        <v>636</v>
      </c>
      <c r="C59" t="s">
        <v>319</v>
      </c>
      <c r="D59" t="s">
        <v>691</v>
      </c>
    </row>
    <row r="60" spans="1:4" x14ac:dyDescent="0.25">
      <c r="A60" t="s">
        <v>692</v>
      </c>
      <c r="B60" s="47" t="s">
        <v>636</v>
      </c>
      <c r="C60" t="s">
        <v>320</v>
      </c>
      <c r="D60" t="s">
        <v>692</v>
      </c>
    </row>
    <row r="61" spans="1:4" x14ac:dyDescent="0.25">
      <c r="A61" t="s">
        <v>693</v>
      </c>
      <c r="B61" s="47" t="s">
        <v>636</v>
      </c>
      <c r="C61" t="s">
        <v>322</v>
      </c>
      <c r="D61" t="s">
        <v>693</v>
      </c>
    </row>
    <row r="62" spans="1:4" x14ac:dyDescent="0.25">
      <c r="A62" t="s">
        <v>694</v>
      </c>
      <c r="B62" s="47" t="s">
        <v>636</v>
      </c>
      <c r="C62" t="s">
        <v>323</v>
      </c>
      <c r="D62" t="s">
        <v>694</v>
      </c>
    </row>
    <row r="63" spans="1:4" x14ac:dyDescent="0.25">
      <c r="A63" t="s">
        <v>695</v>
      </c>
      <c r="B63" s="47" t="s">
        <v>636</v>
      </c>
      <c r="C63" t="s">
        <v>324</v>
      </c>
      <c r="D63" t="s">
        <v>695</v>
      </c>
    </row>
    <row r="64" spans="1:4" x14ac:dyDescent="0.25">
      <c r="A64" t="s">
        <v>696</v>
      </c>
      <c r="B64" s="47" t="s">
        <v>636</v>
      </c>
      <c r="C64" t="s">
        <v>325</v>
      </c>
      <c r="D64" t="s">
        <v>696</v>
      </c>
    </row>
    <row r="65" spans="1:4" x14ac:dyDescent="0.25">
      <c r="A65" t="s">
        <v>697</v>
      </c>
      <c r="B65" s="47" t="s">
        <v>636</v>
      </c>
      <c r="C65" t="s">
        <v>326</v>
      </c>
      <c r="D65" t="s">
        <v>697</v>
      </c>
    </row>
    <row r="66" spans="1:4" x14ac:dyDescent="0.25">
      <c r="A66" t="s">
        <v>698</v>
      </c>
      <c r="B66" s="47" t="s">
        <v>636</v>
      </c>
      <c r="C66" t="s">
        <v>327</v>
      </c>
      <c r="D66" t="s">
        <v>698</v>
      </c>
    </row>
    <row r="67" spans="1:4" x14ac:dyDescent="0.25">
      <c r="A67" t="s">
        <v>699</v>
      </c>
      <c r="B67" s="47" t="s">
        <v>636</v>
      </c>
      <c r="C67" t="s">
        <v>328</v>
      </c>
      <c r="D67" t="s">
        <v>699</v>
      </c>
    </row>
    <row r="68" spans="1:4" x14ac:dyDescent="0.25">
      <c r="A68" t="s">
        <v>700</v>
      </c>
      <c r="B68" s="47" t="s">
        <v>636</v>
      </c>
      <c r="C68" t="s">
        <v>329</v>
      </c>
      <c r="D68" t="s">
        <v>700</v>
      </c>
    </row>
    <row r="69" spans="1:4" x14ac:dyDescent="0.25">
      <c r="A69" t="s">
        <v>701</v>
      </c>
      <c r="B69" s="47" t="s">
        <v>636</v>
      </c>
      <c r="C69" t="s">
        <v>330</v>
      </c>
      <c r="D69" t="s">
        <v>701</v>
      </c>
    </row>
    <row r="70" spans="1:4" x14ac:dyDescent="0.25">
      <c r="A70" t="s">
        <v>702</v>
      </c>
      <c r="B70" s="47" t="s">
        <v>636</v>
      </c>
      <c r="C70" t="s">
        <v>331</v>
      </c>
      <c r="D70" t="s">
        <v>702</v>
      </c>
    </row>
    <row r="71" spans="1:4" x14ac:dyDescent="0.25">
      <c r="A71" t="s">
        <v>703</v>
      </c>
      <c r="B71" s="47" t="s">
        <v>636</v>
      </c>
      <c r="C71" t="s">
        <v>332</v>
      </c>
      <c r="D71" t="s">
        <v>703</v>
      </c>
    </row>
    <row r="72" spans="1:4" x14ac:dyDescent="0.25">
      <c r="A72" t="s">
        <v>704</v>
      </c>
      <c r="B72" s="47" t="s">
        <v>636</v>
      </c>
      <c r="C72" t="s">
        <v>333</v>
      </c>
      <c r="D72" t="s">
        <v>704</v>
      </c>
    </row>
    <row r="73" spans="1:4" x14ac:dyDescent="0.25">
      <c r="A73" t="s">
        <v>705</v>
      </c>
      <c r="B73" s="47" t="s">
        <v>636</v>
      </c>
      <c r="C73" t="s">
        <v>334</v>
      </c>
      <c r="D73" t="s">
        <v>705</v>
      </c>
    </row>
    <row r="74" spans="1:4" x14ac:dyDescent="0.25">
      <c r="A74" t="s">
        <v>706</v>
      </c>
      <c r="B74" s="47" t="s">
        <v>636</v>
      </c>
      <c r="C74" t="s">
        <v>335</v>
      </c>
      <c r="D74" t="s">
        <v>706</v>
      </c>
    </row>
    <row r="75" spans="1:4" x14ac:dyDescent="0.25">
      <c r="A75" t="s">
        <v>707</v>
      </c>
      <c r="B75" s="47" t="s">
        <v>636</v>
      </c>
      <c r="C75" t="s">
        <v>336</v>
      </c>
      <c r="D75" t="s">
        <v>707</v>
      </c>
    </row>
    <row r="76" spans="1:4" x14ac:dyDescent="0.25">
      <c r="A76" t="s">
        <v>708</v>
      </c>
      <c r="B76" s="47" t="s">
        <v>636</v>
      </c>
      <c r="C76" t="s">
        <v>337</v>
      </c>
      <c r="D76" t="s">
        <v>708</v>
      </c>
    </row>
    <row r="77" spans="1:4" x14ac:dyDescent="0.25">
      <c r="A77" t="s">
        <v>709</v>
      </c>
      <c r="B77" s="47" t="s">
        <v>636</v>
      </c>
      <c r="C77" t="s">
        <v>338</v>
      </c>
      <c r="D77" t="s">
        <v>709</v>
      </c>
    </row>
    <row r="78" spans="1:4" x14ac:dyDescent="0.25">
      <c r="A78" t="s">
        <v>710</v>
      </c>
      <c r="B78" s="47" t="s">
        <v>636</v>
      </c>
      <c r="C78" t="s">
        <v>339</v>
      </c>
      <c r="D78" t="s">
        <v>710</v>
      </c>
    </row>
    <row r="79" spans="1:4" x14ac:dyDescent="0.25">
      <c r="A79" t="s">
        <v>711</v>
      </c>
      <c r="B79" s="47" t="s">
        <v>636</v>
      </c>
      <c r="C79" t="s">
        <v>340</v>
      </c>
      <c r="D79" t="s">
        <v>711</v>
      </c>
    </row>
    <row r="80" spans="1:4" x14ac:dyDescent="0.25">
      <c r="A80" t="s">
        <v>712</v>
      </c>
      <c r="B80" s="47" t="s">
        <v>636</v>
      </c>
      <c r="C80" t="s">
        <v>341</v>
      </c>
      <c r="D80" t="s">
        <v>712</v>
      </c>
    </row>
    <row r="81" spans="1:4" x14ac:dyDescent="0.25">
      <c r="A81" t="s">
        <v>713</v>
      </c>
      <c r="B81" s="47" t="s">
        <v>636</v>
      </c>
      <c r="C81" t="s">
        <v>342</v>
      </c>
      <c r="D81" t="s">
        <v>713</v>
      </c>
    </row>
    <row r="82" spans="1:4" x14ac:dyDescent="0.25">
      <c r="A82" t="s">
        <v>714</v>
      </c>
      <c r="B82" s="47" t="s">
        <v>636</v>
      </c>
      <c r="C82" t="s">
        <v>343</v>
      </c>
      <c r="D82" t="s">
        <v>714</v>
      </c>
    </row>
    <row r="83" spans="1:4" x14ac:dyDescent="0.25">
      <c r="A83" t="s">
        <v>715</v>
      </c>
      <c r="B83" s="47" t="s">
        <v>636</v>
      </c>
      <c r="C83" t="s">
        <v>344</v>
      </c>
      <c r="D83" t="s">
        <v>715</v>
      </c>
    </row>
    <row r="84" spans="1:4" x14ac:dyDescent="0.25">
      <c r="A84" t="s">
        <v>716</v>
      </c>
      <c r="B84" s="47" t="s">
        <v>636</v>
      </c>
      <c r="C84" t="s">
        <v>345</v>
      </c>
      <c r="D84" t="s">
        <v>716</v>
      </c>
    </row>
    <row r="85" spans="1:4" x14ac:dyDescent="0.25">
      <c r="A85" t="s">
        <v>717</v>
      </c>
      <c r="B85" s="47" t="s">
        <v>636</v>
      </c>
      <c r="C85" t="s">
        <v>346</v>
      </c>
      <c r="D85" t="s">
        <v>717</v>
      </c>
    </row>
    <row r="86" spans="1:4" x14ac:dyDescent="0.25">
      <c r="A86" t="s">
        <v>718</v>
      </c>
      <c r="B86" s="47" t="s">
        <v>636</v>
      </c>
      <c r="C86" t="s">
        <v>347</v>
      </c>
      <c r="D86" t="s">
        <v>718</v>
      </c>
    </row>
    <row r="87" spans="1:4" x14ac:dyDescent="0.25">
      <c r="A87" t="s">
        <v>719</v>
      </c>
      <c r="B87" s="47" t="s">
        <v>636</v>
      </c>
      <c r="C87" t="s">
        <v>348</v>
      </c>
      <c r="D87" t="s">
        <v>719</v>
      </c>
    </row>
    <row r="88" spans="1:4" x14ac:dyDescent="0.25">
      <c r="A88" t="s">
        <v>720</v>
      </c>
      <c r="B88" s="47" t="s">
        <v>636</v>
      </c>
      <c r="C88" t="s">
        <v>349</v>
      </c>
      <c r="D88" t="s">
        <v>720</v>
      </c>
    </row>
    <row r="89" spans="1:4" x14ac:dyDescent="0.25">
      <c r="A89" t="s">
        <v>721</v>
      </c>
      <c r="B89" s="47" t="s">
        <v>636</v>
      </c>
      <c r="C89" t="s">
        <v>350</v>
      </c>
      <c r="D89" t="s">
        <v>721</v>
      </c>
    </row>
    <row r="90" spans="1:4" x14ac:dyDescent="0.25">
      <c r="A90" t="s">
        <v>722</v>
      </c>
      <c r="B90" s="47" t="s">
        <v>636</v>
      </c>
      <c r="C90" t="s">
        <v>351</v>
      </c>
      <c r="D90" t="s">
        <v>722</v>
      </c>
    </row>
    <row r="91" spans="1:4" x14ac:dyDescent="0.25">
      <c r="A91" t="s">
        <v>723</v>
      </c>
      <c r="B91" s="47" t="s">
        <v>636</v>
      </c>
      <c r="C91" t="s">
        <v>352</v>
      </c>
      <c r="D91" t="s">
        <v>723</v>
      </c>
    </row>
    <row r="92" spans="1:4" x14ac:dyDescent="0.25">
      <c r="A92" t="s">
        <v>724</v>
      </c>
      <c r="B92" s="47" t="s">
        <v>636</v>
      </c>
      <c r="C92" t="s">
        <v>353</v>
      </c>
      <c r="D92" t="s">
        <v>724</v>
      </c>
    </row>
    <row r="93" spans="1:4" x14ac:dyDescent="0.25">
      <c r="A93" t="s">
        <v>725</v>
      </c>
      <c r="B93" s="47" t="s">
        <v>636</v>
      </c>
      <c r="C93" t="s">
        <v>354</v>
      </c>
      <c r="D93" t="s">
        <v>725</v>
      </c>
    </row>
    <row r="94" spans="1:4" x14ac:dyDescent="0.25">
      <c r="A94" t="s">
        <v>726</v>
      </c>
      <c r="B94" s="47" t="s">
        <v>636</v>
      </c>
      <c r="C94" t="s">
        <v>355</v>
      </c>
      <c r="D94" t="s">
        <v>726</v>
      </c>
    </row>
    <row r="95" spans="1:4" x14ac:dyDescent="0.25">
      <c r="A95" t="s">
        <v>727</v>
      </c>
      <c r="B95" s="47" t="s">
        <v>636</v>
      </c>
      <c r="C95" t="s">
        <v>356</v>
      </c>
      <c r="D95" t="s">
        <v>727</v>
      </c>
    </row>
    <row r="96" spans="1:4" x14ac:dyDescent="0.25">
      <c r="A96" t="s">
        <v>728</v>
      </c>
      <c r="B96" s="47" t="s">
        <v>636</v>
      </c>
      <c r="C96" t="s">
        <v>357</v>
      </c>
      <c r="D96" t="s">
        <v>728</v>
      </c>
    </row>
    <row r="97" spans="1:4" x14ac:dyDescent="0.25">
      <c r="A97" t="s">
        <v>729</v>
      </c>
      <c r="B97" s="47" t="s">
        <v>636</v>
      </c>
      <c r="C97" t="s">
        <v>358</v>
      </c>
      <c r="D97" t="s">
        <v>729</v>
      </c>
    </row>
    <row r="98" spans="1:4" x14ac:dyDescent="0.25">
      <c r="A98" t="s">
        <v>730</v>
      </c>
      <c r="B98" s="47" t="s">
        <v>636</v>
      </c>
      <c r="C98" t="s">
        <v>359</v>
      </c>
      <c r="D98" t="s">
        <v>730</v>
      </c>
    </row>
    <row r="99" spans="1:4" x14ac:dyDescent="0.25">
      <c r="A99" t="s">
        <v>731</v>
      </c>
      <c r="B99" s="47" t="s">
        <v>636</v>
      </c>
      <c r="C99" t="s">
        <v>360</v>
      </c>
      <c r="D99" t="s">
        <v>731</v>
      </c>
    </row>
    <row r="100" spans="1:4" x14ac:dyDescent="0.25">
      <c r="A100" t="s">
        <v>732</v>
      </c>
      <c r="B100" s="47" t="s">
        <v>636</v>
      </c>
      <c r="C100" t="s">
        <v>361</v>
      </c>
      <c r="D100" t="s">
        <v>732</v>
      </c>
    </row>
    <row r="101" spans="1:4" x14ac:dyDescent="0.25">
      <c r="A101" t="s">
        <v>733</v>
      </c>
      <c r="B101" s="47" t="s">
        <v>636</v>
      </c>
      <c r="C101" t="s">
        <v>362</v>
      </c>
      <c r="D101" t="s">
        <v>733</v>
      </c>
    </row>
    <row r="102" spans="1:4" x14ac:dyDescent="0.25">
      <c r="A102" t="s">
        <v>734</v>
      </c>
      <c r="B102" s="47" t="s">
        <v>636</v>
      </c>
      <c r="C102" t="s">
        <v>363</v>
      </c>
      <c r="D102" t="s">
        <v>734</v>
      </c>
    </row>
    <row r="103" spans="1:4" x14ac:dyDescent="0.25">
      <c r="A103" t="s">
        <v>735</v>
      </c>
      <c r="B103" s="47" t="s">
        <v>636</v>
      </c>
      <c r="C103" t="s">
        <v>364</v>
      </c>
      <c r="D103" t="s">
        <v>735</v>
      </c>
    </row>
    <row r="104" spans="1:4" x14ac:dyDescent="0.25">
      <c r="A104" t="s">
        <v>736</v>
      </c>
      <c r="B104" s="47" t="s">
        <v>636</v>
      </c>
      <c r="C104" t="s">
        <v>365</v>
      </c>
      <c r="D104" t="s">
        <v>736</v>
      </c>
    </row>
    <row r="105" spans="1:4" x14ac:dyDescent="0.25">
      <c r="A105" t="s">
        <v>737</v>
      </c>
      <c r="B105" s="47" t="s">
        <v>636</v>
      </c>
      <c r="C105" t="s">
        <v>366</v>
      </c>
      <c r="D105" t="s">
        <v>737</v>
      </c>
    </row>
    <row r="106" spans="1:4" x14ac:dyDescent="0.25">
      <c r="A106" t="s">
        <v>738</v>
      </c>
      <c r="B106" s="47" t="s">
        <v>636</v>
      </c>
      <c r="C106" t="s">
        <v>367</v>
      </c>
      <c r="D106" t="s">
        <v>738</v>
      </c>
    </row>
    <row r="107" spans="1:4" x14ac:dyDescent="0.25">
      <c r="A107" t="s">
        <v>739</v>
      </c>
      <c r="B107" s="47" t="s">
        <v>636</v>
      </c>
      <c r="C107" t="s">
        <v>369</v>
      </c>
      <c r="D107" t="s">
        <v>739</v>
      </c>
    </row>
    <row r="108" spans="1:4" x14ac:dyDescent="0.25">
      <c r="A108" t="s">
        <v>740</v>
      </c>
      <c r="B108" s="47" t="s">
        <v>636</v>
      </c>
      <c r="C108" t="s">
        <v>370</v>
      </c>
      <c r="D108" t="s">
        <v>740</v>
      </c>
    </row>
    <row r="109" spans="1:4" x14ac:dyDescent="0.25">
      <c r="A109" t="s">
        <v>741</v>
      </c>
      <c r="B109" s="47" t="s">
        <v>636</v>
      </c>
      <c r="C109" t="s">
        <v>371</v>
      </c>
      <c r="D109" t="s">
        <v>741</v>
      </c>
    </row>
    <row r="110" spans="1:4" x14ac:dyDescent="0.25">
      <c r="A110" t="s">
        <v>742</v>
      </c>
      <c r="B110" s="47" t="s">
        <v>636</v>
      </c>
      <c r="C110" t="s">
        <v>372</v>
      </c>
      <c r="D110" t="s">
        <v>742</v>
      </c>
    </row>
    <row r="111" spans="1:4" x14ac:dyDescent="0.25">
      <c r="A111" t="s">
        <v>743</v>
      </c>
      <c r="B111" s="47" t="s">
        <v>636</v>
      </c>
      <c r="C111" t="s">
        <v>373</v>
      </c>
      <c r="D111" t="s">
        <v>743</v>
      </c>
    </row>
    <row r="112" spans="1:4" x14ac:dyDescent="0.25">
      <c r="A112" t="s">
        <v>744</v>
      </c>
      <c r="B112" s="47" t="s">
        <v>636</v>
      </c>
      <c r="C112" t="s">
        <v>374</v>
      </c>
      <c r="D112" t="s">
        <v>744</v>
      </c>
    </row>
    <row r="113" spans="1:4" x14ac:dyDescent="0.25">
      <c r="A113" t="s">
        <v>745</v>
      </c>
      <c r="B113" s="47" t="s">
        <v>636</v>
      </c>
      <c r="C113" t="s">
        <v>375</v>
      </c>
      <c r="D113" t="s">
        <v>745</v>
      </c>
    </row>
    <row r="114" spans="1:4" x14ac:dyDescent="0.25">
      <c r="A114" t="s">
        <v>746</v>
      </c>
      <c r="B114" s="47" t="s">
        <v>636</v>
      </c>
      <c r="C114" t="s">
        <v>376</v>
      </c>
      <c r="D114" t="s">
        <v>746</v>
      </c>
    </row>
    <row r="115" spans="1:4" x14ac:dyDescent="0.25">
      <c r="A115" t="s">
        <v>747</v>
      </c>
      <c r="B115" s="47" t="s">
        <v>636</v>
      </c>
      <c r="C115" t="s">
        <v>377</v>
      </c>
      <c r="D115" t="s">
        <v>747</v>
      </c>
    </row>
    <row r="116" spans="1:4" x14ac:dyDescent="0.25">
      <c r="A116" t="s">
        <v>748</v>
      </c>
      <c r="B116" s="47" t="s">
        <v>636</v>
      </c>
      <c r="C116" t="s">
        <v>378</v>
      </c>
      <c r="D116" t="s">
        <v>748</v>
      </c>
    </row>
    <row r="117" spans="1:4" x14ac:dyDescent="0.25">
      <c r="A117" t="s">
        <v>749</v>
      </c>
      <c r="B117" s="47" t="s">
        <v>636</v>
      </c>
      <c r="C117" t="s">
        <v>379</v>
      </c>
      <c r="D117" t="s">
        <v>749</v>
      </c>
    </row>
    <row r="118" spans="1:4" x14ac:dyDescent="0.25">
      <c r="A118" t="s">
        <v>750</v>
      </c>
      <c r="B118" s="47" t="s">
        <v>636</v>
      </c>
      <c r="C118" t="s">
        <v>380</v>
      </c>
      <c r="D118" t="s">
        <v>750</v>
      </c>
    </row>
    <row r="119" spans="1:4" x14ac:dyDescent="0.25">
      <c r="A119" t="s">
        <v>751</v>
      </c>
      <c r="B119" s="47" t="s">
        <v>636</v>
      </c>
      <c r="C119" t="s">
        <v>382</v>
      </c>
      <c r="D119" t="s">
        <v>751</v>
      </c>
    </row>
    <row r="120" spans="1:4" x14ac:dyDescent="0.25">
      <c r="A120" t="s">
        <v>752</v>
      </c>
      <c r="B120" s="47" t="s">
        <v>636</v>
      </c>
      <c r="C120" t="s">
        <v>383</v>
      </c>
      <c r="D120" t="s">
        <v>752</v>
      </c>
    </row>
    <row r="121" spans="1:4" x14ac:dyDescent="0.25">
      <c r="A121" t="s">
        <v>753</v>
      </c>
      <c r="B121" s="47" t="s">
        <v>636</v>
      </c>
      <c r="C121" t="s">
        <v>384</v>
      </c>
      <c r="D121" t="s">
        <v>753</v>
      </c>
    </row>
    <row r="122" spans="1:4" x14ac:dyDescent="0.25">
      <c r="A122" t="s">
        <v>754</v>
      </c>
      <c r="B122" s="47" t="s">
        <v>636</v>
      </c>
      <c r="C122" t="s">
        <v>386</v>
      </c>
      <c r="D122" t="s">
        <v>754</v>
      </c>
    </row>
    <row r="123" spans="1:4" x14ac:dyDescent="0.25">
      <c r="A123" t="s">
        <v>755</v>
      </c>
      <c r="B123" s="47" t="s">
        <v>636</v>
      </c>
      <c r="C123" t="s">
        <v>387</v>
      </c>
      <c r="D123" t="s">
        <v>755</v>
      </c>
    </row>
    <row r="124" spans="1:4" x14ac:dyDescent="0.25">
      <c r="A124" t="s">
        <v>756</v>
      </c>
      <c r="B124" s="47" t="s">
        <v>636</v>
      </c>
      <c r="C124" t="s">
        <v>388</v>
      </c>
      <c r="D124" t="s">
        <v>756</v>
      </c>
    </row>
    <row r="125" spans="1:4" x14ac:dyDescent="0.25">
      <c r="A125" t="s">
        <v>757</v>
      </c>
      <c r="B125" s="47" t="s">
        <v>636</v>
      </c>
      <c r="C125" t="s">
        <v>389</v>
      </c>
      <c r="D125" t="s">
        <v>757</v>
      </c>
    </row>
    <row r="126" spans="1:4" x14ac:dyDescent="0.25">
      <c r="A126" t="s">
        <v>758</v>
      </c>
      <c r="B126" s="47" t="s">
        <v>636</v>
      </c>
      <c r="C126" t="s">
        <v>390</v>
      </c>
      <c r="D126" t="s">
        <v>758</v>
      </c>
    </row>
    <row r="127" spans="1:4" x14ac:dyDescent="0.25">
      <c r="A127" t="s">
        <v>759</v>
      </c>
      <c r="B127" s="47" t="s">
        <v>636</v>
      </c>
      <c r="C127" t="s">
        <v>391</v>
      </c>
      <c r="D127" t="s">
        <v>759</v>
      </c>
    </row>
    <row r="128" spans="1:4" x14ac:dyDescent="0.25">
      <c r="A128" t="s">
        <v>760</v>
      </c>
      <c r="B128" s="47" t="s">
        <v>636</v>
      </c>
      <c r="C128" t="s">
        <v>392</v>
      </c>
      <c r="D128" t="s">
        <v>760</v>
      </c>
    </row>
    <row r="129" spans="1:4" x14ac:dyDescent="0.25">
      <c r="A129" t="s">
        <v>761</v>
      </c>
      <c r="B129" s="47" t="s">
        <v>636</v>
      </c>
      <c r="C129" t="s">
        <v>393</v>
      </c>
      <c r="D129" t="s">
        <v>761</v>
      </c>
    </row>
    <row r="130" spans="1:4" x14ac:dyDescent="0.25">
      <c r="A130" t="s">
        <v>762</v>
      </c>
      <c r="B130" s="47" t="s">
        <v>636</v>
      </c>
      <c r="C130" t="s">
        <v>394</v>
      </c>
      <c r="D130" t="s">
        <v>762</v>
      </c>
    </row>
    <row r="131" spans="1:4" x14ac:dyDescent="0.25">
      <c r="A131" t="s">
        <v>763</v>
      </c>
      <c r="B131" s="47" t="s">
        <v>636</v>
      </c>
      <c r="C131" t="s">
        <v>395</v>
      </c>
      <c r="D131" t="s">
        <v>763</v>
      </c>
    </row>
    <row r="132" spans="1:4" x14ac:dyDescent="0.25">
      <c r="A132" t="s">
        <v>764</v>
      </c>
      <c r="B132" s="47" t="s">
        <v>636</v>
      </c>
      <c r="C132" t="s">
        <v>397</v>
      </c>
      <c r="D132" t="s">
        <v>764</v>
      </c>
    </row>
    <row r="133" spans="1:4" x14ac:dyDescent="0.25">
      <c r="A133" t="s">
        <v>765</v>
      </c>
      <c r="B133" s="47" t="s">
        <v>636</v>
      </c>
      <c r="C133" t="s">
        <v>398</v>
      </c>
      <c r="D133" t="s">
        <v>765</v>
      </c>
    </row>
    <row r="134" spans="1:4" x14ac:dyDescent="0.25">
      <c r="A134" t="s">
        <v>766</v>
      </c>
      <c r="B134" s="47" t="s">
        <v>636</v>
      </c>
      <c r="C134" t="s">
        <v>399</v>
      </c>
      <c r="D134" t="s">
        <v>766</v>
      </c>
    </row>
    <row r="135" spans="1:4" x14ac:dyDescent="0.25">
      <c r="A135" t="s">
        <v>767</v>
      </c>
      <c r="B135" s="47" t="s">
        <v>636</v>
      </c>
      <c r="C135" t="s">
        <v>400</v>
      </c>
      <c r="D135" t="s">
        <v>767</v>
      </c>
    </row>
    <row r="136" spans="1:4" x14ac:dyDescent="0.25">
      <c r="A136" t="s">
        <v>768</v>
      </c>
      <c r="B136" s="47" t="s">
        <v>636</v>
      </c>
      <c r="C136" t="s">
        <v>36</v>
      </c>
      <c r="D136" t="s">
        <v>768</v>
      </c>
    </row>
    <row r="137" spans="1:4" x14ac:dyDescent="0.25">
      <c r="A137" t="s">
        <v>769</v>
      </c>
      <c r="B137" s="47" t="s">
        <v>636</v>
      </c>
      <c r="C137" t="s">
        <v>401</v>
      </c>
      <c r="D137" t="s">
        <v>769</v>
      </c>
    </row>
    <row r="138" spans="1:4" x14ac:dyDescent="0.25">
      <c r="A138" t="s">
        <v>770</v>
      </c>
      <c r="B138" s="47" t="s">
        <v>636</v>
      </c>
      <c r="C138" t="s">
        <v>402</v>
      </c>
      <c r="D138" t="s">
        <v>770</v>
      </c>
    </row>
    <row r="139" spans="1:4" x14ac:dyDescent="0.25">
      <c r="A139" t="s">
        <v>771</v>
      </c>
      <c r="B139" s="47" t="s">
        <v>636</v>
      </c>
      <c r="C139" t="s">
        <v>403</v>
      </c>
      <c r="D139" t="s">
        <v>771</v>
      </c>
    </row>
    <row r="140" spans="1:4" x14ac:dyDescent="0.25">
      <c r="A140" t="s">
        <v>772</v>
      </c>
      <c r="B140" s="47" t="s">
        <v>636</v>
      </c>
      <c r="C140" t="s">
        <v>404</v>
      </c>
      <c r="D140" t="s">
        <v>772</v>
      </c>
    </row>
    <row r="141" spans="1:4" x14ac:dyDescent="0.25">
      <c r="A141" t="s">
        <v>773</v>
      </c>
      <c r="B141" s="47" t="s">
        <v>636</v>
      </c>
      <c r="C141" t="s">
        <v>405</v>
      </c>
      <c r="D141" t="s">
        <v>773</v>
      </c>
    </row>
    <row r="142" spans="1:4" x14ac:dyDescent="0.25">
      <c r="A142" t="s">
        <v>774</v>
      </c>
      <c r="B142" s="47" t="s">
        <v>636</v>
      </c>
      <c r="C142" t="s">
        <v>427</v>
      </c>
      <c r="D142" t="s">
        <v>774</v>
      </c>
    </row>
    <row r="143" spans="1:4" x14ac:dyDescent="0.25">
      <c r="A143" t="s">
        <v>775</v>
      </c>
      <c r="B143" s="47" t="s">
        <v>636</v>
      </c>
      <c r="C143" t="s">
        <v>430</v>
      </c>
      <c r="D143" t="s">
        <v>775</v>
      </c>
    </row>
    <row r="144" spans="1:4" x14ac:dyDescent="0.25">
      <c r="A144" t="s">
        <v>776</v>
      </c>
      <c r="B144" s="47" t="s">
        <v>636</v>
      </c>
      <c r="C144" t="s">
        <v>431</v>
      </c>
      <c r="D144" t="s">
        <v>776</v>
      </c>
    </row>
    <row r="145" spans="1:4" x14ac:dyDescent="0.25">
      <c r="A145" t="s">
        <v>777</v>
      </c>
      <c r="B145" s="47" t="s">
        <v>778</v>
      </c>
      <c r="C145" t="s">
        <v>407</v>
      </c>
      <c r="D145" t="s">
        <v>777</v>
      </c>
    </row>
    <row r="146" spans="1:4" x14ac:dyDescent="0.25">
      <c r="A146" t="s">
        <v>779</v>
      </c>
      <c r="B146" s="47" t="s">
        <v>778</v>
      </c>
      <c r="C146" t="s">
        <v>409</v>
      </c>
      <c r="D146" t="s">
        <v>779</v>
      </c>
    </row>
    <row r="147" spans="1:4" x14ac:dyDescent="0.25">
      <c r="A147" t="s">
        <v>780</v>
      </c>
      <c r="B147" s="47" t="s">
        <v>778</v>
      </c>
      <c r="C147" t="s">
        <v>411</v>
      </c>
      <c r="D147" t="s">
        <v>780</v>
      </c>
    </row>
    <row r="148" spans="1:4" x14ac:dyDescent="0.25">
      <c r="A148" t="s">
        <v>781</v>
      </c>
      <c r="B148" s="47" t="s">
        <v>778</v>
      </c>
      <c r="C148" t="s">
        <v>412</v>
      </c>
      <c r="D148" t="s">
        <v>781</v>
      </c>
    </row>
    <row r="149" spans="1:4" x14ac:dyDescent="0.25">
      <c r="A149" t="s">
        <v>782</v>
      </c>
      <c r="B149" s="47" t="s">
        <v>778</v>
      </c>
      <c r="C149" t="s">
        <v>413</v>
      </c>
      <c r="D149" t="s">
        <v>782</v>
      </c>
    </row>
    <row r="150" spans="1:4" x14ac:dyDescent="0.25">
      <c r="A150" t="s">
        <v>783</v>
      </c>
      <c r="B150" s="47" t="s">
        <v>778</v>
      </c>
      <c r="C150" t="s">
        <v>416</v>
      </c>
      <c r="D150" t="s">
        <v>783</v>
      </c>
    </row>
    <row r="151" spans="1:4" x14ac:dyDescent="0.25">
      <c r="A151" t="s">
        <v>784</v>
      </c>
      <c r="B151" s="47" t="s">
        <v>778</v>
      </c>
      <c r="C151" t="s">
        <v>417</v>
      </c>
      <c r="D151" t="s">
        <v>784</v>
      </c>
    </row>
    <row r="152" spans="1:4" x14ac:dyDescent="0.25">
      <c r="A152" t="s">
        <v>785</v>
      </c>
      <c r="B152" s="47" t="s">
        <v>778</v>
      </c>
      <c r="C152" t="s">
        <v>418</v>
      </c>
      <c r="D152" t="s">
        <v>785</v>
      </c>
    </row>
    <row r="153" spans="1:4" x14ac:dyDescent="0.25">
      <c r="A153" t="s">
        <v>786</v>
      </c>
      <c r="B153" s="47" t="s">
        <v>778</v>
      </c>
      <c r="C153" t="s">
        <v>419</v>
      </c>
      <c r="D153" t="s">
        <v>786</v>
      </c>
    </row>
    <row r="154" spans="1:4" x14ac:dyDescent="0.25">
      <c r="A154" t="s">
        <v>787</v>
      </c>
      <c r="B154" s="47" t="s">
        <v>778</v>
      </c>
      <c r="C154" t="s">
        <v>420</v>
      </c>
      <c r="D154" t="s">
        <v>787</v>
      </c>
    </row>
    <row r="155" spans="1:4" x14ac:dyDescent="0.25">
      <c r="A155" t="s">
        <v>788</v>
      </c>
      <c r="B155" s="47" t="s">
        <v>778</v>
      </c>
      <c r="C155" t="s">
        <v>421</v>
      </c>
      <c r="D155" t="s">
        <v>788</v>
      </c>
    </row>
    <row r="156" spans="1:4" x14ac:dyDescent="0.25">
      <c r="A156" t="s">
        <v>789</v>
      </c>
      <c r="B156" s="47" t="s">
        <v>778</v>
      </c>
      <c r="C156" t="s">
        <v>422</v>
      </c>
      <c r="D156" t="s">
        <v>789</v>
      </c>
    </row>
    <row r="157" spans="1:4" x14ac:dyDescent="0.25">
      <c r="A157" t="s">
        <v>790</v>
      </c>
      <c r="B157" s="47" t="s">
        <v>778</v>
      </c>
      <c r="C157" t="s">
        <v>423</v>
      </c>
      <c r="D157" t="s">
        <v>790</v>
      </c>
    </row>
    <row r="158" spans="1:4" x14ac:dyDescent="0.25">
      <c r="A158" t="s">
        <v>791</v>
      </c>
      <c r="B158" s="47" t="s">
        <v>778</v>
      </c>
      <c r="C158" t="s">
        <v>424</v>
      </c>
      <c r="D158" t="s">
        <v>791</v>
      </c>
    </row>
    <row r="159" spans="1:4" x14ac:dyDescent="0.25">
      <c r="A159" t="s">
        <v>792</v>
      </c>
      <c r="B159" s="47" t="s">
        <v>778</v>
      </c>
      <c r="C159" t="s">
        <v>425</v>
      </c>
      <c r="D159" t="s">
        <v>792</v>
      </c>
    </row>
    <row r="160" spans="1:4" x14ac:dyDescent="0.25">
      <c r="A160" t="s">
        <v>793</v>
      </c>
      <c r="B160" s="47" t="s">
        <v>778</v>
      </c>
      <c r="C160" t="s">
        <v>428</v>
      </c>
      <c r="D160" t="s">
        <v>793</v>
      </c>
    </row>
    <row r="161" spans="1:4" x14ac:dyDescent="0.25">
      <c r="A161" t="s">
        <v>794</v>
      </c>
      <c r="B161" s="47" t="s">
        <v>778</v>
      </c>
      <c r="C161" t="s">
        <v>429</v>
      </c>
      <c r="D161" t="s">
        <v>794</v>
      </c>
    </row>
    <row r="162" spans="1:4" x14ac:dyDescent="0.25">
      <c r="A162" t="s">
        <v>795</v>
      </c>
      <c r="B162" s="47" t="s">
        <v>796</v>
      </c>
      <c r="C162" t="s">
        <v>77</v>
      </c>
      <c r="D162" t="s">
        <v>795</v>
      </c>
    </row>
    <row r="163" spans="1:4" x14ac:dyDescent="0.25">
      <c r="A163" t="s">
        <v>797</v>
      </c>
      <c r="B163" s="47" t="s">
        <v>796</v>
      </c>
      <c r="C163" t="s">
        <v>79</v>
      </c>
      <c r="D163" t="s">
        <v>797</v>
      </c>
    </row>
    <row r="164" spans="1:4" x14ac:dyDescent="0.25">
      <c r="A164" t="s">
        <v>798</v>
      </c>
      <c r="B164" s="47" t="s">
        <v>796</v>
      </c>
      <c r="C164" t="s">
        <v>80</v>
      </c>
      <c r="D164" t="s">
        <v>798</v>
      </c>
    </row>
    <row r="165" spans="1:4" x14ac:dyDescent="0.25">
      <c r="A165" t="s">
        <v>799</v>
      </c>
      <c r="B165" s="47" t="s">
        <v>796</v>
      </c>
      <c r="C165" t="s">
        <v>81</v>
      </c>
      <c r="D165" t="s">
        <v>799</v>
      </c>
    </row>
    <row r="166" spans="1:4" x14ac:dyDescent="0.25">
      <c r="A166" t="s">
        <v>800</v>
      </c>
      <c r="B166" s="47" t="s">
        <v>796</v>
      </c>
      <c r="C166" t="s">
        <v>82</v>
      </c>
      <c r="D166" t="s">
        <v>800</v>
      </c>
    </row>
    <row r="167" spans="1:4" x14ac:dyDescent="0.25">
      <c r="A167" t="s">
        <v>801</v>
      </c>
      <c r="B167" s="47" t="s">
        <v>796</v>
      </c>
      <c r="C167" t="s">
        <v>83</v>
      </c>
      <c r="D167" t="s">
        <v>801</v>
      </c>
    </row>
    <row r="168" spans="1:4" x14ac:dyDescent="0.25">
      <c r="A168" t="s">
        <v>802</v>
      </c>
      <c r="B168" s="47" t="s">
        <v>796</v>
      </c>
      <c r="C168" t="s">
        <v>84</v>
      </c>
      <c r="D168" t="s">
        <v>802</v>
      </c>
    </row>
    <row r="169" spans="1:4" x14ac:dyDescent="0.25">
      <c r="A169" t="s">
        <v>803</v>
      </c>
      <c r="B169" s="47" t="s">
        <v>796</v>
      </c>
      <c r="C169" t="s">
        <v>85</v>
      </c>
      <c r="D169" t="s">
        <v>803</v>
      </c>
    </row>
    <row r="170" spans="1:4" x14ac:dyDescent="0.25">
      <c r="A170" t="s">
        <v>804</v>
      </c>
      <c r="B170" s="47" t="s">
        <v>796</v>
      </c>
      <c r="C170" t="s">
        <v>86</v>
      </c>
      <c r="D170" t="s">
        <v>804</v>
      </c>
    </row>
    <row r="171" spans="1:4" x14ac:dyDescent="0.25">
      <c r="A171" t="s">
        <v>805</v>
      </c>
      <c r="B171" s="47" t="s">
        <v>796</v>
      </c>
      <c r="C171" t="s">
        <v>87</v>
      </c>
      <c r="D171" t="s">
        <v>805</v>
      </c>
    </row>
    <row r="172" spans="1:4" x14ac:dyDescent="0.25">
      <c r="A172" t="s">
        <v>806</v>
      </c>
      <c r="B172" s="47" t="s">
        <v>796</v>
      </c>
      <c r="C172" t="s">
        <v>88</v>
      </c>
      <c r="D172" t="s">
        <v>806</v>
      </c>
    </row>
    <row r="173" spans="1:4" x14ac:dyDescent="0.25">
      <c r="A173" t="s">
        <v>807</v>
      </c>
      <c r="B173" s="47" t="s">
        <v>796</v>
      </c>
      <c r="C173" t="s">
        <v>89</v>
      </c>
      <c r="D173" t="s">
        <v>807</v>
      </c>
    </row>
    <row r="174" spans="1:4" x14ac:dyDescent="0.25">
      <c r="A174" t="s">
        <v>808</v>
      </c>
      <c r="B174" s="47" t="s">
        <v>796</v>
      </c>
      <c r="C174" t="s">
        <v>90</v>
      </c>
      <c r="D174" t="s">
        <v>808</v>
      </c>
    </row>
    <row r="175" spans="1:4" x14ac:dyDescent="0.25">
      <c r="A175" t="s">
        <v>809</v>
      </c>
      <c r="B175" s="47" t="s">
        <v>796</v>
      </c>
      <c r="C175" t="s">
        <v>91</v>
      </c>
      <c r="D175" t="s">
        <v>809</v>
      </c>
    </row>
    <row r="176" spans="1:4" x14ac:dyDescent="0.25">
      <c r="A176" t="s">
        <v>810</v>
      </c>
      <c r="B176" s="47" t="s">
        <v>796</v>
      </c>
      <c r="C176" t="s">
        <v>92</v>
      </c>
      <c r="D176" t="s">
        <v>810</v>
      </c>
    </row>
    <row r="177" spans="1:4" x14ac:dyDescent="0.25">
      <c r="A177" t="s">
        <v>811</v>
      </c>
      <c r="B177" s="47" t="s">
        <v>796</v>
      </c>
      <c r="C177" t="s">
        <v>93</v>
      </c>
      <c r="D177" t="s">
        <v>811</v>
      </c>
    </row>
    <row r="178" spans="1:4" x14ac:dyDescent="0.25">
      <c r="A178" t="s">
        <v>812</v>
      </c>
      <c r="B178" s="47" t="s">
        <v>796</v>
      </c>
      <c r="C178" t="s">
        <v>94</v>
      </c>
      <c r="D178" t="s">
        <v>812</v>
      </c>
    </row>
    <row r="179" spans="1:4" x14ac:dyDescent="0.25">
      <c r="A179" t="s">
        <v>813</v>
      </c>
      <c r="B179" s="47" t="s">
        <v>796</v>
      </c>
      <c r="C179" t="s">
        <v>95</v>
      </c>
      <c r="D179" t="s">
        <v>813</v>
      </c>
    </row>
    <row r="180" spans="1:4" x14ac:dyDescent="0.25">
      <c r="A180" t="s">
        <v>814</v>
      </c>
      <c r="B180" s="47" t="s">
        <v>796</v>
      </c>
      <c r="C180" t="s">
        <v>96</v>
      </c>
      <c r="D180" t="s">
        <v>814</v>
      </c>
    </row>
    <row r="181" spans="1:4" x14ac:dyDescent="0.25">
      <c r="A181" t="s">
        <v>815</v>
      </c>
      <c r="B181" s="47" t="s">
        <v>796</v>
      </c>
      <c r="C181" t="s">
        <v>97</v>
      </c>
      <c r="D181" t="s">
        <v>815</v>
      </c>
    </row>
    <row r="182" spans="1:4" x14ac:dyDescent="0.25">
      <c r="A182" t="s">
        <v>816</v>
      </c>
      <c r="B182" s="47" t="s">
        <v>796</v>
      </c>
      <c r="C182" t="s">
        <v>98</v>
      </c>
      <c r="D182" t="s">
        <v>816</v>
      </c>
    </row>
    <row r="183" spans="1:4" x14ac:dyDescent="0.25">
      <c r="A183" t="s">
        <v>817</v>
      </c>
      <c r="B183" s="47" t="s">
        <v>796</v>
      </c>
      <c r="C183" t="s">
        <v>99</v>
      </c>
      <c r="D183" t="s">
        <v>817</v>
      </c>
    </row>
    <row r="184" spans="1:4" x14ac:dyDescent="0.25">
      <c r="A184" t="s">
        <v>818</v>
      </c>
      <c r="B184" s="47" t="s">
        <v>796</v>
      </c>
      <c r="C184" t="s">
        <v>100</v>
      </c>
      <c r="D184" t="s">
        <v>818</v>
      </c>
    </row>
    <row r="185" spans="1:4" x14ac:dyDescent="0.25">
      <c r="A185" t="s">
        <v>819</v>
      </c>
      <c r="B185" s="47" t="s">
        <v>796</v>
      </c>
      <c r="C185" t="s">
        <v>101</v>
      </c>
      <c r="D185" t="s">
        <v>819</v>
      </c>
    </row>
    <row r="186" spans="1:4" x14ac:dyDescent="0.25">
      <c r="A186" t="s">
        <v>820</v>
      </c>
      <c r="B186" s="47" t="s">
        <v>796</v>
      </c>
      <c r="C186" t="s">
        <v>102</v>
      </c>
      <c r="D186" t="s">
        <v>820</v>
      </c>
    </row>
    <row r="187" spans="1:4" x14ac:dyDescent="0.25">
      <c r="A187" t="s">
        <v>821</v>
      </c>
      <c r="B187" s="47" t="s">
        <v>796</v>
      </c>
      <c r="C187" t="s">
        <v>103</v>
      </c>
      <c r="D187" t="s">
        <v>821</v>
      </c>
    </row>
    <row r="188" spans="1:4" x14ac:dyDescent="0.25">
      <c r="A188" t="s">
        <v>822</v>
      </c>
      <c r="B188" s="47" t="s">
        <v>796</v>
      </c>
      <c r="C188" t="s">
        <v>104</v>
      </c>
      <c r="D188" t="s">
        <v>822</v>
      </c>
    </row>
    <row r="189" spans="1:4" x14ac:dyDescent="0.25">
      <c r="A189" t="s">
        <v>823</v>
      </c>
      <c r="B189" s="47" t="s">
        <v>796</v>
      </c>
      <c r="C189" t="s">
        <v>105</v>
      </c>
      <c r="D189" t="s">
        <v>823</v>
      </c>
    </row>
    <row r="190" spans="1:4" x14ac:dyDescent="0.25">
      <c r="A190" t="s">
        <v>824</v>
      </c>
      <c r="B190" s="47" t="s">
        <v>796</v>
      </c>
      <c r="C190" t="s">
        <v>106</v>
      </c>
      <c r="D190" t="s">
        <v>824</v>
      </c>
    </row>
    <row r="191" spans="1:4" x14ac:dyDescent="0.25">
      <c r="A191" t="s">
        <v>825</v>
      </c>
      <c r="B191" s="47" t="s">
        <v>796</v>
      </c>
      <c r="C191" t="s">
        <v>107</v>
      </c>
      <c r="D191" t="s">
        <v>825</v>
      </c>
    </row>
    <row r="192" spans="1:4" x14ac:dyDescent="0.25">
      <c r="A192" t="s">
        <v>826</v>
      </c>
      <c r="B192" s="47" t="s">
        <v>796</v>
      </c>
      <c r="C192" t="s">
        <v>108</v>
      </c>
      <c r="D192" t="s">
        <v>826</v>
      </c>
    </row>
    <row r="193" spans="1:4" x14ac:dyDescent="0.25">
      <c r="A193" t="s">
        <v>827</v>
      </c>
      <c r="B193" s="47" t="s">
        <v>796</v>
      </c>
      <c r="C193" t="s">
        <v>109</v>
      </c>
      <c r="D193" t="s">
        <v>827</v>
      </c>
    </row>
    <row r="194" spans="1:4" x14ac:dyDescent="0.25">
      <c r="A194" t="s">
        <v>828</v>
      </c>
      <c r="B194" s="47" t="s">
        <v>796</v>
      </c>
      <c r="C194" t="s">
        <v>110</v>
      </c>
      <c r="D194" t="s">
        <v>828</v>
      </c>
    </row>
    <row r="195" spans="1:4" x14ac:dyDescent="0.25">
      <c r="A195" t="s">
        <v>829</v>
      </c>
      <c r="B195" s="47" t="s">
        <v>796</v>
      </c>
      <c r="C195" t="s">
        <v>111</v>
      </c>
      <c r="D195" t="s">
        <v>829</v>
      </c>
    </row>
    <row r="196" spans="1:4" x14ac:dyDescent="0.25">
      <c r="A196" t="s">
        <v>10</v>
      </c>
      <c r="B196" s="47" t="s">
        <v>796</v>
      </c>
      <c r="C196" t="s">
        <v>112</v>
      </c>
      <c r="D196" t="s">
        <v>10</v>
      </c>
    </row>
    <row r="197" spans="1:4" x14ac:dyDescent="0.25">
      <c r="A197" t="s">
        <v>830</v>
      </c>
      <c r="B197" s="47" t="s">
        <v>796</v>
      </c>
      <c r="C197" t="s">
        <v>113</v>
      </c>
      <c r="D197" t="s">
        <v>830</v>
      </c>
    </row>
    <row r="198" spans="1:4" x14ac:dyDescent="0.25">
      <c r="A198" t="s">
        <v>831</v>
      </c>
      <c r="B198" s="47" t="s">
        <v>796</v>
      </c>
      <c r="C198" t="s">
        <v>114</v>
      </c>
      <c r="D198" t="s">
        <v>831</v>
      </c>
    </row>
    <row r="199" spans="1:4" x14ac:dyDescent="0.25">
      <c r="A199" t="s">
        <v>832</v>
      </c>
      <c r="B199" s="47" t="s">
        <v>796</v>
      </c>
      <c r="C199" t="s">
        <v>115</v>
      </c>
      <c r="D199" t="s">
        <v>832</v>
      </c>
    </row>
    <row r="200" spans="1:4" x14ac:dyDescent="0.25">
      <c r="A200" t="s">
        <v>833</v>
      </c>
      <c r="B200" s="47" t="s">
        <v>796</v>
      </c>
      <c r="C200" t="s">
        <v>116</v>
      </c>
      <c r="D200" t="s">
        <v>833</v>
      </c>
    </row>
    <row r="201" spans="1:4" x14ac:dyDescent="0.25">
      <c r="A201" t="s">
        <v>834</v>
      </c>
      <c r="B201" s="47" t="s">
        <v>796</v>
      </c>
      <c r="C201" t="s">
        <v>12</v>
      </c>
      <c r="D201" t="s">
        <v>834</v>
      </c>
    </row>
    <row r="202" spans="1:4" x14ac:dyDescent="0.25">
      <c r="A202" t="s">
        <v>835</v>
      </c>
      <c r="B202" s="47" t="s">
        <v>796</v>
      </c>
      <c r="C202" t="s">
        <v>32</v>
      </c>
      <c r="D202" t="s">
        <v>835</v>
      </c>
    </row>
    <row r="203" spans="1:4" x14ac:dyDescent="0.25">
      <c r="A203" t="s">
        <v>836</v>
      </c>
      <c r="B203" s="47" t="s">
        <v>796</v>
      </c>
      <c r="C203" t="s">
        <v>13</v>
      </c>
      <c r="D203" t="s">
        <v>836</v>
      </c>
    </row>
    <row r="204" spans="1:4" x14ac:dyDescent="0.25">
      <c r="A204" t="s">
        <v>837</v>
      </c>
      <c r="B204" s="47" t="s">
        <v>796</v>
      </c>
      <c r="C204" t="s">
        <v>33</v>
      </c>
      <c r="D204" t="s">
        <v>837</v>
      </c>
    </row>
    <row r="205" spans="1:4" x14ac:dyDescent="0.25">
      <c r="A205" t="s">
        <v>838</v>
      </c>
      <c r="B205" s="47" t="s">
        <v>796</v>
      </c>
      <c r="C205" t="s">
        <v>117</v>
      </c>
      <c r="D205" t="s">
        <v>838</v>
      </c>
    </row>
    <row r="206" spans="1:4" x14ac:dyDescent="0.25">
      <c r="A206" t="s">
        <v>839</v>
      </c>
      <c r="B206" s="47" t="s">
        <v>796</v>
      </c>
      <c r="C206" t="s">
        <v>118</v>
      </c>
      <c r="D206" t="s">
        <v>839</v>
      </c>
    </row>
    <row r="207" spans="1:4" x14ac:dyDescent="0.25">
      <c r="A207" t="s">
        <v>840</v>
      </c>
      <c r="B207" s="47" t="s">
        <v>796</v>
      </c>
      <c r="C207" t="s">
        <v>119</v>
      </c>
      <c r="D207" t="s">
        <v>840</v>
      </c>
    </row>
    <row r="208" spans="1:4" x14ac:dyDescent="0.25">
      <c r="A208" t="s">
        <v>841</v>
      </c>
      <c r="B208" s="47" t="s">
        <v>796</v>
      </c>
      <c r="C208" t="s">
        <v>120</v>
      </c>
      <c r="D208" t="s">
        <v>841</v>
      </c>
    </row>
    <row r="209" spans="1:4" x14ac:dyDescent="0.25">
      <c r="A209" t="s">
        <v>842</v>
      </c>
      <c r="B209" s="47" t="s">
        <v>796</v>
      </c>
      <c r="C209" t="s">
        <v>121</v>
      </c>
      <c r="D209" t="s">
        <v>842</v>
      </c>
    </row>
    <row r="210" spans="1:4" x14ac:dyDescent="0.25">
      <c r="A210" t="s">
        <v>843</v>
      </c>
      <c r="B210" s="47" t="s">
        <v>796</v>
      </c>
      <c r="C210" t="s">
        <v>122</v>
      </c>
      <c r="D210" t="s">
        <v>843</v>
      </c>
    </row>
    <row r="211" spans="1:4" x14ac:dyDescent="0.25">
      <c r="A211" t="s">
        <v>844</v>
      </c>
      <c r="B211" s="47" t="s">
        <v>796</v>
      </c>
      <c r="C211" t="s">
        <v>123</v>
      </c>
      <c r="D211" t="s">
        <v>844</v>
      </c>
    </row>
    <row r="212" spans="1:4" x14ac:dyDescent="0.25">
      <c r="A212" t="s">
        <v>845</v>
      </c>
      <c r="B212" s="47" t="s">
        <v>796</v>
      </c>
      <c r="C212" t="s">
        <v>124</v>
      </c>
      <c r="D212" t="s">
        <v>845</v>
      </c>
    </row>
    <row r="213" spans="1:4" x14ac:dyDescent="0.25">
      <c r="A213" t="s">
        <v>846</v>
      </c>
      <c r="B213" s="47" t="s">
        <v>796</v>
      </c>
      <c r="C213" t="s">
        <v>125</v>
      </c>
      <c r="D213" t="s">
        <v>846</v>
      </c>
    </row>
    <row r="214" spans="1:4" x14ac:dyDescent="0.25">
      <c r="A214" t="s">
        <v>847</v>
      </c>
      <c r="B214" s="47" t="s">
        <v>796</v>
      </c>
      <c r="C214" t="s">
        <v>126</v>
      </c>
      <c r="D214" t="s">
        <v>847</v>
      </c>
    </row>
    <row r="215" spans="1:4" x14ac:dyDescent="0.25">
      <c r="A215" t="s">
        <v>848</v>
      </c>
      <c r="B215" s="47" t="s">
        <v>796</v>
      </c>
      <c r="C215" t="s">
        <v>127</v>
      </c>
      <c r="D215" t="s">
        <v>848</v>
      </c>
    </row>
    <row r="216" spans="1:4" x14ac:dyDescent="0.25">
      <c r="A216" t="s">
        <v>849</v>
      </c>
      <c r="B216" s="47" t="s">
        <v>796</v>
      </c>
      <c r="C216" t="s">
        <v>128</v>
      </c>
      <c r="D216" t="s">
        <v>849</v>
      </c>
    </row>
    <row r="217" spans="1:4" x14ac:dyDescent="0.25">
      <c r="A217" t="s">
        <v>850</v>
      </c>
      <c r="B217" s="47" t="s">
        <v>796</v>
      </c>
      <c r="C217" t="s">
        <v>129</v>
      </c>
      <c r="D217" t="s">
        <v>850</v>
      </c>
    </row>
    <row r="218" spans="1:4" x14ac:dyDescent="0.25">
      <c r="A218" t="s">
        <v>851</v>
      </c>
      <c r="B218" s="47" t="s">
        <v>796</v>
      </c>
      <c r="C218" t="s">
        <v>130</v>
      </c>
      <c r="D218" t="s">
        <v>851</v>
      </c>
    </row>
    <row r="219" spans="1:4" x14ac:dyDescent="0.25">
      <c r="A219" t="s">
        <v>852</v>
      </c>
      <c r="B219" s="47" t="s">
        <v>796</v>
      </c>
      <c r="C219" t="s">
        <v>131</v>
      </c>
      <c r="D219" t="s">
        <v>852</v>
      </c>
    </row>
    <row r="220" spans="1:4" x14ac:dyDescent="0.25">
      <c r="A220" t="s">
        <v>853</v>
      </c>
      <c r="B220" s="47" t="s">
        <v>796</v>
      </c>
      <c r="C220" t="s">
        <v>132</v>
      </c>
      <c r="D220" t="s">
        <v>853</v>
      </c>
    </row>
    <row r="221" spans="1:4" x14ac:dyDescent="0.25">
      <c r="A221" t="s">
        <v>854</v>
      </c>
      <c r="B221" s="47" t="s">
        <v>796</v>
      </c>
      <c r="C221" t="s">
        <v>133</v>
      </c>
      <c r="D221" t="s">
        <v>854</v>
      </c>
    </row>
    <row r="222" spans="1:4" x14ac:dyDescent="0.25">
      <c r="A222" t="s">
        <v>855</v>
      </c>
      <c r="B222" s="47" t="s">
        <v>796</v>
      </c>
      <c r="C222" t="s">
        <v>134</v>
      </c>
      <c r="D222" t="s">
        <v>855</v>
      </c>
    </row>
    <row r="223" spans="1:4" x14ac:dyDescent="0.25">
      <c r="A223" t="s">
        <v>856</v>
      </c>
      <c r="B223" s="47" t="s">
        <v>796</v>
      </c>
      <c r="C223" t="s">
        <v>135</v>
      </c>
      <c r="D223" t="s">
        <v>856</v>
      </c>
    </row>
    <row r="224" spans="1:4" x14ac:dyDescent="0.25">
      <c r="A224" t="s">
        <v>857</v>
      </c>
      <c r="B224" s="47" t="s">
        <v>796</v>
      </c>
      <c r="C224" t="s">
        <v>136</v>
      </c>
      <c r="D224" t="s">
        <v>857</v>
      </c>
    </row>
    <row r="225" spans="1:4" x14ac:dyDescent="0.25">
      <c r="A225" t="s">
        <v>858</v>
      </c>
      <c r="B225" s="47" t="s">
        <v>796</v>
      </c>
      <c r="C225" t="s">
        <v>137</v>
      </c>
      <c r="D225" t="s">
        <v>858</v>
      </c>
    </row>
    <row r="226" spans="1:4" x14ac:dyDescent="0.25">
      <c r="A226" t="s">
        <v>859</v>
      </c>
      <c r="B226" s="47" t="s">
        <v>796</v>
      </c>
      <c r="C226" t="s">
        <v>138</v>
      </c>
      <c r="D226" t="s">
        <v>859</v>
      </c>
    </row>
    <row r="227" spans="1:4" x14ac:dyDescent="0.25">
      <c r="A227" t="s">
        <v>860</v>
      </c>
      <c r="B227" s="47" t="s">
        <v>796</v>
      </c>
      <c r="C227" t="s">
        <v>139</v>
      </c>
      <c r="D227" t="s">
        <v>860</v>
      </c>
    </row>
    <row r="228" spans="1:4" x14ac:dyDescent="0.25">
      <c r="A228" t="s">
        <v>861</v>
      </c>
      <c r="B228" s="47" t="s">
        <v>796</v>
      </c>
      <c r="C228" t="s">
        <v>140</v>
      </c>
      <c r="D228" t="s">
        <v>861</v>
      </c>
    </row>
    <row r="229" spans="1:4" x14ac:dyDescent="0.25">
      <c r="A229" t="s">
        <v>862</v>
      </c>
      <c r="B229" s="47" t="s">
        <v>796</v>
      </c>
      <c r="C229" t="s">
        <v>141</v>
      </c>
      <c r="D229" t="s">
        <v>862</v>
      </c>
    </row>
    <row r="230" spans="1:4" x14ac:dyDescent="0.25">
      <c r="A230" t="s">
        <v>863</v>
      </c>
      <c r="B230" s="47" t="s">
        <v>796</v>
      </c>
      <c r="C230" t="s">
        <v>142</v>
      </c>
      <c r="D230" t="s">
        <v>863</v>
      </c>
    </row>
    <row r="231" spans="1:4" x14ac:dyDescent="0.25">
      <c r="A231" t="s">
        <v>864</v>
      </c>
      <c r="B231" s="47" t="s">
        <v>796</v>
      </c>
      <c r="C231" t="s">
        <v>143</v>
      </c>
      <c r="D231" t="s">
        <v>864</v>
      </c>
    </row>
    <row r="232" spans="1:4" x14ac:dyDescent="0.25">
      <c r="A232" t="s">
        <v>865</v>
      </c>
      <c r="B232" s="47" t="s">
        <v>796</v>
      </c>
      <c r="C232" t="s">
        <v>144</v>
      </c>
      <c r="D232" t="s">
        <v>865</v>
      </c>
    </row>
    <row r="233" spans="1:4" x14ac:dyDescent="0.25">
      <c r="A233" t="s">
        <v>866</v>
      </c>
      <c r="B233" s="47" t="s">
        <v>796</v>
      </c>
      <c r="C233" t="s">
        <v>145</v>
      </c>
      <c r="D233" t="s">
        <v>866</v>
      </c>
    </row>
    <row r="234" spans="1:4" x14ac:dyDescent="0.25">
      <c r="A234" t="s">
        <v>867</v>
      </c>
      <c r="B234" s="47" t="s">
        <v>796</v>
      </c>
      <c r="C234" t="s">
        <v>146</v>
      </c>
      <c r="D234" t="s">
        <v>867</v>
      </c>
    </row>
    <row r="235" spans="1:4" x14ac:dyDescent="0.25">
      <c r="A235" t="s">
        <v>868</v>
      </c>
      <c r="B235" s="47" t="s">
        <v>796</v>
      </c>
      <c r="C235" t="s">
        <v>147</v>
      </c>
      <c r="D235" t="s">
        <v>868</v>
      </c>
    </row>
    <row r="236" spans="1:4" x14ac:dyDescent="0.25">
      <c r="A236" t="s">
        <v>869</v>
      </c>
      <c r="B236" s="47" t="s">
        <v>796</v>
      </c>
      <c r="C236" t="s">
        <v>148</v>
      </c>
      <c r="D236" t="s">
        <v>869</v>
      </c>
    </row>
    <row r="237" spans="1:4" x14ac:dyDescent="0.25">
      <c r="A237" t="s">
        <v>870</v>
      </c>
      <c r="B237" s="47" t="s">
        <v>796</v>
      </c>
      <c r="C237" t="s">
        <v>149</v>
      </c>
      <c r="D237" t="s">
        <v>870</v>
      </c>
    </row>
    <row r="238" spans="1:4" x14ac:dyDescent="0.25">
      <c r="A238" t="s">
        <v>871</v>
      </c>
      <c r="B238" s="47" t="s">
        <v>796</v>
      </c>
      <c r="C238" t="s">
        <v>150</v>
      </c>
      <c r="D238" t="s">
        <v>871</v>
      </c>
    </row>
    <row r="239" spans="1:4" x14ac:dyDescent="0.25">
      <c r="A239" t="s">
        <v>872</v>
      </c>
      <c r="B239" s="47" t="s">
        <v>796</v>
      </c>
      <c r="C239" t="s">
        <v>151</v>
      </c>
      <c r="D239" t="s">
        <v>872</v>
      </c>
    </row>
    <row r="240" spans="1:4" x14ac:dyDescent="0.25">
      <c r="A240" t="s">
        <v>873</v>
      </c>
      <c r="B240" s="47" t="s">
        <v>796</v>
      </c>
      <c r="C240" t="s">
        <v>152</v>
      </c>
      <c r="D240" t="s">
        <v>873</v>
      </c>
    </row>
    <row r="241" spans="1:4" x14ac:dyDescent="0.25">
      <c r="A241" t="s">
        <v>874</v>
      </c>
      <c r="B241" s="47" t="s">
        <v>796</v>
      </c>
      <c r="C241" t="s">
        <v>153</v>
      </c>
      <c r="D241" t="s">
        <v>874</v>
      </c>
    </row>
    <row r="242" spans="1:4" x14ac:dyDescent="0.25">
      <c r="A242" t="s">
        <v>875</v>
      </c>
      <c r="B242" s="47" t="s">
        <v>796</v>
      </c>
      <c r="C242" t="s">
        <v>154</v>
      </c>
      <c r="D242" t="s">
        <v>875</v>
      </c>
    </row>
    <row r="243" spans="1:4" x14ac:dyDescent="0.25">
      <c r="A243" t="s">
        <v>876</v>
      </c>
      <c r="B243" s="47" t="s">
        <v>796</v>
      </c>
      <c r="C243" t="s">
        <v>155</v>
      </c>
      <c r="D243" t="s">
        <v>876</v>
      </c>
    </row>
    <row r="244" spans="1:4" x14ac:dyDescent="0.25">
      <c r="A244" t="s">
        <v>877</v>
      </c>
      <c r="B244" s="47" t="s">
        <v>796</v>
      </c>
      <c r="C244" t="s">
        <v>156</v>
      </c>
      <c r="D244" t="s">
        <v>877</v>
      </c>
    </row>
    <row r="245" spans="1:4" x14ac:dyDescent="0.25">
      <c r="A245" t="s">
        <v>878</v>
      </c>
      <c r="B245" s="47" t="s">
        <v>796</v>
      </c>
      <c r="C245" t="s">
        <v>157</v>
      </c>
      <c r="D245" t="s">
        <v>878</v>
      </c>
    </row>
    <row r="246" spans="1:4" x14ac:dyDescent="0.25">
      <c r="A246" t="s">
        <v>879</v>
      </c>
      <c r="B246" s="47" t="s">
        <v>796</v>
      </c>
      <c r="C246" t="s">
        <v>158</v>
      </c>
      <c r="D246" t="s">
        <v>879</v>
      </c>
    </row>
    <row r="247" spans="1:4" x14ac:dyDescent="0.25">
      <c r="A247" t="s">
        <v>880</v>
      </c>
      <c r="B247" s="47" t="s">
        <v>796</v>
      </c>
      <c r="C247" t="s">
        <v>159</v>
      </c>
      <c r="D247" t="s">
        <v>880</v>
      </c>
    </row>
    <row r="248" spans="1:4" x14ac:dyDescent="0.25">
      <c r="A248" t="s">
        <v>881</v>
      </c>
      <c r="B248" s="47" t="s">
        <v>796</v>
      </c>
      <c r="C248" t="s">
        <v>160</v>
      </c>
      <c r="D248" t="s">
        <v>881</v>
      </c>
    </row>
    <row r="249" spans="1:4" x14ac:dyDescent="0.25">
      <c r="A249" t="s">
        <v>882</v>
      </c>
      <c r="B249" s="47" t="s">
        <v>796</v>
      </c>
      <c r="C249" t="s">
        <v>161</v>
      </c>
      <c r="D249" t="s">
        <v>882</v>
      </c>
    </row>
    <row r="250" spans="1:4" x14ac:dyDescent="0.25">
      <c r="A250" t="s">
        <v>883</v>
      </c>
      <c r="B250" s="47" t="s">
        <v>796</v>
      </c>
      <c r="C250" t="s">
        <v>162</v>
      </c>
      <c r="D250" t="s">
        <v>883</v>
      </c>
    </row>
    <row r="251" spans="1:4" x14ac:dyDescent="0.25">
      <c r="A251" t="s">
        <v>884</v>
      </c>
      <c r="B251" s="47" t="s">
        <v>796</v>
      </c>
      <c r="C251" t="s">
        <v>163</v>
      </c>
      <c r="D251" t="s">
        <v>884</v>
      </c>
    </row>
    <row r="252" spans="1:4" x14ac:dyDescent="0.25">
      <c r="A252" t="s">
        <v>885</v>
      </c>
      <c r="B252" s="47" t="s">
        <v>796</v>
      </c>
      <c r="C252" t="s">
        <v>164</v>
      </c>
      <c r="D252" t="s">
        <v>885</v>
      </c>
    </row>
    <row r="253" spans="1:4" x14ac:dyDescent="0.25">
      <c r="A253" t="s">
        <v>886</v>
      </c>
      <c r="B253" s="47" t="s">
        <v>796</v>
      </c>
      <c r="C253" t="s">
        <v>165</v>
      </c>
      <c r="D253" t="s">
        <v>886</v>
      </c>
    </row>
    <row r="254" spans="1:4" x14ac:dyDescent="0.25">
      <c r="A254" t="s">
        <v>887</v>
      </c>
      <c r="B254" s="47" t="s">
        <v>796</v>
      </c>
      <c r="C254" t="s">
        <v>166</v>
      </c>
      <c r="D254" t="s">
        <v>887</v>
      </c>
    </row>
    <row r="255" spans="1:4" x14ac:dyDescent="0.25">
      <c r="A255" t="s">
        <v>888</v>
      </c>
      <c r="B255" s="47" t="s">
        <v>796</v>
      </c>
      <c r="C255" t="s">
        <v>167</v>
      </c>
      <c r="D255" t="s">
        <v>888</v>
      </c>
    </row>
    <row r="256" spans="1:4" x14ac:dyDescent="0.25">
      <c r="A256" t="s">
        <v>889</v>
      </c>
      <c r="B256" s="47" t="s">
        <v>796</v>
      </c>
      <c r="C256" t="s">
        <v>168</v>
      </c>
      <c r="D256" t="s">
        <v>889</v>
      </c>
    </row>
    <row r="257" spans="1:4" x14ac:dyDescent="0.25">
      <c r="A257" t="s">
        <v>890</v>
      </c>
      <c r="B257" s="47" t="s">
        <v>796</v>
      </c>
      <c r="C257" t="s">
        <v>169</v>
      </c>
      <c r="D257" t="s">
        <v>890</v>
      </c>
    </row>
    <row r="258" spans="1:4" x14ac:dyDescent="0.25">
      <c r="A258" t="s">
        <v>891</v>
      </c>
      <c r="B258" s="47" t="s">
        <v>796</v>
      </c>
      <c r="C258" t="s">
        <v>170</v>
      </c>
      <c r="D258" t="s">
        <v>891</v>
      </c>
    </row>
    <row r="259" spans="1:4" x14ac:dyDescent="0.25">
      <c r="A259" t="s">
        <v>892</v>
      </c>
      <c r="B259" s="47" t="s">
        <v>796</v>
      </c>
      <c r="C259" t="s">
        <v>171</v>
      </c>
      <c r="D259" t="s">
        <v>892</v>
      </c>
    </row>
    <row r="260" spans="1:4" x14ac:dyDescent="0.25">
      <c r="A260" t="s">
        <v>893</v>
      </c>
      <c r="B260" s="47" t="s">
        <v>796</v>
      </c>
      <c r="C260" t="s">
        <v>172</v>
      </c>
      <c r="D260" t="s">
        <v>893</v>
      </c>
    </row>
    <row r="261" spans="1:4" x14ac:dyDescent="0.25">
      <c r="A261" t="s">
        <v>894</v>
      </c>
      <c r="B261" s="47" t="s">
        <v>796</v>
      </c>
      <c r="C261" t="s">
        <v>173</v>
      </c>
      <c r="D261" t="s">
        <v>894</v>
      </c>
    </row>
    <row r="262" spans="1:4" x14ac:dyDescent="0.25">
      <c r="A262" t="s">
        <v>895</v>
      </c>
      <c r="B262" s="47" t="s">
        <v>796</v>
      </c>
      <c r="C262" t="s">
        <v>174</v>
      </c>
      <c r="D262" t="s">
        <v>895</v>
      </c>
    </row>
    <row r="263" spans="1:4" x14ac:dyDescent="0.25">
      <c r="A263" t="s">
        <v>896</v>
      </c>
      <c r="B263" s="47" t="s">
        <v>796</v>
      </c>
      <c r="C263" t="s">
        <v>175</v>
      </c>
      <c r="D263" t="s">
        <v>896</v>
      </c>
    </row>
    <row r="264" spans="1:4" x14ac:dyDescent="0.25">
      <c r="A264" t="s">
        <v>897</v>
      </c>
      <c r="B264" s="47" t="s">
        <v>796</v>
      </c>
      <c r="C264" t="s">
        <v>176</v>
      </c>
      <c r="D264" t="s">
        <v>897</v>
      </c>
    </row>
    <row r="265" spans="1:4" x14ac:dyDescent="0.25">
      <c r="A265" t="s">
        <v>898</v>
      </c>
      <c r="B265" s="47" t="s">
        <v>796</v>
      </c>
      <c r="C265" t="s">
        <v>177</v>
      </c>
      <c r="D265" t="s">
        <v>898</v>
      </c>
    </row>
    <row r="266" spans="1:4" x14ac:dyDescent="0.25">
      <c r="A266" t="s">
        <v>899</v>
      </c>
      <c r="B266" s="47" t="s">
        <v>796</v>
      </c>
      <c r="C266" t="s">
        <v>178</v>
      </c>
      <c r="D266" t="s">
        <v>899</v>
      </c>
    </row>
    <row r="267" spans="1:4" x14ac:dyDescent="0.25">
      <c r="A267" t="s">
        <v>900</v>
      </c>
      <c r="B267" s="47" t="s">
        <v>796</v>
      </c>
      <c r="C267" t="s">
        <v>179</v>
      </c>
      <c r="D267" t="s">
        <v>900</v>
      </c>
    </row>
    <row r="268" spans="1:4" x14ac:dyDescent="0.25">
      <c r="A268" t="s">
        <v>901</v>
      </c>
      <c r="B268" s="47" t="s">
        <v>796</v>
      </c>
      <c r="C268" t="s">
        <v>180</v>
      </c>
      <c r="D268" t="s">
        <v>901</v>
      </c>
    </row>
    <row r="269" spans="1:4" x14ac:dyDescent="0.25">
      <c r="A269" t="s">
        <v>902</v>
      </c>
      <c r="B269" s="47" t="s">
        <v>796</v>
      </c>
      <c r="C269" t="s">
        <v>181</v>
      </c>
      <c r="D269" t="s">
        <v>902</v>
      </c>
    </row>
    <row r="270" spans="1:4" x14ac:dyDescent="0.25">
      <c r="A270" t="s">
        <v>903</v>
      </c>
      <c r="B270" s="47" t="s">
        <v>796</v>
      </c>
      <c r="C270" t="s">
        <v>182</v>
      </c>
      <c r="D270" t="s">
        <v>903</v>
      </c>
    </row>
    <row r="271" spans="1:4" x14ac:dyDescent="0.25">
      <c r="A271" t="s">
        <v>904</v>
      </c>
      <c r="B271" s="47" t="s">
        <v>796</v>
      </c>
      <c r="C271" t="s">
        <v>183</v>
      </c>
      <c r="D271" t="s">
        <v>904</v>
      </c>
    </row>
    <row r="272" spans="1:4" x14ac:dyDescent="0.25">
      <c r="A272" t="s">
        <v>905</v>
      </c>
      <c r="B272" s="47" t="s">
        <v>796</v>
      </c>
      <c r="C272" t="s">
        <v>184</v>
      </c>
      <c r="D272" t="s">
        <v>905</v>
      </c>
    </row>
    <row r="273" spans="1:4" x14ac:dyDescent="0.25">
      <c r="A273" t="s">
        <v>906</v>
      </c>
      <c r="B273" s="47" t="s">
        <v>796</v>
      </c>
      <c r="C273" t="s">
        <v>185</v>
      </c>
      <c r="D273" t="s">
        <v>906</v>
      </c>
    </row>
    <row r="274" spans="1:4" x14ac:dyDescent="0.25">
      <c r="A274" t="s">
        <v>907</v>
      </c>
      <c r="B274" s="47" t="s">
        <v>796</v>
      </c>
      <c r="C274" t="s">
        <v>186</v>
      </c>
      <c r="D274" t="s">
        <v>907</v>
      </c>
    </row>
    <row r="275" spans="1:4" x14ac:dyDescent="0.25">
      <c r="A275" t="s">
        <v>908</v>
      </c>
      <c r="B275" s="47" t="s">
        <v>796</v>
      </c>
      <c r="C275" t="s">
        <v>187</v>
      </c>
      <c r="D275" t="s">
        <v>908</v>
      </c>
    </row>
    <row r="276" spans="1:4" x14ac:dyDescent="0.25">
      <c r="A276" t="s">
        <v>909</v>
      </c>
      <c r="B276" s="47" t="s">
        <v>796</v>
      </c>
      <c r="C276" t="s">
        <v>188</v>
      </c>
      <c r="D276" t="s">
        <v>909</v>
      </c>
    </row>
    <row r="277" spans="1:4" x14ac:dyDescent="0.25">
      <c r="A277" t="s">
        <v>910</v>
      </c>
      <c r="B277" s="47" t="s">
        <v>796</v>
      </c>
      <c r="C277" t="s">
        <v>189</v>
      </c>
      <c r="D277" t="s">
        <v>910</v>
      </c>
    </row>
    <row r="278" spans="1:4" x14ac:dyDescent="0.25">
      <c r="A278" t="s">
        <v>911</v>
      </c>
      <c r="B278" s="47" t="s">
        <v>796</v>
      </c>
      <c r="C278" t="s">
        <v>190</v>
      </c>
      <c r="D278" t="s">
        <v>911</v>
      </c>
    </row>
    <row r="279" spans="1:4" x14ac:dyDescent="0.25">
      <c r="A279" t="s">
        <v>912</v>
      </c>
      <c r="B279" s="47" t="s">
        <v>796</v>
      </c>
      <c r="C279" t="s">
        <v>191</v>
      </c>
      <c r="D279" t="s">
        <v>912</v>
      </c>
    </row>
    <row r="280" spans="1:4" x14ac:dyDescent="0.25">
      <c r="A280" t="s">
        <v>913</v>
      </c>
      <c r="B280" s="47" t="s">
        <v>796</v>
      </c>
      <c r="C280" t="s">
        <v>192</v>
      </c>
      <c r="D280" t="s">
        <v>913</v>
      </c>
    </row>
    <row r="281" spans="1:4" x14ac:dyDescent="0.25">
      <c r="A281" t="s">
        <v>914</v>
      </c>
      <c r="B281" s="47" t="s">
        <v>796</v>
      </c>
      <c r="C281" t="s">
        <v>193</v>
      </c>
      <c r="D281" t="s">
        <v>914</v>
      </c>
    </row>
    <row r="282" spans="1:4" x14ac:dyDescent="0.25">
      <c r="A282" t="s">
        <v>915</v>
      </c>
      <c r="B282" s="47" t="s">
        <v>796</v>
      </c>
      <c r="C282" t="s">
        <v>194</v>
      </c>
      <c r="D282" t="s">
        <v>915</v>
      </c>
    </row>
    <row r="283" spans="1:4" x14ac:dyDescent="0.25">
      <c r="A283" t="s">
        <v>916</v>
      </c>
      <c r="B283" s="47" t="s">
        <v>796</v>
      </c>
      <c r="C283" t="s">
        <v>195</v>
      </c>
      <c r="D283" t="s">
        <v>916</v>
      </c>
    </row>
    <row r="284" spans="1:4" x14ac:dyDescent="0.25">
      <c r="A284" t="s">
        <v>917</v>
      </c>
      <c r="B284" s="47" t="s">
        <v>796</v>
      </c>
      <c r="C284" t="s">
        <v>196</v>
      </c>
      <c r="D284" t="s">
        <v>917</v>
      </c>
    </row>
    <row r="285" spans="1:4" x14ac:dyDescent="0.25">
      <c r="A285" t="s">
        <v>918</v>
      </c>
      <c r="B285" s="47" t="s">
        <v>796</v>
      </c>
      <c r="C285" t="s">
        <v>197</v>
      </c>
      <c r="D285" t="s">
        <v>918</v>
      </c>
    </row>
    <row r="286" spans="1:4" x14ac:dyDescent="0.25">
      <c r="A286" t="s">
        <v>919</v>
      </c>
      <c r="B286" s="47" t="s">
        <v>796</v>
      </c>
      <c r="C286" t="s">
        <v>198</v>
      </c>
      <c r="D286" t="s">
        <v>919</v>
      </c>
    </row>
    <row r="287" spans="1:4" x14ac:dyDescent="0.25">
      <c r="A287" t="s">
        <v>920</v>
      </c>
      <c r="B287" s="47" t="s">
        <v>796</v>
      </c>
      <c r="C287" t="s">
        <v>199</v>
      </c>
      <c r="D287" t="s">
        <v>920</v>
      </c>
    </row>
    <row r="288" spans="1:4" x14ac:dyDescent="0.25">
      <c r="A288" t="s">
        <v>921</v>
      </c>
      <c r="B288" s="47" t="s">
        <v>796</v>
      </c>
      <c r="C288" t="s">
        <v>200</v>
      </c>
      <c r="D288" t="s">
        <v>921</v>
      </c>
    </row>
    <row r="289" spans="1:4" x14ac:dyDescent="0.25">
      <c r="A289" t="s">
        <v>922</v>
      </c>
      <c r="B289" s="47" t="s">
        <v>796</v>
      </c>
      <c r="C289" t="s">
        <v>201</v>
      </c>
      <c r="D289" t="s">
        <v>922</v>
      </c>
    </row>
    <row r="290" spans="1:4" x14ac:dyDescent="0.25">
      <c r="A290" t="s">
        <v>923</v>
      </c>
      <c r="B290" s="47" t="s">
        <v>796</v>
      </c>
      <c r="C290" t="s">
        <v>202</v>
      </c>
      <c r="D290" t="s">
        <v>923</v>
      </c>
    </row>
    <row r="291" spans="1:4" x14ac:dyDescent="0.25">
      <c r="A291" t="s">
        <v>924</v>
      </c>
      <c r="B291" s="47" t="s">
        <v>796</v>
      </c>
      <c r="C291" t="s">
        <v>203</v>
      </c>
      <c r="D291" t="s">
        <v>924</v>
      </c>
    </row>
    <row r="292" spans="1:4" x14ac:dyDescent="0.25">
      <c r="A292" t="s">
        <v>925</v>
      </c>
      <c r="B292" s="47" t="s">
        <v>796</v>
      </c>
      <c r="C292" t="s">
        <v>204</v>
      </c>
      <c r="D292" t="s">
        <v>925</v>
      </c>
    </row>
    <row r="293" spans="1:4" x14ac:dyDescent="0.25">
      <c r="A293" t="s">
        <v>926</v>
      </c>
      <c r="B293" s="47" t="s">
        <v>796</v>
      </c>
      <c r="C293" t="s">
        <v>205</v>
      </c>
      <c r="D293" t="s">
        <v>926</v>
      </c>
    </row>
    <row r="294" spans="1:4" x14ac:dyDescent="0.25">
      <c r="A294" t="s">
        <v>927</v>
      </c>
      <c r="B294" s="47" t="s">
        <v>796</v>
      </c>
      <c r="C294" t="s">
        <v>206</v>
      </c>
      <c r="D294" t="s">
        <v>927</v>
      </c>
    </row>
    <row r="295" spans="1:4" x14ac:dyDescent="0.25">
      <c r="A295" t="s">
        <v>928</v>
      </c>
      <c r="B295" s="47" t="s">
        <v>796</v>
      </c>
      <c r="C295" t="s">
        <v>207</v>
      </c>
      <c r="D295" t="s">
        <v>928</v>
      </c>
    </row>
    <row r="296" spans="1:4" x14ac:dyDescent="0.25">
      <c r="A296" t="s">
        <v>929</v>
      </c>
      <c r="B296" s="47" t="s">
        <v>796</v>
      </c>
      <c r="C296" t="s">
        <v>208</v>
      </c>
      <c r="D296" t="s">
        <v>929</v>
      </c>
    </row>
    <row r="297" spans="1:4" x14ac:dyDescent="0.25">
      <c r="A297" t="s">
        <v>930</v>
      </c>
      <c r="B297" s="47" t="s">
        <v>796</v>
      </c>
      <c r="C297" t="s">
        <v>209</v>
      </c>
      <c r="D297" t="s">
        <v>930</v>
      </c>
    </row>
    <row r="298" spans="1:4" x14ac:dyDescent="0.25">
      <c r="A298" t="s">
        <v>931</v>
      </c>
      <c r="B298" s="47" t="s">
        <v>796</v>
      </c>
      <c r="C298" t="s">
        <v>210</v>
      </c>
      <c r="D298" t="s">
        <v>931</v>
      </c>
    </row>
    <row r="299" spans="1:4" x14ac:dyDescent="0.25">
      <c r="A299" t="s">
        <v>932</v>
      </c>
      <c r="B299" s="47" t="s">
        <v>796</v>
      </c>
      <c r="C299" t="s">
        <v>211</v>
      </c>
      <c r="D299" t="s">
        <v>932</v>
      </c>
    </row>
    <row r="300" spans="1:4" x14ac:dyDescent="0.25">
      <c r="A300" t="s">
        <v>933</v>
      </c>
      <c r="B300" s="47" t="s">
        <v>796</v>
      </c>
      <c r="C300" t="s">
        <v>212</v>
      </c>
      <c r="D300" t="s">
        <v>933</v>
      </c>
    </row>
    <row r="301" spans="1:4" x14ac:dyDescent="0.25">
      <c r="A301" t="s">
        <v>934</v>
      </c>
      <c r="B301" s="47" t="s">
        <v>796</v>
      </c>
      <c r="C301" t="s">
        <v>213</v>
      </c>
      <c r="D301" t="s">
        <v>934</v>
      </c>
    </row>
    <row r="302" spans="1:4" x14ac:dyDescent="0.25">
      <c r="A302" t="s">
        <v>935</v>
      </c>
      <c r="B302" s="47" t="s">
        <v>796</v>
      </c>
      <c r="C302" t="s">
        <v>214</v>
      </c>
      <c r="D302" t="s">
        <v>935</v>
      </c>
    </row>
    <row r="303" spans="1:4" x14ac:dyDescent="0.25">
      <c r="A303" t="s">
        <v>936</v>
      </c>
      <c r="B303" s="47" t="s">
        <v>796</v>
      </c>
      <c r="C303" t="s">
        <v>215</v>
      </c>
      <c r="D303" t="s">
        <v>936</v>
      </c>
    </row>
    <row r="304" spans="1:4" x14ac:dyDescent="0.25">
      <c r="A304" t="s">
        <v>937</v>
      </c>
      <c r="B304" s="47" t="s">
        <v>796</v>
      </c>
      <c r="C304" t="s">
        <v>216</v>
      </c>
      <c r="D304" t="s">
        <v>937</v>
      </c>
    </row>
    <row r="305" spans="1:4" x14ac:dyDescent="0.25">
      <c r="A305" t="s">
        <v>938</v>
      </c>
      <c r="B305" s="47" t="s">
        <v>796</v>
      </c>
      <c r="C305" t="s">
        <v>217</v>
      </c>
      <c r="D305" t="s">
        <v>938</v>
      </c>
    </row>
    <row r="306" spans="1:4" x14ac:dyDescent="0.25">
      <c r="A306" t="s">
        <v>939</v>
      </c>
      <c r="B306" s="47" t="s">
        <v>796</v>
      </c>
      <c r="C306" t="s">
        <v>218</v>
      </c>
      <c r="D306" t="s">
        <v>939</v>
      </c>
    </row>
    <row r="307" spans="1:4" x14ac:dyDescent="0.25">
      <c r="A307" t="s">
        <v>940</v>
      </c>
      <c r="B307" s="47" t="s">
        <v>796</v>
      </c>
      <c r="C307" t="s">
        <v>219</v>
      </c>
      <c r="D307" t="s">
        <v>940</v>
      </c>
    </row>
    <row r="308" spans="1:4" x14ac:dyDescent="0.25">
      <c r="A308" t="s">
        <v>941</v>
      </c>
      <c r="B308" s="47" t="s">
        <v>796</v>
      </c>
      <c r="C308" t="s">
        <v>220</v>
      </c>
      <c r="D308" t="s">
        <v>941</v>
      </c>
    </row>
    <row r="309" spans="1:4" x14ac:dyDescent="0.25">
      <c r="A309" t="s">
        <v>942</v>
      </c>
      <c r="B309" s="47" t="s">
        <v>796</v>
      </c>
      <c r="C309" t="s">
        <v>221</v>
      </c>
      <c r="D309" t="s">
        <v>942</v>
      </c>
    </row>
    <row r="310" spans="1:4" x14ac:dyDescent="0.25">
      <c r="A310" t="s">
        <v>943</v>
      </c>
      <c r="B310" s="47" t="s">
        <v>796</v>
      </c>
      <c r="C310" t="s">
        <v>11</v>
      </c>
      <c r="D310" t="s">
        <v>943</v>
      </c>
    </row>
    <row r="311" spans="1:4" x14ac:dyDescent="0.25">
      <c r="A311" t="s">
        <v>944</v>
      </c>
      <c r="B311" s="47" t="s">
        <v>796</v>
      </c>
      <c r="C311" t="s">
        <v>222</v>
      </c>
      <c r="D311" t="s">
        <v>944</v>
      </c>
    </row>
    <row r="312" spans="1:4" x14ac:dyDescent="0.25">
      <c r="A312" t="s">
        <v>945</v>
      </c>
      <c r="B312" s="47" t="s">
        <v>796</v>
      </c>
      <c r="C312" t="s">
        <v>223</v>
      </c>
      <c r="D312" t="s">
        <v>945</v>
      </c>
    </row>
    <row r="313" spans="1:4" x14ac:dyDescent="0.25">
      <c r="A313" t="s">
        <v>946</v>
      </c>
      <c r="B313" s="47" t="s">
        <v>796</v>
      </c>
      <c r="C313" t="s">
        <v>224</v>
      </c>
      <c r="D313" t="s">
        <v>946</v>
      </c>
    </row>
    <row r="314" spans="1:4" x14ac:dyDescent="0.25">
      <c r="A314" t="s">
        <v>947</v>
      </c>
      <c r="B314" s="47" t="s">
        <v>796</v>
      </c>
      <c r="C314" t="s">
        <v>225</v>
      </c>
      <c r="D314" t="s">
        <v>947</v>
      </c>
    </row>
    <row r="315" spans="1:4" x14ac:dyDescent="0.25">
      <c r="A315" t="s">
        <v>948</v>
      </c>
      <c r="B315" s="47" t="s">
        <v>796</v>
      </c>
      <c r="C315" t="s">
        <v>226</v>
      </c>
      <c r="D315" t="s">
        <v>948</v>
      </c>
    </row>
    <row r="316" spans="1:4" x14ac:dyDescent="0.25">
      <c r="A316" t="s">
        <v>949</v>
      </c>
      <c r="B316" s="47" t="s">
        <v>796</v>
      </c>
      <c r="C316" t="s">
        <v>227</v>
      </c>
      <c r="D316" t="s">
        <v>949</v>
      </c>
    </row>
    <row r="317" spans="1:4" x14ac:dyDescent="0.25">
      <c r="A317" t="s">
        <v>950</v>
      </c>
      <c r="B317" s="47" t="s">
        <v>796</v>
      </c>
      <c r="C317" t="s">
        <v>228</v>
      </c>
      <c r="D317" t="s">
        <v>950</v>
      </c>
    </row>
    <row r="318" spans="1:4" x14ac:dyDescent="0.25">
      <c r="A318" t="s">
        <v>951</v>
      </c>
      <c r="B318" s="47" t="s">
        <v>796</v>
      </c>
      <c r="C318" t="s">
        <v>229</v>
      </c>
      <c r="D318" t="s">
        <v>951</v>
      </c>
    </row>
    <row r="319" spans="1:4" x14ac:dyDescent="0.25">
      <c r="A319" t="s">
        <v>952</v>
      </c>
      <c r="B319" s="47" t="s">
        <v>796</v>
      </c>
      <c r="C319" t="s">
        <v>230</v>
      </c>
      <c r="D319" t="s">
        <v>952</v>
      </c>
    </row>
    <row r="320" spans="1:4" x14ac:dyDescent="0.25">
      <c r="A320" t="s">
        <v>953</v>
      </c>
      <c r="B320" s="47" t="s">
        <v>796</v>
      </c>
      <c r="C320" t="s">
        <v>231</v>
      </c>
      <c r="D320" t="s">
        <v>953</v>
      </c>
    </row>
    <row r="321" spans="1:4" x14ac:dyDescent="0.25">
      <c r="A321" t="s">
        <v>954</v>
      </c>
      <c r="B321" s="47" t="s">
        <v>796</v>
      </c>
      <c r="C321" t="s">
        <v>232</v>
      </c>
      <c r="D321" t="s">
        <v>954</v>
      </c>
    </row>
    <row r="322" spans="1:4" x14ac:dyDescent="0.25">
      <c r="A322" t="s">
        <v>955</v>
      </c>
      <c r="B322" s="47" t="s">
        <v>796</v>
      </c>
      <c r="C322" t="s">
        <v>233</v>
      </c>
      <c r="D322" t="s">
        <v>955</v>
      </c>
    </row>
    <row r="323" spans="1:4" x14ac:dyDescent="0.25">
      <c r="A323" t="s">
        <v>956</v>
      </c>
      <c r="B323" s="47" t="s">
        <v>796</v>
      </c>
      <c r="C323" t="s">
        <v>234</v>
      </c>
      <c r="D323" t="s">
        <v>956</v>
      </c>
    </row>
    <row r="324" spans="1:4" x14ac:dyDescent="0.25">
      <c r="A324" t="s">
        <v>957</v>
      </c>
      <c r="B324" s="47" t="s">
        <v>796</v>
      </c>
      <c r="C324" t="s">
        <v>235</v>
      </c>
      <c r="D324" t="s">
        <v>957</v>
      </c>
    </row>
    <row r="325" spans="1:4" x14ac:dyDescent="0.25">
      <c r="A325" t="s">
        <v>958</v>
      </c>
      <c r="B325" s="47" t="s">
        <v>796</v>
      </c>
      <c r="C325" t="s">
        <v>236</v>
      </c>
      <c r="D325" t="s">
        <v>958</v>
      </c>
    </row>
    <row r="326" spans="1:4" x14ac:dyDescent="0.25">
      <c r="A326" t="s">
        <v>959</v>
      </c>
      <c r="B326" s="47" t="s">
        <v>796</v>
      </c>
      <c r="C326" t="s">
        <v>237</v>
      </c>
      <c r="D326" t="s">
        <v>959</v>
      </c>
    </row>
    <row r="327" spans="1:4" x14ac:dyDescent="0.25">
      <c r="A327" t="s">
        <v>960</v>
      </c>
      <c r="B327" s="47" t="s">
        <v>796</v>
      </c>
      <c r="C327" t="s">
        <v>238</v>
      </c>
      <c r="D327" t="s">
        <v>960</v>
      </c>
    </row>
    <row r="328" spans="1:4" x14ac:dyDescent="0.25">
      <c r="A328" t="s">
        <v>961</v>
      </c>
      <c r="B328" s="47" t="s">
        <v>796</v>
      </c>
      <c r="C328" t="s">
        <v>239</v>
      </c>
      <c r="D328" t="s">
        <v>961</v>
      </c>
    </row>
    <row r="329" spans="1:4" x14ac:dyDescent="0.25">
      <c r="A329" t="s">
        <v>962</v>
      </c>
      <c r="B329" s="47" t="s">
        <v>796</v>
      </c>
      <c r="C329" t="s">
        <v>240</v>
      </c>
      <c r="D329" t="s">
        <v>962</v>
      </c>
    </row>
    <row r="330" spans="1:4" x14ac:dyDescent="0.25">
      <c r="A330" t="s">
        <v>963</v>
      </c>
      <c r="B330" s="47" t="s">
        <v>796</v>
      </c>
      <c r="C330" t="s">
        <v>241</v>
      </c>
      <c r="D330" t="s">
        <v>963</v>
      </c>
    </row>
    <row r="331" spans="1:4" x14ac:dyDescent="0.25">
      <c r="A331" t="s">
        <v>964</v>
      </c>
      <c r="B331" s="47" t="s">
        <v>796</v>
      </c>
      <c r="C331" t="s">
        <v>242</v>
      </c>
      <c r="D331" t="s">
        <v>964</v>
      </c>
    </row>
    <row r="332" spans="1:4" x14ac:dyDescent="0.25">
      <c r="A332" t="s">
        <v>965</v>
      </c>
      <c r="B332" s="47" t="s">
        <v>796</v>
      </c>
      <c r="C332" t="s">
        <v>243</v>
      </c>
      <c r="D332" t="s">
        <v>965</v>
      </c>
    </row>
    <row r="333" spans="1:4" x14ac:dyDescent="0.25">
      <c r="A333" t="s">
        <v>966</v>
      </c>
      <c r="B333" s="47" t="s">
        <v>796</v>
      </c>
      <c r="C333" t="s">
        <v>244</v>
      </c>
      <c r="D333" t="s">
        <v>966</v>
      </c>
    </row>
    <row r="334" spans="1:4" x14ac:dyDescent="0.25">
      <c r="A334" t="s">
        <v>967</v>
      </c>
      <c r="B334" s="47" t="s">
        <v>796</v>
      </c>
      <c r="C334" t="s">
        <v>245</v>
      </c>
      <c r="D334" t="s">
        <v>967</v>
      </c>
    </row>
    <row r="335" spans="1:4" x14ac:dyDescent="0.25">
      <c r="A335" t="s">
        <v>968</v>
      </c>
      <c r="B335" s="47" t="s">
        <v>796</v>
      </c>
      <c r="C335" t="s">
        <v>246</v>
      </c>
      <c r="D335" t="s">
        <v>968</v>
      </c>
    </row>
    <row r="336" spans="1:4" x14ac:dyDescent="0.25">
      <c r="A336" t="s">
        <v>969</v>
      </c>
      <c r="B336" s="47" t="s">
        <v>796</v>
      </c>
      <c r="C336" t="s">
        <v>247</v>
      </c>
      <c r="D336" t="s">
        <v>969</v>
      </c>
    </row>
    <row r="337" spans="1:4" x14ac:dyDescent="0.25">
      <c r="A337" t="s">
        <v>970</v>
      </c>
      <c r="B337" s="47" t="s">
        <v>796</v>
      </c>
      <c r="C337" t="s">
        <v>248</v>
      </c>
      <c r="D337" t="s">
        <v>970</v>
      </c>
    </row>
    <row r="338" spans="1:4" x14ac:dyDescent="0.25">
      <c r="A338" t="s">
        <v>971</v>
      </c>
      <c r="B338" s="47" t="s">
        <v>796</v>
      </c>
      <c r="C338" t="s">
        <v>249</v>
      </c>
      <c r="D338" t="s">
        <v>971</v>
      </c>
    </row>
    <row r="339" spans="1:4" x14ac:dyDescent="0.25">
      <c r="A339" t="s">
        <v>972</v>
      </c>
      <c r="B339" s="47" t="s">
        <v>796</v>
      </c>
      <c r="C339" t="s">
        <v>250</v>
      </c>
      <c r="D339" t="s">
        <v>972</v>
      </c>
    </row>
    <row r="340" spans="1:4" x14ac:dyDescent="0.25">
      <c r="A340" t="s">
        <v>973</v>
      </c>
      <c r="B340" s="47" t="s">
        <v>796</v>
      </c>
      <c r="C340" t="s">
        <v>251</v>
      </c>
      <c r="D340" t="s">
        <v>973</v>
      </c>
    </row>
    <row r="341" spans="1:4" x14ac:dyDescent="0.25">
      <c r="A341" t="s">
        <v>974</v>
      </c>
      <c r="B341" s="47" t="s">
        <v>796</v>
      </c>
      <c r="C341" t="s">
        <v>252</v>
      </c>
      <c r="D341" t="s">
        <v>974</v>
      </c>
    </row>
    <row r="342" spans="1:4" x14ac:dyDescent="0.25">
      <c r="A342" t="s">
        <v>975</v>
      </c>
      <c r="B342" s="47" t="s">
        <v>796</v>
      </c>
      <c r="C342" t="s">
        <v>253</v>
      </c>
      <c r="D342" t="s">
        <v>975</v>
      </c>
    </row>
    <row r="343" spans="1:4" x14ac:dyDescent="0.25">
      <c r="A343" t="s">
        <v>976</v>
      </c>
      <c r="B343" s="47" t="s">
        <v>796</v>
      </c>
      <c r="C343" t="s">
        <v>254</v>
      </c>
      <c r="D343" t="s">
        <v>976</v>
      </c>
    </row>
    <row r="344" spans="1:4" x14ac:dyDescent="0.25">
      <c r="A344" t="s">
        <v>977</v>
      </c>
      <c r="B344" s="47" t="s">
        <v>796</v>
      </c>
      <c r="C344" t="s">
        <v>255</v>
      </c>
      <c r="D344" t="s">
        <v>977</v>
      </c>
    </row>
    <row r="345" spans="1:4" x14ac:dyDescent="0.25">
      <c r="A345" t="s">
        <v>978</v>
      </c>
      <c r="B345" s="47" t="s">
        <v>796</v>
      </c>
      <c r="C345" t="s">
        <v>256</v>
      </c>
      <c r="D345" t="s">
        <v>978</v>
      </c>
    </row>
    <row r="346" spans="1:4" x14ac:dyDescent="0.25">
      <c r="A346" t="s">
        <v>979</v>
      </c>
      <c r="B346" s="47" t="s">
        <v>796</v>
      </c>
      <c r="C346" t="s">
        <v>257</v>
      </c>
      <c r="D346" t="s">
        <v>979</v>
      </c>
    </row>
    <row r="347" spans="1:4" x14ac:dyDescent="0.25">
      <c r="A347" t="s">
        <v>980</v>
      </c>
      <c r="B347" s="47" t="s">
        <v>796</v>
      </c>
      <c r="C347" t="s">
        <v>309</v>
      </c>
      <c r="D347" t="s">
        <v>980</v>
      </c>
    </row>
    <row r="348" spans="1:4" x14ac:dyDescent="0.25">
      <c r="A348" t="s">
        <v>981</v>
      </c>
      <c r="B348" s="47" t="s">
        <v>796</v>
      </c>
      <c r="C348" t="s">
        <v>310</v>
      </c>
      <c r="D348" t="s">
        <v>981</v>
      </c>
    </row>
    <row r="349" spans="1:4" x14ac:dyDescent="0.25">
      <c r="A349" t="s">
        <v>982</v>
      </c>
      <c r="B349" s="47" t="s">
        <v>796</v>
      </c>
      <c r="C349" t="s">
        <v>311</v>
      </c>
      <c r="D349" t="s">
        <v>982</v>
      </c>
    </row>
    <row r="350" spans="1:4" x14ac:dyDescent="0.25">
      <c r="A350" t="s">
        <v>983</v>
      </c>
      <c r="B350" s="47" t="s">
        <v>796</v>
      </c>
      <c r="C350" t="s">
        <v>312</v>
      </c>
      <c r="D350" t="s">
        <v>983</v>
      </c>
    </row>
    <row r="351" spans="1:4" x14ac:dyDescent="0.25">
      <c r="A351" t="s">
        <v>984</v>
      </c>
      <c r="B351" s="47" t="s">
        <v>796</v>
      </c>
      <c r="C351" t="s">
        <v>313</v>
      </c>
      <c r="D351" t="s">
        <v>984</v>
      </c>
    </row>
    <row r="352" spans="1:4" x14ac:dyDescent="0.25">
      <c r="C352" t="s">
        <v>14</v>
      </c>
      <c r="D352" t="s">
        <v>987</v>
      </c>
    </row>
    <row r="353" spans="3:4" x14ac:dyDescent="0.25">
      <c r="C353" t="s">
        <v>611</v>
      </c>
      <c r="D353" t="s">
        <v>986</v>
      </c>
    </row>
    <row r="354" spans="3:4" x14ac:dyDescent="0.25">
      <c r="C354" t="s">
        <v>613</v>
      </c>
      <c r="D354" t="s">
        <v>988</v>
      </c>
    </row>
    <row r="355" spans="3:4" x14ac:dyDescent="0.25">
      <c r="C355" t="s">
        <v>614</v>
      </c>
      <c r="D355" t="s">
        <v>989</v>
      </c>
    </row>
    <row r="356" spans="3:4" x14ac:dyDescent="0.25">
      <c r="C356" t="s">
        <v>615</v>
      </c>
      <c r="D356" t="s">
        <v>990</v>
      </c>
    </row>
    <row r="357" spans="3:4" x14ac:dyDescent="0.25">
      <c r="C357" t="s">
        <v>69</v>
      </c>
      <c r="D357" t="s">
        <v>991</v>
      </c>
    </row>
    <row r="358" spans="3:4" x14ac:dyDescent="0.25">
      <c r="C358" t="s">
        <v>996</v>
      </c>
      <c r="D358" t="s">
        <v>1129</v>
      </c>
    </row>
    <row r="359" spans="3:4" x14ac:dyDescent="0.25">
      <c r="C359" t="s">
        <v>1128</v>
      </c>
      <c r="D359" t="s">
        <v>1130</v>
      </c>
    </row>
    <row r="360" spans="3:4" x14ac:dyDescent="0.25">
      <c r="C360" t="s">
        <v>1125</v>
      </c>
      <c r="D360" t="s">
        <v>1131</v>
      </c>
    </row>
    <row r="361" spans="3:4" x14ac:dyDescent="0.25">
      <c r="C361" t="s">
        <v>1126</v>
      </c>
      <c r="D361" t="s">
        <v>1132</v>
      </c>
    </row>
    <row r="362" spans="3:4" x14ac:dyDescent="0.25">
      <c r="C362" t="s">
        <v>1097</v>
      </c>
      <c r="D362" t="s">
        <v>1133</v>
      </c>
    </row>
    <row r="363" spans="3:4" x14ac:dyDescent="0.25">
      <c r="C363" t="s">
        <v>1124</v>
      </c>
      <c r="D363" t="s">
        <v>1134</v>
      </c>
    </row>
    <row r="364" spans="3:4" x14ac:dyDescent="0.25">
      <c r="C364" t="s">
        <v>617</v>
      </c>
      <c r="D364" t="s">
        <v>1187</v>
      </c>
    </row>
    <row r="365" spans="3:4" x14ac:dyDescent="0.25">
      <c r="C365" t="s">
        <v>1150</v>
      </c>
      <c r="D365" t="s">
        <v>1188</v>
      </c>
    </row>
    <row r="366" spans="3:4" x14ac:dyDescent="0.25">
      <c r="C366" t="s">
        <v>616</v>
      </c>
      <c r="D366" t="s">
        <v>1189</v>
      </c>
    </row>
    <row r="367" spans="3:4" x14ac:dyDescent="0.25">
      <c r="C367" t="s">
        <v>1158</v>
      </c>
      <c r="D367" t="s">
        <v>1190</v>
      </c>
    </row>
    <row r="368" spans="3:4" x14ac:dyDescent="0.25">
      <c r="C368" t="s">
        <v>1159</v>
      </c>
      <c r="D368" t="s">
        <v>1191</v>
      </c>
    </row>
    <row r="369" spans="3:4" x14ac:dyDescent="0.25">
      <c r="C369" t="s">
        <v>1164</v>
      </c>
      <c r="D369" t="s">
        <v>1192</v>
      </c>
    </row>
    <row r="370" spans="3:4" x14ac:dyDescent="0.25">
      <c r="C370" t="s">
        <v>1162</v>
      </c>
      <c r="D370" t="s">
        <v>1193</v>
      </c>
    </row>
    <row r="371" spans="3:4" x14ac:dyDescent="0.25">
      <c r="C371" t="s">
        <v>1177</v>
      </c>
      <c r="D371" t="s">
        <v>1194</v>
      </c>
    </row>
    <row r="372" spans="3:4" x14ac:dyDescent="0.25">
      <c r="C372" t="s">
        <v>1178</v>
      </c>
      <c r="D372" t="s">
        <v>1195</v>
      </c>
    </row>
    <row r="373" spans="3:4" x14ac:dyDescent="0.25">
      <c r="C373" t="s">
        <v>1179</v>
      </c>
      <c r="D373" t="s">
        <v>1196</v>
      </c>
    </row>
    <row r="374" spans="3:4" x14ac:dyDescent="0.25">
      <c r="C374" t="s">
        <v>1096</v>
      </c>
      <c r="D374" t="s">
        <v>1197</v>
      </c>
    </row>
    <row r="375" spans="3:4" x14ac:dyDescent="0.25">
      <c r="C375" t="s">
        <v>1182</v>
      </c>
      <c r="D375" t="s">
        <v>1198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7CDB-55EF-44DA-8B6E-974EFE222E0E}">
  <sheetPr codeName="Hoja11"/>
  <dimension ref="A1:U137"/>
  <sheetViews>
    <sheetView zoomScaleNormal="100" workbookViewId="0">
      <pane ySplit="3" topLeftCell="A127" activePane="bottomLeft" state="frozen"/>
      <selection activeCell="AE1" sqref="AE1"/>
      <selection pane="bottomLeft" activeCell="J144" sqref="J144"/>
    </sheetView>
  </sheetViews>
  <sheetFormatPr baseColWidth="10" defaultColWidth="11.5703125" defaultRowHeight="15" x14ac:dyDescent="0.25"/>
  <cols>
    <col min="1" max="1" width="3.42578125" style="12" customWidth="1"/>
    <col min="2" max="2" width="22.7109375" style="12" customWidth="1"/>
    <col min="3" max="3" width="9.28515625" style="12" customWidth="1"/>
    <col min="4" max="4" width="28.28515625" style="12" bestFit="1" customWidth="1"/>
    <col min="5" max="13" width="9.42578125" style="12" customWidth="1"/>
    <col min="14" max="15" width="9.42578125" style="21" customWidth="1"/>
    <col min="16" max="16" width="13.7109375" bestFit="1" customWidth="1"/>
    <col min="17" max="18" width="20.5703125" style="12" customWidth="1"/>
    <col min="19" max="19" width="21.28515625" style="12" customWidth="1"/>
    <col min="20" max="20" width="11.5703125" style="12" customWidth="1"/>
    <col min="21" max="21" width="17" style="22" bestFit="1" customWidth="1"/>
    <col min="22" max="22" width="21.28515625" style="12" customWidth="1"/>
    <col min="23" max="24" width="11.5703125" style="12"/>
    <col min="25" max="25" width="18.85546875" style="12" customWidth="1"/>
    <col min="26" max="26" width="13.7109375" style="12" customWidth="1"/>
    <col min="27" max="27" width="20.140625" style="12" customWidth="1"/>
    <col min="28" max="28" width="43.5703125" style="12" bestFit="1" customWidth="1"/>
    <col min="29" max="16384" width="11.5703125" style="12"/>
  </cols>
  <sheetData>
    <row r="1" spans="1:16" ht="15" customHeight="1" x14ac:dyDescent="0.25">
      <c r="A1" s="24"/>
      <c r="B1" s="25"/>
      <c r="C1" s="26"/>
      <c r="D1" s="27"/>
      <c r="E1" s="28"/>
      <c r="F1" s="28"/>
      <c r="G1" s="28"/>
      <c r="H1" s="28"/>
      <c r="I1" s="28"/>
      <c r="J1" s="28"/>
      <c r="K1" s="28"/>
      <c r="L1" s="28"/>
      <c r="M1" s="28"/>
      <c r="N1" s="29"/>
      <c r="O1" s="29"/>
    </row>
    <row r="2" spans="1:16" ht="15" customHeight="1" x14ac:dyDescent="0.25">
      <c r="A2" s="30"/>
      <c r="B2" s="30"/>
      <c r="C2" s="30"/>
      <c r="D2" s="30"/>
      <c r="E2" s="63" t="s">
        <v>449</v>
      </c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16" ht="29.25" customHeight="1" thickBot="1" x14ac:dyDescent="0.3">
      <c r="B3" s="12" t="s">
        <v>19</v>
      </c>
      <c r="C3" s="2" t="s">
        <v>450</v>
      </c>
      <c r="D3" s="2" t="s">
        <v>451</v>
      </c>
      <c r="E3" s="31" t="s">
        <v>452</v>
      </c>
      <c r="F3" s="31" t="s">
        <v>453</v>
      </c>
      <c r="G3" s="31" t="s">
        <v>454</v>
      </c>
      <c r="H3" s="31" t="s">
        <v>455</v>
      </c>
      <c r="I3" s="31" t="s">
        <v>456</v>
      </c>
      <c r="J3" s="31" t="s">
        <v>457</v>
      </c>
      <c r="K3" s="31" t="s">
        <v>458</v>
      </c>
      <c r="L3" s="31" t="s">
        <v>459</v>
      </c>
      <c r="M3" s="31" t="s">
        <v>460</v>
      </c>
      <c r="N3" s="32" t="s">
        <v>461</v>
      </c>
      <c r="O3" s="32" t="s">
        <v>462</v>
      </c>
      <c r="P3" s="33" t="s">
        <v>463</v>
      </c>
    </row>
    <row r="4" spans="1:16" x14ac:dyDescent="0.25">
      <c r="B4" s="2" t="s">
        <v>464</v>
      </c>
      <c r="C4" s="34"/>
      <c r="D4" s="2" t="s">
        <v>465</v>
      </c>
      <c r="E4" s="35"/>
      <c r="F4" s="35"/>
      <c r="G4" s="35">
        <v>3.7</v>
      </c>
      <c r="H4" s="35">
        <v>3.7</v>
      </c>
      <c r="I4" s="35">
        <v>3.7</v>
      </c>
      <c r="J4" s="35">
        <v>3.7</v>
      </c>
      <c r="K4" s="35">
        <v>3.7</v>
      </c>
      <c r="L4" s="35">
        <v>3.7</v>
      </c>
      <c r="M4" s="35">
        <v>3.7</v>
      </c>
      <c r="N4" s="36"/>
      <c r="O4" s="36"/>
      <c r="P4" s="37"/>
    </row>
    <row r="5" spans="1:16" x14ac:dyDescent="0.25">
      <c r="B5" s="12" t="s">
        <v>464</v>
      </c>
      <c r="C5" s="34"/>
      <c r="D5" s="12" t="s">
        <v>466</v>
      </c>
      <c r="E5" s="35"/>
      <c r="F5" s="38"/>
      <c r="G5" s="38">
        <v>4</v>
      </c>
      <c r="H5" s="38">
        <v>4</v>
      </c>
      <c r="I5" s="38">
        <v>4</v>
      </c>
      <c r="J5" s="38">
        <v>4</v>
      </c>
      <c r="K5" s="38">
        <v>4</v>
      </c>
      <c r="L5" s="38">
        <v>4</v>
      </c>
      <c r="M5" s="38">
        <v>4</v>
      </c>
      <c r="N5" s="39">
        <v>5.5</v>
      </c>
      <c r="O5" s="39">
        <v>5.5</v>
      </c>
      <c r="P5" s="37"/>
    </row>
    <row r="6" spans="1:16" x14ac:dyDescent="0.25">
      <c r="B6" s="12" t="s">
        <v>464</v>
      </c>
      <c r="C6" s="34"/>
      <c r="D6" s="12" t="s">
        <v>467</v>
      </c>
      <c r="E6" s="35"/>
      <c r="F6" s="38"/>
      <c r="G6" s="38">
        <v>3.5</v>
      </c>
      <c r="H6" s="38">
        <v>3.5</v>
      </c>
      <c r="I6" s="38">
        <v>3.5</v>
      </c>
      <c r="J6" s="38">
        <v>3.5</v>
      </c>
      <c r="K6" s="38">
        <v>3.5</v>
      </c>
      <c r="L6" s="38">
        <v>3.5</v>
      </c>
      <c r="M6" s="38">
        <v>3.5</v>
      </c>
      <c r="N6" s="39">
        <v>4</v>
      </c>
      <c r="O6" s="39">
        <v>4</v>
      </c>
      <c r="P6" s="37">
        <v>0.35</v>
      </c>
    </row>
    <row r="7" spans="1:16" x14ac:dyDescent="0.25">
      <c r="B7" s="12" t="s">
        <v>464</v>
      </c>
      <c r="C7" s="34"/>
      <c r="D7" s="12" t="s">
        <v>468</v>
      </c>
      <c r="E7" s="35"/>
      <c r="F7" s="38"/>
      <c r="G7" s="38">
        <v>3.7</v>
      </c>
      <c r="H7" s="38">
        <v>3.7</v>
      </c>
      <c r="I7" s="38">
        <v>3.7</v>
      </c>
      <c r="J7" s="38">
        <v>3.7</v>
      </c>
      <c r="K7" s="38">
        <v>3.7</v>
      </c>
      <c r="L7" s="38">
        <v>3.7</v>
      </c>
      <c r="M7" s="38">
        <v>3.7</v>
      </c>
      <c r="N7" s="39">
        <v>5</v>
      </c>
      <c r="O7" s="39">
        <v>5</v>
      </c>
      <c r="P7" s="37"/>
    </row>
    <row r="8" spans="1:16" x14ac:dyDescent="0.25">
      <c r="B8" s="12" t="s">
        <v>464</v>
      </c>
      <c r="C8" s="34"/>
      <c r="D8" s="12" t="s">
        <v>469</v>
      </c>
      <c r="E8" s="35"/>
      <c r="F8" s="38"/>
      <c r="G8" s="38">
        <v>3.5</v>
      </c>
      <c r="H8" s="38">
        <v>3.5</v>
      </c>
      <c r="I8" s="38">
        <v>3.5</v>
      </c>
      <c r="J8" s="38">
        <v>3.5</v>
      </c>
      <c r="K8" s="38">
        <v>3.5</v>
      </c>
      <c r="L8" s="38">
        <v>3.5</v>
      </c>
      <c r="M8" s="38">
        <v>3.5</v>
      </c>
      <c r="N8" s="39">
        <v>4</v>
      </c>
      <c r="O8" s="39">
        <v>4</v>
      </c>
      <c r="P8" s="37"/>
    </row>
    <row r="9" spans="1:16" x14ac:dyDescent="0.25">
      <c r="B9" s="12" t="s">
        <v>464</v>
      </c>
      <c r="C9" s="34"/>
      <c r="D9" s="2" t="s">
        <v>470</v>
      </c>
      <c r="E9" s="35"/>
      <c r="F9" s="35"/>
      <c r="G9" s="38">
        <v>3.5</v>
      </c>
      <c r="H9" s="38">
        <v>3.5</v>
      </c>
      <c r="I9" s="38">
        <v>3.5</v>
      </c>
      <c r="J9" s="38">
        <v>3.5</v>
      </c>
      <c r="K9" s="38">
        <v>3.5</v>
      </c>
      <c r="L9" s="38">
        <v>3.5</v>
      </c>
      <c r="M9" s="38">
        <v>3.5</v>
      </c>
      <c r="N9" s="36">
        <v>4.5</v>
      </c>
      <c r="O9" s="36">
        <v>4.5</v>
      </c>
      <c r="P9" s="37"/>
    </row>
    <row r="10" spans="1:16" x14ac:dyDescent="0.25">
      <c r="B10" s="2" t="s">
        <v>464</v>
      </c>
      <c r="C10" s="34"/>
      <c r="D10" s="2" t="s">
        <v>471</v>
      </c>
      <c r="E10" s="35"/>
      <c r="F10" s="38"/>
      <c r="G10" s="38">
        <v>3.5</v>
      </c>
      <c r="H10" s="38">
        <v>3.5</v>
      </c>
      <c r="I10" s="38">
        <v>3.5</v>
      </c>
      <c r="J10" s="38">
        <v>3.5</v>
      </c>
      <c r="K10" s="38">
        <v>3.5</v>
      </c>
      <c r="L10" s="38">
        <v>3.5</v>
      </c>
      <c r="M10" s="38">
        <v>3.5</v>
      </c>
      <c r="N10" s="39">
        <v>4.5</v>
      </c>
      <c r="O10" s="39">
        <v>4.5</v>
      </c>
      <c r="P10" s="37"/>
    </row>
    <row r="11" spans="1:16" x14ac:dyDescent="0.25">
      <c r="B11" s="2" t="s">
        <v>464</v>
      </c>
      <c r="C11" s="34"/>
      <c r="D11" s="2" t="s">
        <v>472</v>
      </c>
      <c r="E11" s="35"/>
      <c r="F11" s="38"/>
      <c r="G11" s="38">
        <v>3.7</v>
      </c>
      <c r="H11" s="38">
        <v>3.7</v>
      </c>
      <c r="I11" s="38">
        <v>3.7</v>
      </c>
      <c r="J11" s="38">
        <v>3.7</v>
      </c>
      <c r="K11" s="38">
        <v>3.7</v>
      </c>
      <c r="L11" s="38">
        <v>3.7</v>
      </c>
      <c r="M11" s="38">
        <v>3.7</v>
      </c>
      <c r="N11" s="39">
        <v>5</v>
      </c>
      <c r="O11" s="39">
        <v>5</v>
      </c>
      <c r="P11" s="37"/>
    </row>
    <row r="12" spans="1:16" x14ac:dyDescent="0.25">
      <c r="B12" s="2" t="s">
        <v>464</v>
      </c>
      <c r="C12" s="34"/>
      <c r="D12" s="2" t="s">
        <v>473</v>
      </c>
      <c r="E12" s="35"/>
      <c r="F12" s="38"/>
      <c r="G12" s="38">
        <v>3.9</v>
      </c>
      <c r="H12" s="38">
        <v>3.9</v>
      </c>
      <c r="I12" s="38">
        <v>3.9</v>
      </c>
      <c r="J12" s="38">
        <v>3.9</v>
      </c>
      <c r="K12" s="38">
        <v>3.9</v>
      </c>
      <c r="L12" s="38">
        <v>3.9</v>
      </c>
      <c r="M12" s="38">
        <v>3.9</v>
      </c>
      <c r="N12" s="39">
        <v>5</v>
      </c>
      <c r="O12" s="39">
        <v>5</v>
      </c>
      <c r="P12" s="37"/>
    </row>
    <row r="13" spans="1:16" x14ac:dyDescent="0.25">
      <c r="B13" s="2" t="s">
        <v>464</v>
      </c>
      <c r="C13" s="34"/>
      <c r="D13" s="2" t="s">
        <v>474</v>
      </c>
      <c r="E13" s="35"/>
      <c r="F13" s="38"/>
      <c r="G13" s="38">
        <v>3.5</v>
      </c>
      <c r="H13" s="38">
        <v>3.5</v>
      </c>
      <c r="I13" s="38">
        <v>3.5</v>
      </c>
      <c r="J13" s="38">
        <v>3.5</v>
      </c>
      <c r="K13" s="38">
        <v>3.5</v>
      </c>
      <c r="L13" s="38">
        <v>3.5</v>
      </c>
      <c r="M13" s="38">
        <v>3.5</v>
      </c>
      <c r="N13" s="39"/>
      <c r="O13" s="39"/>
      <c r="P13" s="37"/>
    </row>
    <row r="14" spans="1:16" x14ac:dyDescent="0.25">
      <c r="B14" s="2" t="s">
        <v>464</v>
      </c>
      <c r="C14" s="34"/>
      <c r="D14" s="2" t="s">
        <v>475</v>
      </c>
      <c r="E14" s="35"/>
      <c r="F14" s="38"/>
      <c r="G14" s="38">
        <v>3.5</v>
      </c>
      <c r="H14" s="38">
        <v>3.5</v>
      </c>
      <c r="I14" s="38">
        <v>3.5</v>
      </c>
      <c r="J14" s="38">
        <v>3.5</v>
      </c>
      <c r="K14" s="38">
        <v>3.5</v>
      </c>
      <c r="L14" s="38">
        <v>3.5</v>
      </c>
      <c r="M14" s="38">
        <v>3.5</v>
      </c>
      <c r="N14" s="39"/>
      <c r="O14" s="39"/>
      <c r="P14" s="37"/>
    </row>
    <row r="15" spans="1:16" x14ac:dyDescent="0.25">
      <c r="B15" s="2" t="s">
        <v>464</v>
      </c>
      <c r="C15" s="34"/>
      <c r="D15" s="2" t="s">
        <v>476</v>
      </c>
      <c r="E15" s="35"/>
      <c r="F15" s="38"/>
      <c r="G15" s="38">
        <v>2.2999999999999998</v>
      </c>
      <c r="H15" s="38">
        <v>2.2999999999999998</v>
      </c>
      <c r="I15" s="38">
        <v>2.2999999999999998</v>
      </c>
      <c r="J15" s="38">
        <v>2.2999999999999998</v>
      </c>
      <c r="K15" s="38">
        <v>2.2999999999999998</v>
      </c>
      <c r="L15" s="38">
        <v>2.2999999999999998</v>
      </c>
      <c r="M15" s="38">
        <v>2.2999999999999998</v>
      </c>
      <c r="N15" s="39"/>
      <c r="O15" s="39"/>
      <c r="P15" s="37"/>
    </row>
    <row r="16" spans="1:16" x14ac:dyDescent="0.25">
      <c r="B16" s="2" t="s">
        <v>464</v>
      </c>
      <c r="C16" s="34"/>
      <c r="D16" s="2" t="s">
        <v>477</v>
      </c>
      <c r="E16" s="35"/>
      <c r="F16" s="38"/>
      <c r="G16" s="38">
        <v>4.8</v>
      </c>
      <c r="H16" s="38">
        <v>4.8</v>
      </c>
      <c r="I16" s="38">
        <v>4.8</v>
      </c>
      <c r="J16" s="38">
        <v>4.8</v>
      </c>
      <c r="K16" s="38">
        <v>4.8</v>
      </c>
      <c r="L16" s="38">
        <v>4.8</v>
      </c>
      <c r="M16" s="38">
        <v>4.8</v>
      </c>
      <c r="N16" s="39">
        <v>6.5</v>
      </c>
      <c r="O16" s="39">
        <v>6.5</v>
      </c>
      <c r="P16" s="37"/>
    </row>
    <row r="17" spans="2:16" x14ac:dyDescent="0.25">
      <c r="B17" s="2" t="s">
        <v>464</v>
      </c>
      <c r="C17" s="34"/>
      <c r="D17" s="2" t="s">
        <v>478</v>
      </c>
      <c r="E17" s="35"/>
      <c r="F17" s="35"/>
      <c r="G17" s="35">
        <v>3.9</v>
      </c>
      <c r="H17" s="35">
        <v>3.9</v>
      </c>
      <c r="I17" s="35">
        <v>3.9</v>
      </c>
      <c r="J17" s="35">
        <v>3.9</v>
      </c>
      <c r="K17" s="35">
        <v>3.9</v>
      </c>
      <c r="L17" s="35">
        <v>3.9</v>
      </c>
      <c r="M17" s="35">
        <v>3.9</v>
      </c>
      <c r="N17" s="36">
        <v>5.5</v>
      </c>
      <c r="O17" s="36">
        <v>5.5</v>
      </c>
      <c r="P17" s="37">
        <v>0.35</v>
      </c>
    </row>
    <row r="18" spans="2:16" x14ac:dyDescent="0.25">
      <c r="B18" s="2" t="s">
        <v>464</v>
      </c>
      <c r="C18" s="34"/>
      <c r="D18" s="2" t="s">
        <v>479</v>
      </c>
      <c r="E18" s="35"/>
      <c r="F18" s="35"/>
      <c r="G18" s="35"/>
      <c r="H18" s="35"/>
      <c r="I18" s="35"/>
      <c r="J18" s="35"/>
      <c r="K18" s="35"/>
      <c r="L18" s="35"/>
      <c r="M18" s="35"/>
      <c r="N18" s="36"/>
      <c r="O18" s="36"/>
      <c r="P18" s="37"/>
    </row>
    <row r="19" spans="2:16" x14ac:dyDescent="0.25">
      <c r="B19" s="2" t="s">
        <v>464</v>
      </c>
      <c r="C19" s="34"/>
      <c r="D19" s="2" t="s">
        <v>480</v>
      </c>
      <c r="E19" s="35"/>
      <c r="F19" s="35"/>
      <c r="G19" s="35">
        <v>3.7</v>
      </c>
      <c r="H19" s="35">
        <v>3.7</v>
      </c>
      <c r="I19" s="35">
        <v>3.7</v>
      </c>
      <c r="J19" s="35">
        <v>3.7</v>
      </c>
      <c r="K19" s="35">
        <v>3.7</v>
      </c>
      <c r="L19" s="35">
        <v>3.7</v>
      </c>
      <c r="M19" s="35">
        <v>3.7</v>
      </c>
      <c r="N19" s="36">
        <v>5</v>
      </c>
      <c r="O19" s="36">
        <v>5</v>
      </c>
      <c r="P19" s="37"/>
    </row>
    <row r="20" spans="2:16" x14ac:dyDescent="0.25">
      <c r="B20" s="2" t="s">
        <v>464</v>
      </c>
      <c r="C20" s="34"/>
      <c r="D20" s="2" t="s">
        <v>481</v>
      </c>
      <c r="E20" s="35"/>
      <c r="F20" s="35"/>
      <c r="G20" s="35">
        <v>4.3</v>
      </c>
      <c r="H20" s="35">
        <v>4.3</v>
      </c>
      <c r="I20" s="35">
        <v>4.3</v>
      </c>
      <c r="J20" s="35">
        <v>4.3</v>
      </c>
      <c r="K20" s="35">
        <v>4.3</v>
      </c>
      <c r="L20" s="35">
        <v>4.3</v>
      </c>
      <c r="M20" s="35">
        <v>4.3</v>
      </c>
      <c r="N20" s="36">
        <v>6</v>
      </c>
      <c r="O20" s="36">
        <v>6</v>
      </c>
      <c r="P20" s="37"/>
    </row>
    <row r="21" spans="2:16" x14ac:dyDescent="0.25">
      <c r="B21" s="2" t="s">
        <v>464</v>
      </c>
      <c r="C21" s="34"/>
      <c r="D21" s="2" t="s">
        <v>482</v>
      </c>
      <c r="E21" s="35"/>
      <c r="F21" s="35"/>
      <c r="G21" s="35">
        <v>3.5</v>
      </c>
      <c r="H21" s="35">
        <v>3.5</v>
      </c>
      <c r="I21" s="35">
        <v>3.5</v>
      </c>
      <c r="J21" s="35">
        <v>3.5</v>
      </c>
      <c r="K21" s="35">
        <v>3.5</v>
      </c>
      <c r="L21" s="35">
        <v>3.5</v>
      </c>
      <c r="M21" s="35">
        <v>3.5</v>
      </c>
      <c r="N21" s="36">
        <v>4.5</v>
      </c>
      <c r="O21" s="36">
        <v>4.5</v>
      </c>
      <c r="P21" s="37"/>
    </row>
    <row r="22" spans="2:16" x14ac:dyDescent="0.25">
      <c r="B22" s="2" t="s">
        <v>464</v>
      </c>
      <c r="C22" s="34"/>
      <c r="D22" s="2" t="s">
        <v>483</v>
      </c>
      <c r="E22" s="35"/>
      <c r="F22" s="35"/>
      <c r="G22" s="35">
        <v>1.6</v>
      </c>
      <c r="H22" s="35">
        <v>1.6</v>
      </c>
      <c r="I22" s="35">
        <v>1.6</v>
      </c>
      <c r="J22" s="35">
        <v>1.6</v>
      </c>
      <c r="K22" s="35">
        <v>1.6</v>
      </c>
      <c r="L22" s="35">
        <v>1.6</v>
      </c>
      <c r="M22" s="35">
        <v>1.6</v>
      </c>
      <c r="N22" s="36">
        <v>2.2999999999999998</v>
      </c>
      <c r="O22" s="36">
        <v>2.2999999999999998</v>
      </c>
      <c r="P22" s="37"/>
    </row>
    <row r="23" spans="2:16" x14ac:dyDescent="0.25">
      <c r="B23" s="2" t="s">
        <v>464</v>
      </c>
      <c r="C23" s="34"/>
      <c r="D23" s="2" t="s">
        <v>484</v>
      </c>
      <c r="E23" s="35"/>
      <c r="F23" s="38"/>
      <c r="G23" s="38">
        <v>3.5</v>
      </c>
      <c r="H23" s="38">
        <v>3.5</v>
      </c>
      <c r="I23" s="38">
        <v>3.5</v>
      </c>
      <c r="J23" s="38">
        <v>3.5</v>
      </c>
      <c r="K23" s="38">
        <v>3.5</v>
      </c>
      <c r="L23" s="38">
        <v>3.5</v>
      </c>
      <c r="M23" s="38">
        <v>3.5</v>
      </c>
      <c r="N23" s="39">
        <v>4</v>
      </c>
      <c r="O23" s="39">
        <v>4</v>
      </c>
      <c r="P23" s="37"/>
    </row>
    <row r="24" spans="2:16" x14ac:dyDescent="0.25">
      <c r="B24" s="12" t="s">
        <v>464</v>
      </c>
      <c r="C24" s="34"/>
      <c r="D24" s="12" t="s">
        <v>485</v>
      </c>
      <c r="E24" s="35"/>
      <c r="F24" s="35">
        <v>3.5</v>
      </c>
      <c r="G24" s="35">
        <v>3.5</v>
      </c>
      <c r="H24" s="35">
        <v>3.5</v>
      </c>
      <c r="I24" s="35">
        <v>3.5</v>
      </c>
      <c r="J24" s="35">
        <v>3.5</v>
      </c>
      <c r="K24" s="35">
        <v>3.5</v>
      </c>
      <c r="L24" s="35">
        <v>3.5</v>
      </c>
      <c r="M24" s="35">
        <v>3.5</v>
      </c>
      <c r="N24" s="36"/>
      <c r="O24" s="36"/>
      <c r="P24" s="37"/>
    </row>
    <row r="25" spans="2:16" x14ac:dyDescent="0.25">
      <c r="B25" s="12" t="s">
        <v>464</v>
      </c>
      <c r="C25" s="34"/>
      <c r="D25" s="12" t="s">
        <v>486</v>
      </c>
      <c r="E25" s="35"/>
      <c r="F25" s="35">
        <v>3.5</v>
      </c>
      <c r="G25" s="35">
        <v>3.5</v>
      </c>
      <c r="H25" s="35">
        <v>3.5</v>
      </c>
      <c r="I25" s="35">
        <v>3.5</v>
      </c>
      <c r="J25" s="35">
        <v>3.5</v>
      </c>
      <c r="K25" s="35">
        <v>3.5</v>
      </c>
      <c r="L25" s="35">
        <v>3.5</v>
      </c>
      <c r="M25" s="35">
        <v>3.5</v>
      </c>
      <c r="N25" s="36"/>
      <c r="O25" s="36"/>
      <c r="P25" s="37">
        <v>0.35</v>
      </c>
    </row>
    <row r="26" spans="2:16" x14ac:dyDescent="0.25">
      <c r="B26" s="2" t="s">
        <v>21</v>
      </c>
      <c r="C26" s="34"/>
      <c r="D26" s="2" t="s">
        <v>487</v>
      </c>
      <c r="E26" s="35"/>
      <c r="F26" s="35">
        <v>3.9</v>
      </c>
      <c r="G26" s="35">
        <v>3.9</v>
      </c>
      <c r="H26" s="35">
        <v>3.9</v>
      </c>
      <c r="I26" s="35">
        <v>3.9</v>
      </c>
      <c r="J26" s="35">
        <v>3.9</v>
      </c>
      <c r="K26" s="35">
        <v>3.9</v>
      </c>
      <c r="L26" s="35">
        <v>3.9</v>
      </c>
      <c r="M26" s="35">
        <v>3.9</v>
      </c>
      <c r="N26" s="36">
        <v>5</v>
      </c>
      <c r="O26" s="36">
        <v>5</v>
      </c>
      <c r="P26" s="37">
        <v>0.45</v>
      </c>
    </row>
    <row r="27" spans="2:16" x14ac:dyDescent="0.25">
      <c r="B27" s="2" t="s">
        <v>21</v>
      </c>
      <c r="C27" s="34"/>
      <c r="D27" s="2" t="s">
        <v>488</v>
      </c>
      <c r="E27" s="35"/>
      <c r="F27" s="35">
        <v>3.7</v>
      </c>
      <c r="G27" s="35">
        <v>3.7</v>
      </c>
      <c r="H27" s="35">
        <v>3.7</v>
      </c>
      <c r="I27" s="35">
        <v>3.7</v>
      </c>
      <c r="J27" s="35">
        <v>3.7</v>
      </c>
      <c r="K27" s="35">
        <v>3.7</v>
      </c>
      <c r="L27" s="35">
        <v>3.7</v>
      </c>
      <c r="M27" s="35">
        <v>3.7</v>
      </c>
      <c r="N27" s="36">
        <v>5</v>
      </c>
      <c r="O27" s="36">
        <v>5</v>
      </c>
      <c r="P27" s="37">
        <v>0.5</v>
      </c>
    </row>
    <row r="28" spans="2:16" x14ac:dyDescent="0.25">
      <c r="B28" s="2" t="s">
        <v>21</v>
      </c>
      <c r="C28" s="34"/>
      <c r="D28" s="2" t="s">
        <v>489</v>
      </c>
      <c r="E28" s="35"/>
      <c r="F28" s="35">
        <v>6.5</v>
      </c>
      <c r="G28" s="35">
        <v>6.5</v>
      </c>
      <c r="H28" s="35">
        <v>6.5</v>
      </c>
      <c r="I28" s="35">
        <v>6.5</v>
      </c>
      <c r="J28" s="35">
        <v>6.5</v>
      </c>
      <c r="K28" s="35">
        <v>6.5</v>
      </c>
      <c r="L28" s="35">
        <v>6.5</v>
      </c>
      <c r="M28" s="35">
        <v>6.5</v>
      </c>
      <c r="N28" s="36">
        <v>10</v>
      </c>
      <c r="O28" s="36">
        <v>10</v>
      </c>
      <c r="P28" s="37"/>
    </row>
    <row r="29" spans="2:16" x14ac:dyDescent="0.25">
      <c r="B29" s="2" t="s">
        <v>21</v>
      </c>
      <c r="C29" s="34"/>
      <c r="D29" s="2" t="s">
        <v>490</v>
      </c>
      <c r="E29" s="35"/>
      <c r="F29" s="35"/>
      <c r="G29" s="35">
        <v>3.5</v>
      </c>
      <c r="H29" s="35">
        <v>3.5</v>
      </c>
      <c r="I29" s="35">
        <v>3.5</v>
      </c>
      <c r="J29" s="35">
        <v>3.5</v>
      </c>
      <c r="K29" s="35">
        <v>3.5</v>
      </c>
      <c r="L29" s="35">
        <v>3.5</v>
      </c>
      <c r="M29" s="35">
        <v>3.5</v>
      </c>
      <c r="N29" s="36">
        <v>5</v>
      </c>
      <c r="O29" s="36">
        <v>5</v>
      </c>
      <c r="P29" s="37"/>
    </row>
    <row r="30" spans="2:16" x14ac:dyDescent="0.25">
      <c r="B30" s="2" t="s">
        <v>21</v>
      </c>
      <c r="C30" s="34"/>
      <c r="D30" s="2" t="s">
        <v>491</v>
      </c>
      <c r="E30" s="35"/>
      <c r="F30" s="38" t="s">
        <v>492</v>
      </c>
      <c r="G30" s="38">
        <v>3.7</v>
      </c>
      <c r="H30" s="38">
        <v>3.7</v>
      </c>
      <c r="I30" s="38">
        <v>3.7</v>
      </c>
      <c r="J30" s="38">
        <v>3.7</v>
      </c>
      <c r="K30" s="38">
        <v>3.7</v>
      </c>
      <c r="L30" s="38">
        <v>3.7</v>
      </c>
      <c r="M30" s="38">
        <v>3.7</v>
      </c>
      <c r="N30" s="39">
        <v>5</v>
      </c>
      <c r="O30" s="39">
        <v>5</v>
      </c>
      <c r="P30" s="37">
        <v>0.35</v>
      </c>
    </row>
    <row r="31" spans="2:16" x14ac:dyDescent="0.25">
      <c r="B31" s="2" t="s">
        <v>21</v>
      </c>
      <c r="C31" s="34"/>
      <c r="D31" s="2" t="s">
        <v>493</v>
      </c>
      <c r="E31" s="35"/>
      <c r="F31" s="38"/>
      <c r="G31" s="38">
        <v>3.7</v>
      </c>
      <c r="H31" s="38">
        <v>3.7</v>
      </c>
      <c r="I31" s="38">
        <v>3.7</v>
      </c>
      <c r="J31" s="38">
        <v>3.7</v>
      </c>
      <c r="K31" s="38">
        <v>3.7</v>
      </c>
      <c r="L31" s="38">
        <v>3.7</v>
      </c>
      <c r="M31" s="38">
        <v>3.7</v>
      </c>
      <c r="N31" s="39">
        <v>5</v>
      </c>
      <c r="O31" s="39">
        <v>5</v>
      </c>
      <c r="P31" s="37">
        <v>0.35</v>
      </c>
    </row>
    <row r="32" spans="2:16" x14ac:dyDescent="0.25">
      <c r="B32" s="2" t="s">
        <v>21</v>
      </c>
      <c r="C32" s="34"/>
      <c r="D32" s="2" t="s">
        <v>494</v>
      </c>
      <c r="E32" s="35"/>
      <c r="F32" s="38"/>
      <c r="G32" s="38">
        <v>3.5</v>
      </c>
      <c r="H32" s="38">
        <v>3.5</v>
      </c>
      <c r="I32" s="38">
        <v>3.5</v>
      </c>
      <c r="J32" s="38">
        <v>3.5</v>
      </c>
      <c r="K32" s="38">
        <v>3.5</v>
      </c>
      <c r="L32" s="38">
        <v>3.5</v>
      </c>
      <c r="M32" s="38">
        <v>3.5</v>
      </c>
      <c r="N32" s="39">
        <v>5</v>
      </c>
      <c r="O32" s="39">
        <v>5</v>
      </c>
      <c r="P32" s="37">
        <v>0.35</v>
      </c>
    </row>
    <row r="33" spans="2:16" x14ac:dyDescent="0.25">
      <c r="B33" s="2" t="s">
        <v>21</v>
      </c>
      <c r="C33" s="34"/>
      <c r="D33" s="2" t="s">
        <v>495</v>
      </c>
      <c r="E33" s="35"/>
      <c r="F33" s="38"/>
      <c r="G33" s="38">
        <v>3.5</v>
      </c>
      <c r="H33" s="38">
        <v>3.5</v>
      </c>
      <c r="I33" s="38">
        <v>3.5</v>
      </c>
      <c r="J33" s="38">
        <v>3.5</v>
      </c>
      <c r="K33" s="38">
        <v>3.5</v>
      </c>
      <c r="L33" s="38">
        <v>3.5</v>
      </c>
      <c r="M33" s="38">
        <v>3.5</v>
      </c>
      <c r="N33" s="39">
        <v>5</v>
      </c>
      <c r="O33" s="39">
        <v>5</v>
      </c>
      <c r="P33" s="37">
        <v>0.35</v>
      </c>
    </row>
    <row r="34" spans="2:16" x14ac:dyDescent="0.25">
      <c r="B34" s="2" t="s">
        <v>21</v>
      </c>
      <c r="C34" s="34"/>
      <c r="D34" s="2" t="s">
        <v>496</v>
      </c>
      <c r="E34" s="35"/>
      <c r="F34" s="38"/>
      <c r="G34" s="38">
        <v>6</v>
      </c>
      <c r="H34" s="38">
        <v>6</v>
      </c>
      <c r="I34" s="38">
        <v>6</v>
      </c>
      <c r="J34" s="38">
        <v>6</v>
      </c>
      <c r="K34" s="38">
        <v>6</v>
      </c>
      <c r="L34" s="38">
        <v>6</v>
      </c>
      <c r="M34" s="38">
        <v>6</v>
      </c>
      <c r="N34" s="39"/>
      <c r="O34" s="39"/>
      <c r="P34" s="37"/>
    </row>
    <row r="35" spans="2:16" x14ac:dyDescent="0.25">
      <c r="B35" s="2" t="s">
        <v>21</v>
      </c>
      <c r="C35" s="34"/>
      <c r="D35" s="2" t="s">
        <v>497</v>
      </c>
      <c r="E35" s="35"/>
      <c r="F35" s="38"/>
      <c r="G35" s="38">
        <v>3.7</v>
      </c>
      <c r="H35" s="38">
        <v>3.7</v>
      </c>
      <c r="I35" s="38">
        <v>3.7</v>
      </c>
      <c r="J35" s="38">
        <v>3.7</v>
      </c>
      <c r="K35" s="38">
        <v>3.7</v>
      </c>
      <c r="L35" s="38">
        <v>3.7</v>
      </c>
      <c r="M35" s="38">
        <v>3.7</v>
      </c>
      <c r="N35" s="39">
        <v>5</v>
      </c>
      <c r="O35" s="39">
        <v>5</v>
      </c>
      <c r="P35" s="37">
        <v>0.35</v>
      </c>
    </row>
    <row r="36" spans="2:16" x14ac:dyDescent="0.25">
      <c r="B36" s="2" t="s">
        <v>21</v>
      </c>
      <c r="C36" s="34"/>
      <c r="D36" s="2" t="s">
        <v>498</v>
      </c>
      <c r="E36" s="35"/>
      <c r="F36" s="38"/>
      <c r="G36" s="38">
        <v>3.5</v>
      </c>
      <c r="H36" s="38">
        <v>3.5</v>
      </c>
      <c r="I36" s="38">
        <v>3.5</v>
      </c>
      <c r="J36" s="38">
        <v>3.5</v>
      </c>
      <c r="K36" s="38">
        <v>3.5</v>
      </c>
      <c r="L36" s="38">
        <v>3.5</v>
      </c>
      <c r="M36" s="38">
        <v>3.5</v>
      </c>
      <c r="N36" s="39">
        <v>5</v>
      </c>
      <c r="O36" s="39">
        <v>5</v>
      </c>
      <c r="P36" s="37">
        <v>0.35</v>
      </c>
    </row>
    <row r="37" spans="2:16" x14ac:dyDescent="0.25">
      <c r="B37" s="2" t="s">
        <v>21</v>
      </c>
      <c r="C37" s="34"/>
      <c r="D37" s="2" t="s">
        <v>499</v>
      </c>
      <c r="E37" s="35"/>
      <c r="F37" s="38"/>
      <c r="G37" s="38">
        <v>3.5</v>
      </c>
      <c r="H37" s="38">
        <v>3.5</v>
      </c>
      <c r="I37" s="38">
        <v>3.5</v>
      </c>
      <c r="J37" s="38">
        <v>3.5</v>
      </c>
      <c r="K37" s="38">
        <v>3.5</v>
      </c>
      <c r="L37" s="38">
        <v>3.5</v>
      </c>
      <c r="M37" s="38">
        <v>3.5</v>
      </c>
      <c r="N37" s="39">
        <v>5</v>
      </c>
      <c r="O37" s="39">
        <v>5</v>
      </c>
      <c r="P37" s="37">
        <v>0.35</v>
      </c>
    </row>
    <row r="38" spans="2:16" x14ac:dyDescent="0.25">
      <c r="B38" s="2" t="s">
        <v>21</v>
      </c>
      <c r="C38" s="34"/>
      <c r="D38" s="2" t="s">
        <v>500</v>
      </c>
      <c r="E38" s="35"/>
      <c r="F38" s="38"/>
      <c r="G38" s="38">
        <v>3</v>
      </c>
      <c r="H38" s="38">
        <v>3</v>
      </c>
      <c r="I38" s="38">
        <v>3</v>
      </c>
      <c r="J38" s="38">
        <v>3</v>
      </c>
      <c r="K38" s="38">
        <v>3</v>
      </c>
      <c r="L38" s="38">
        <v>3</v>
      </c>
      <c r="M38" s="38">
        <v>3</v>
      </c>
      <c r="N38" s="39">
        <v>5</v>
      </c>
      <c r="O38" s="39">
        <v>5</v>
      </c>
      <c r="P38" s="37"/>
    </row>
    <row r="39" spans="2:16" x14ac:dyDescent="0.25">
      <c r="B39" s="12" t="s">
        <v>21</v>
      </c>
      <c r="C39" s="34"/>
      <c r="D39" s="12" t="s">
        <v>501</v>
      </c>
      <c r="E39" s="35"/>
      <c r="F39" s="35">
        <v>3.5</v>
      </c>
      <c r="G39" s="35">
        <v>3.5</v>
      </c>
      <c r="H39" s="35">
        <v>3.5</v>
      </c>
      <c r="I39" s="35">
        <v>3.5</v>
      </c>
      <c r="J39" s="35">
        <v>3.5</v>
      </c>
      <c r="K39" s="35">
        <v>3.5</v>
      </c>
      <c r="L39" s="35">
        <v>3.5</v>
      </c>
      <c r="M39" s="35">
        <v>3.5</v>
      </c>
      <c r="N39" s="39">
        <v>5</v>
      </c>
      <c r="O39" s="39">
        <v>5</v>
      </c>
      <c r="P39" s="37"/>
    </row>
    <row r="40" spans="2:16" x14ac:dyDescent="0.25">
      <c r="B40" s="12" t="s">
        <v>21</v>
      </c>
      <c r="C40" s="34"/>
      <c r="D40" s="12" t="s">
        <v>502</v>
      </c>
      <c r="E40" s="35"/>
      <c r="F40" s="35">
        <v>3.7</v>
      </c>
      <c r="G40" s="35">
        <v>3.7</v>
      </c>
      <c r="H40" s="35">
        <v>3.7</v>
      </c>
      <c r="I40" s="35">
        <v>3.7</v>
      </c>
      <c r="J40" s="35">
        <v>3.7</v>
      </c>
      <c r="K40" s="35">
        <v>3.7</v>
      </c>
      <c r="L40" s="35">
        <v>3.7</v>
      </c>
      <c r="M40" s="35">
        <v>3.7</v>
      </c>
      <c r="N40" s="39">
        <v>5</v>
      </c>
      <c r="O40" s="39">
        <v>5</v>
      </c>
      <c r="P40" s="37"/>
    </row>
    <row r="41" spans="2:16" x14ac:dyDescent="0.25">
      <c r="B41" s="12" t="s">
        <v>21</v>
      </c>
      <c r="C41" s="34"/>
      <c r="D41" s="12" t="s">
        <v>503</v>
      </c>
      <c r="E41" s="35"/>
      <c r="F41" s="35">
        <v>3.7</v>
      </c>
      <c r="G41" s="35">
        <v>3.7</v>
      </c>
      <c r="H41" s="35">
        <v>3.7</v>
      </c>
      <c r="I41" s="35">
        <v>3.7</v>
      </c>
      <c r="J41" s="35">
        <v>3.7</v>
      </c>
      <c r="K41" s="35">
        <v>3.7</v>
      </c>
      <c r="L41" s="35">
        <v>3.7</v>
      </c>
      <c r="M41" s="35">
        <v>3.7</v>
      </c>
      <c r="N41" s="39">
        <v>5</v>
      </c>
      <c r="O41" s="39">
        <v>5</v>
      </c>
      <c r="P41" s="37"/>
    </row>
    <row r="42" spans="2:16" x14ac:dyDescent="0.25">
      <c r="B42" s="12" t="s">
        <v>21</v>
      </c>
      <c r="C42" s="34"/>
      <c r="D42" s="12" t="s">
        <v>504</v>
      </c>
      <c r="E42" s="35"/>
      <c r="F42" s="35">
        <v>4.5</v>
      </c>
      <c r="G42" s="35">
        <v>4.5</v>
      </c>
      <c r="H42" s="35">
        <v>4.5</v>
      </c>
      <c r="I42" s="35">
        <v>4.5</v>
      </c>
      <c r="J42" s="35">
        <v>4.5</v>
      </c>
      <c r="K42" s="35">
        <v>4.5</v>
      </c>
      <c r="L42" s="35">
        <v>4.5</v>
      </c>
      <c r="M42" s="35">
        <v>4.5</v>
      </c>
      <c r="N42" s="36">
        <v>6</v>
      </c>
      <c r="O42" s="36">
        <v>6</v>
      </c>
      <c r="P42" s="37">
        <v>0.35</v>
      </c>
    </row>
    <row r="43" spans="2:16" x14ac:dyDescent="0.25">
      <c r="B43" s="12" t="s">
        <v>21</v>
      </c>
      <c r="C43" s="34"/>
      <c r="D43" s="12" t="s">
        <v>505</v>
      </c>
      <c r="E43" s="35"/>
      <c r="F43" s="35">
        <v>3.9</v>
      </c>
      <c r="G43" s="35">
        <v>3.9</v>
      </c>
      <c r="H43" s="35">
        <v>3.9</v>
      </c>
      <c r="I43" s="35">
        <v>3.9</v>
      </c>
      <c r="J43" s="35">
        <v>3.9</v>
      </c>
      <c r="K43" s="35">
        <v>3.9</v>
      </c>
      <c r="L43" s="35">
        <v>3.9</v>
      </c>
      <c r="M43" s="35">
        <v>3.9</v>
      </c>
      <c r="N43" s="36">
        <v>5.5</v>
      </c>
      <c r="O43" s="36">
        <v>5.5</v>
      </c>
      <c r="P43" s="37"/>
    </row>
    <row r="44" spans="2:16" x14ac:dyDescent="0.25">
      <c r="B44" s="12" t="s">
        <v>21</v>
      </c>
      <c r="C44" s="34"/>
      <c r="D44" s="12" t="s">
        <v>506</v>
      </c>
      <c r="E44" s="35"/>
      <c r="F44" s="35">
        <v>3.5</v>
      </c>
      <c r="G44" s="35">
        <v>3.5</v>
      </c>
      <c r="H44" s="35">
        <v>3.5</v>
      </c>
      <c r="I44" s="35">
        <v>3.5</v>
      </c>
      <c r="J44" s="35">
        <v>3.5</v>
      </c>
      <c r="K44" s="35">
        <v>3.5</v>
      </c>
      <c r="L44" s="35">
        <v>3.5</v>
      </c>
      <c r="M44" s="35">
        <v>3.5</v>
      </c>
      <c r="N44" s="36">
        <v>5</v>
      </c>
      <c r="O44" s="36">
        <v>5</v>
      </c>
      <c r="P44" s="37"/>
    </row>
    <row r="45" spans="2:16" x14ac:dyDescent="0.25">
      <c r="B45" s="12" t="s">
        <v>21</v>
      </c>
      <c r="C45" s="34"/>
      <c r="D45" s="12" t="s">
        <v>507</v>
      </c>
      <c r="E45" s="35"/>
      <c r="F45" s="35">
        <v>3.5</v>
      </c>
      <c r="G45" s="35">
        <v>3.5</v>
      </c>
      <c r="H45" s="35">
        <v>3.5</v>
      </c>
      <c r="I45" s="35">
        <v>3.5</v>
      </c>
      <c r="J45" s="35">
        <v>3.5</v>
      </c>
      <c r="K45" s="35">
        <v>3.5</v>
      </c>
      <c r="L45" s="35">
        <v>3.5</v>
      </c>
      <c r="M45" s="35">
        <v>3.5</v>
      </c>
      <c r="N45" s="36"/>
      <c r="O45" s="36"/>
      <c r="P45" s="37">
        <v>0.35</v>
      </c>
    </row>
    <row r="46" spans="2:16" x14ac:dyDescent="0.25">
      <c r="B46" s="12" t="s">
        <v>21</v>
      </c>
      <c r="C46" s="34"/>
      <c r="D46" s="12" t="s">
        <v>508</v>
      </c>
      <c r="E46" s="35"/>
      <c r="F46" s="35">
        <v>3.5</v>
      </c>
      <c r="G46" s="35">
        <v>3.5</v>
      </c>
      <c r="H46" s="35">
        <v>3.5</v>
      </c>
      <c r="I46" s="35">
        <v>3.5</v>
      </c>
      <c r="J46" s="35">
        <v>3.5</v>
      </c>
      <c r="K46" s="35">
        <v>3.5</v>
      </c>
      <c r="L46" s="35">
        <v>3.5</v>
      </c>
      <c r="M46" s="35">
        <v>3.5</v>
      </c>
      <c r="N46" s="36"/>
      <c r="O46" s="36"/>
      <c r="P46" s="37">
        <v>0.35</v>
      </c>
    </row>
    <row r="47" spans="2:16" x14ac:dyDescent="0.25">
      <c r="B47" s="12" t="s">
        <v>21</v>
      </c>
      <c r="C47" s="34"/>
      <c r="D47" s="12" t="s">
        <v>509</v>
      </c>
      <c r="E47" s="35"/>
      <c r="F47" s="35">
        <v>3.5</v>
      </c>
      <c r="G47" s="35">
        <v>3.5</v>
      </c>
      <c r="H47" s="35">
        <v>3.5</v>
      </c>
      <c r="I47" s="35">
        <v>3.5</v>
      </c>
      <c r="J47" s="35">
        <v>3.5</v>
      </c>
      <c r="K47" s="35">
        <v>3.5</v>
      </c>
      <c r="L47" s="35">
        <v>3.5</v>
      </c>
      <c r="M47" s="35">
        <v>3.5</v>
      </c>
      <c r="N47" s="36"/>
      <c r="O47" s="36"/>
      <c r="P47" s="37"/>
    </row>
    <row r="48" spans="2:16" x14ac:dyDescent="0.25">
      <c r="B48" s="2" t="s">
        <v>510</v>
      </c>
      <c r="C48" s="34"/>
      <c r="D48" s="2" t="s">
        <v>511</v>
      </c>
      <c r="E48" s="35"/>
      <c r="F48" s="35"/>
      <c r="G48" s="35"/>
      <c r="H48" s="35">
        <v>3.5</v>
      </c>
      <c r="I48" s="35">
        <v>3.5</v>
      </c>
      <c r="J48" s="35">
        <v>3.5</v>
      </c>
      <c r="K48" s="35">
        <v>3.5</v>
      </c>
      <c r="L48" s="35">
        <v>3.5</v>
      </c>
      <c r="M48" s="35">
        <v>3.5</v>
      </c>
      <c r="N48" s="36">
        <v>4.5</v>
      </c>
      <c r="O48" s="36">
        <v>4.5</v>
      </c>
      <c r="P48" s="37"/>
    </row>
    <row r="49" spans="2:16" x14ac:dyDescent="0.25">
      <c r="B49" s="40" t="s">
        <v>512</v>
      </c>
      <c r="C49" s="34" t="s">
        <v>513</v>
      </c>
      <c r="D49" s="12" t="s">
        <v>514</v>
      </c>
      <c r="E49" s="41">
        <v>4.2</v>
      </c>
      <c r="F49" s="41">
        <v>4.2</v>
      </c>
      <c r="G49" s="41">
        <v>4.2</v>
      </c>
      <c r="H49" s="41">
        <v>4.2</v>
      </c>
      <c r="I49" s="41">
        <v>4.2</v>
      </c>
      <c r="J49" s="41">
        <v>4.2</v>
      </c>
      <c r="K49" s="41">
        <v>4.2</v>
      </c>
      <c r="L49" s="41">
        <v>4.2</v>
      </c>
      <c r="M49" s="41">
        <v>4.2</v>
      </c>
      <c r="N49" s="42">
        <v>6</v>
      </c>
      <c r="O49" s="42">
        <v>6</v>
      </c>
      <c r="P49" s="37"/>
    </row>
    <row r="50" spans="2:16" x14ac:dyDescent="0.25">
      <c r="B50" s="12" t="s">
        <v>512</v>
      </c>
      <c r="C50" s="34"/>
      <c r="D50" s="12" t="s">
        <v>515</v>
      </c>
      <c r="E50" s="43"/>
      <c r="F50" s="43"/>
      <c r="G50" s="43"/>
      <c r="H50" s="43"/>
      <c r="I50" s="43"/>
      <c r="J50" s="43"/>
      <c r="K50" s="43"/>
      <c r="L50" s="43"/>
      <c r="M50" s="43"/>
      <c r="N50" s="44">
        <v>6</v>
      </c>
      <c r="O50" s="44">
        <v>6</v>
      </c>
      <c r="P50" s="37"/>
    </row>
    <row r="51" spans="2:16" x14ac:dyDescent="0.25">
      <c r="B51" s="12" t="s">
        <v>512</v>
      </c>
      <c r="C51" s="34"/>
      <c r="D51" s="12" t="s">
        <v>516</v>
      </c>
      <c r="E51" s="35"/>
      <c r="F51" s="38"/>
      <c r="G51" s="38">
        <v>5.2</v>
      </c>
      <c r="H51" s="38">
        <v>5.2</v>
      </c>
      <c r="I51" s="38">
        <v>5.2</v>
      </c>
      <c r="J51" s="38">
        <v>5.2</v>
      </c>
      <c r="K51" s="38">
        <v>5.2</v>
      </c>
      <c r="L51" s="38">
        <v>5.2</v>
      </c>
      <c r="M51" s="38">
        <v>5.2</v>
      </c>
      <c r="N51" s="39">
        <v>7</v>
      </c>
      <c r="O51" s="39">
        <v>7</v>
      </c>
      <c r="P51" s="37"/>
    </row>
    <row r="52" spans="2:16" x14ac:dyDescent="0.25">
      <c r="B52" s="12" t="s">
        <v>512</v>
      </c>
      <c r="C52" s="34"/>
      <c r="D52" s="12" t="s">
        <v>517</v>
      </c>
      <c r="E52" s="35"/>
      <c r="F52" s="38"/>
      <c r="G52" s="38">
        <v>1.6</v>
      </c>
      <c r="H52" s="38">
        <v>1.6</v>
      </c>
      <c r="I52" s="38">
        <v>1.6</v>
      </c>
      <c r="J52" s="38">
        <v>1.6</v>
      </c>
      <c r="K52" s="38">
        <v>1.6</v>
      </c>
      <c r="L52" s="38">
        <v>1.6</v>
      </c>
      <c r="M52" s="38">
        <v>1.6</v>
      </c>
      <c r="N52" s="39">
        <v>2.5</v>
      </c>
      <c r="O52" s="39">
        <v>2.5</v>
      </c>
      <c r="P52" s="37"/>
    </row>
    <row r="53" spans="2:16" x14ac:dyDescent="0.25">
      <c r="B53" s="12" t="s">
        <v>512</v>
      </c>
      <c r="C53" s="34"/>
      <c r="D53" s="12" t="s">
        <v>518</v>
      </c>
      <c r="E53" s="35"/>
      <c r="F53" s="38"/>
      <c r="G53" s="38">
        <v>2.2000000000000002</v>
      </c>
      <c r="H53" s="38">
        <v>2.2000000000000002</v>
      </c>
      <c r="I53" s="38">
        <v>2.2000000000000002</v>
      </c>
      <c r="J53" s="38">
        <v>2.2000000000000002</v>
      </c>
      <c r="K53" s="38">
        <v>2.2000000000000002</v>
      </c>
      <c r="L53" s="38">
        <v>2.2000000000000002</v>
      </c>
      <c r="M53" s="38">
        <v>2.2000000000000002</v>
      </c>
      <c r="N53" s="39">
        <v>3</v>
      </c>
      <c r="O53" s="39">
        <v>3</v>
      </c>
      <c r="P53" s="37"/>
    </row>
    <row r="54" spans="2:16" x14ac:dyDescent="0.25">
      <c r="B54" s="12" t="s">
        <v>512</v>
      </c>
      <c r="C54" s="34"/>
      <c r="D54" s="12" t="s">
        <v>519</v>
      </c>
      <c r="E54" s="35"/>
      <c r="F54" s="38"/>
      <c r="G54" s="38">
        <v>3.5</v>
      </c>
      <c r="H54" s="38">
        <v>3.5</v>
      </c>
      <c r="I54" s="38">
        <v>3.5</v>
      </c>
      <c r="J54" s="38">
        <v>3.5</v>
      </c>
      <c r="K54" s="38">
        <v>3.5</v>
      </c>
      <c r="L54" s="38">
        <v>3.5</v>
      </c>
      <c r="M54" s="38">
        <v>3.5</v>
      </c>
      <c r="N54" s="39">
        <v>4.5</v>
      </c>
      <c r="O54" s="39">
        <v>4.5</v>
      </c>
      <c r="P54" s="37"/>
    </row>
    <row r="55" spans="2:16" x14ac:dyDescent="0.25">
      <c r="B55" s="2" t="s">
        <v>512</v>
      </c>
      <c r="C55" s="34"/>
      <c r="D55" s="2" t="s">
        <v>520</v>
      </c>
      <c r="E55" s="35"/>
      <c r="F55" s="35"/>
      <c r="G55" s="35"/>
      <c r="H55" s="35">
        <v>2.2000000000000002</v>
      </c>
      <c r="I55" s="35">
        <v>2.2000000000000002</v>
      </c>
      <c r="J55" s="35">
        <v>2.2000000000000002</v>
      </c>
      <c r="K55" s="35">
        <v>2.2000000000000002</v>
      </c>
      <c r="L55" s="35">
        <v>2.2000000000000002</v>
      </c>
      <c r="M55" s="35">
        <v>2.2000000000000002</v>
      </c>
      <c r="N55" s="36">
        <v>3.2</v>
      </c>
      <c r="O55" s="36">
        <v>3.2</v>
      </c>
      <c r="P55" s="37"/>
    </row>
    <row r="56" spans="2:16" x14ac:dyDescent="0.25">
      <c r="B56" s="12" t="s">
        <v>521</v>
      </c>
      <c r="C56" s="34"/>
      <c r="D56" s="12" t="s">
        <v>522</v>
      </c>
      <c r="E56" s="43">
        <v>3.9</v>
      </c>
      <c r="F56" s="43">
        <v>3.9</v>
      </c>
      <c r="G56" s="43">
        <v>3.9</v>
      </c>
      <c r="H56" s="43">
        <v>3.9</v>
      </c>
      <c r="I56" s="43">
        <v>3.9</v>
      </c>
      <c r="J56" s="43">
        <v>3.9</v>
      </c>
      <c r="K56" s="43">
        <v>3.9</v>
      </c>
      <c r="L56" s="43">
        <v>3.9</v>
      </c>
      <c r="M56" s="43">
        <v>3.9</v>
      </c>
      <c r="N56" s="44"/>
      <c r="O56" s="44"/>
      <c r="P56" s="37"/>
    </row>
    <row r="57" spans="2:16" x14ac:dyDescent="0.25">
      <c r="B57" s="12" t="s">
        <v>521</v>
      </c>
      <c r="C57" s="34"/>
      <c r="D57" s="12" t="s">
        <v>523</v>
      </c>
      <c r="E57" s="43">
        <v>3.5</v>
      </c>
      <c r="F57" s="43">
        <v>3.5</v>
      </c>
      <c r="G57" s="43">
        <v>3.5</v>
      </c>
      <c r="H57" s="43">
        <v>3.5</v>
      </c>
      <c r="I57" s="43">
        <v>3.5</v>
      </c>
      <c r="J57" s="43">
        <v>3.5</v>
      </c>
      <c r="K57" s="43">
        <v>3.5</v>
      </c>
      <c r="L57" s="43"/>
      <c r="M57" s="43"/>
      <c r="N57" s="44"/>
      <c r="O57" s="44"/>
      <c r="P57" s="37"/>
    </row>
    <row r="58" spans="2:16" x14ac:dyDescent="0.25">
      <c r="B58" s="12" t="s">
        <v>521</v>
      </c>
      <c r="C58" s="34"/>
      <c r="D58" s="12" t="s">
        <v>524</v>
      </c>
      <c r="E58" s="43">
        <v>4</v>
      </c>
      <c r="F58" s="43">
        <v>4</v>
      </c>
      <c r="G58" s="43">
        <v>4</v>
      </c>
      <c r="H58" s="43">
        <v>4</v>
      </c>
      <c r="I58" s="43">
        <v>4</v>
      </c>
      <c r="J58" s="43">
        <v>4</v>
      </c>
      <c r="K58" s="43">
        <v>4</v>
      </c>
      <c r="L58" s="43">
        <v>4</v>
      </c>
      <c r="M58" s="43">
        <v>4</v>
      </c>
      <c r="N58" s="44">
        <v>7</v>
      </c>
      <c r="O58" s="44">
        <v>7</v>
      </c>
      <c r="P58" s="37"/>
    </row>
    <row r="59" spans="2:16" x14ac:dyDescent="0.25">
      <c r="B59" s="12" t="s">
        <v>521</v>
      </c>
      <c r="C59" s="34"/>
      <c r="D59" s="12" t="s">
        <v>525</v>
      </c>
      <c r="E59" s="43">
        <v>4.9000000000000004</v>
      </c>
      <c r="F59" s="43">
        <v>4.9000000000000004</v>
      </c>
      <c r="G59" s="43">
        <v>4.9000000000000004</v>
      </c>
      <c r="H59" s="43">
        <v>4.9000000000000004</v>
      </c>
      <c r="I59" s="43">
        <v>4.9000000000000004</v>
      </c>
      <c r="J59" s="43">
        <v>4.9000000000000004</v>
      </c>
      <c r="K59" s="43">
        <v>4.9000000000000004</v>
      </c>
      <c r="L59" s="43">
        <v>4.9000000000000004</v>
      </c>
      <c r="M59" s="43">
        <v>4.9000000000000004</v>
      </c>
      <c r="N59" s="44">
        <v>7</v>
      </c>
      <c r="O59" s="44">
        <v>7</v>
      </c>
      <c r="P59" s="37"/>
    </row>
    <row r="60" spans="2:16" x14ac:dyDescent="0.25">
      <c r="B60" s="12" t="s">
        <v>521</v>
      </c>
      <c r="C60" s="34"/>
      <c r="D60" s="12" t="s">
        <v>526</v>
      </c>
      <c r="E60" s="43">
        <v>4.3</v>
      </c>
      <c r="F60" s="43">
        <v>4.3</v>
      </c>
      <c r="G60" s="43">
        <v>4.3</v>
      </c>
      <c r="H60" s="43">
        <v>4.3</v>
      </c>
      <c r="I60" s="43">
        <v>4.3</v>
      </c>
      <c r="J60" s="43">
        <v>4.3</v>
      </c>
      <c r="K60" s="43">
        <v>4.3</v>
      </c>
      <c r="L60" s="43">
        <v>4.3</v>
      </c>
      <c r="M60" s="43">
        <v>4.3</v>
      </c>
      <c r="N60" s="44">
        <v>7</v>
      </c>
      <c r="O60" s="44">
        <v>7</v>
      </c>
      <c r="P60" s="37"/>
    </row>
    <row r="61" spans="2:16" x14ac:dyDescent="0.25">
      <c r="B61" s="12" t="s">
        <v>521</v>
      </c>
      <c r="C61" s="34"/>
      <c r="D61" s="2" t="s">
        <v>527</v>
      </c>
      <c r="E61" s="43">
        <v>3.5</v>
      </c>
      <c r="F61" s="43">
        <v>3.5</v>
      </c>
      <c r="G61" s="43">
        <v>3.5</v>
      </c>
      <c r="H61" s="43">
        <v>3.5</v>
      </c>
      <c r="I61" s="43">
        <v>3.5</v>
      </c>
      <c r="J61" s="43">
        <v>3.5</v>
      </c>
      <c r="K61" s="43">
        <v>3.5</v>
      </c>
      <c r="L61" s="43">
        <v>3.5</v>
      </c>
      <c r="M61" s="43">
        <v>3.5</v>
      </c>
      <c r="N61" s="44">
        <v>7</v>
      </c>
      <c r="O61" s="44">
        <v>7</v>
      </c>
      <c r="P61" s="37"/>
    </row>
    <row r="62" spans="2:16" x14ac:dyDescent="0.25">
      <c r="B62" s="12" t="s">
        <v>521</v>
      </c>
      <c r="C62" s="34"/>
      <c r="D62" s="12" t="s">
        <v>528</v>
      </c>
      <c r="E62" s="43">
        <v>3.7</v>
      </c>
      <c r="F62" s="43">
        <v>3.7</v>
      </c>
      <c r="G62" s="43">
        <v>3.7</v>
      </c>
      <c r="H62" s="43">
        <v>3.7</v>
      </c>
      <c r="I62" s="43">
        <v>3.7</v>
      </c>
      <c r="J62" s="43">
        <v>3.7</v>
      </c>
      <c r="K62" s="43">
        <v>3.7</v>
      </c>
      <c r="L62" s="43">
        <v>3.7</v>
      </c>
      <c r="M62" s="43">
        <v>3.7</v>
      </c>
      <c r="N62" s="44">
        <v>7</v>
      </c>
      <c r="O62" s="44">
        <v>7</v>
      </c>
      <c r="P62" s="37"/>
    </row>
    <row r="63" spans="2:16" x14ac:dyDescent="0.25">
      <c r="B63" s="12" t="s">
        <v>521</v>
      </c>
      <c r="C63" s="34"/>
      <c r="D63" s="12" t="s">
        <v>529</v>
      </c>
      <c r="E63" s="43">
        <v>4.2</v>
      </c>
      <c r="F63" s="43">
        <v>4.2</v>
      </c>
      <c r="G63" s="43">
        <v>4.2</v>
      </c>
      <c r="H63" s="43">
        <v>4.2</v>
      </c>
      <c r="I63" s="43">
        <v>4.2</v>
      </c>
      <c r="J63" s="43">
        <v>4.2</v>
      </c>
      <c r="K63" s="43">
        <v>4.2</v>
      </c>
      <c r="L63" s="43">
        <v>4.2</v>
      </c>
      <c r="M63" s="43">
        <v>4.2</v>
      </c>
      <c r="N63" s="44"/>
      <c r="O63" s="44"/>
      <c r="P63" s="37"/>
    </row>
    <row r="64" spans="2:16" x14ac:dyDescent="0.25">
      <c r="B64" s="12" t="s">
        <v>521</v>
      </c>
      <c r="C64" s="34"/>
      <c r="D64" s="12" t="s">
        <v>530</v>
      </c>
      <c r="E64" s="35">
        <v>3.9</v>
      </c>
      <c r="F64" s="35">
        <v>3.9</v>
      </c>
      <c r="G64" s="35">
        <v>3.9</v>
      </c>
      <c r="H64" s="35">
        <v>3.9</v>
      </c>
      <c r="I64" s="35">
        <v>3.9</v>
      </c>
      <c r="J64" s="35">
        <v>3.9</v>
      </c>
      <c r="K64" s="35">
        <v>3.9</v>
      </c>
      <c r="L64" s="43"/>
      <c r="M64" s="43"/>
      <c r="N64" s="44"/>
      <c r="O64" s="44"/>
      <c r="P64" s="37">
        <v>0.35</v>
      </c>
    </row>
    <row r="65" spans="2:16" x14ac:dyDescent="0.25">
      <c r="B65" s="12" t="s">
        <v>521</v>
      </c>
      <c r="C65" s="34"/>
      <c r="D65" s="12" t="s">
        <v>531</v>
      </c>
      <c r="E65" s="43">
        <v>3.7</v>
      </c>
      <c r="F65" s="43">
        <v>3.7</v>
      </c>
      <c r="G65" s="43">
        <v>3.7</v>
      </c>
      <c r="H65" s="43">
        <v>3.7</v>
      </c>
      <c r="I65" s="43">
        <v>3.7</v>
      </c>
      <c r="J65" s="43">
        <v>3.7</v>
      </c>
      <c r="K65" s="43">
        <v>3.7</v>
      </c>
      <c r="L65" s="43"/>
      <c r="M65" s="43"/>
      <c r="N65" s="44"/>
      <c r="O65" s="44"/>
      <c r="P65" s="37"/>
    </row>
    <row r="66" spans="2:16" x14ac:dyDescent="0.25">
      <c r="B66" s="12" t="s">
        <v>521</v>
      </c>
      <c r="C66" s="34"/>
      <c r="D66" s="12" t="s">
        <v>532</v>
      </c>
      <c r="E66" s="35">
        <v>3.9</v>
      </c>
      <c r="F66" s="35">
        <v>3.9</v>
      </c>
      <c r="G66" s="35">
        <v>3.9</v>
      </c>
      <c r="H66" s="35">
        <v>3.9</v>
      </c>
      <c r="I66" s="35">
        <v>3.9</v>
      </c>
      <c r="J66" s="35">
        <v>3.9</v>
      </c>
      <c r="K66" s="35">
        <v>3.9</v>
      </c>
      <c r="L66" s="35">
        <v>3.9</v>
      </c>
      <c r="M66" s="35">
        <v>3.9</v>
      </c>
      <c r="N66" s="36">
        <v>5.5</v>
      </c>
      <c r="O66" s="36">
        <v>5.5</v>
      </c>
      <c r="P66" s="37">
        <v>0.35</v>
      </c>
    </row>
    <row r="67" spans="2:16" x14ac:dyDescent="0.25">
      <c r="B67" s="12" t="s">
        <v>521</v>
      </c>
      <c r="C67" s="34"/>
      <c r="D67" s="12" t="s">
        <v>533</v>
      </c>
      <c r="E67" s="35">
        <v>4</v>
      </c>
      <c r="F67" s="35">
        <v>4</v>
      </c>
      <c r="G67" s="35">
        <v>4</v>
      </c>
      <c r="H67" s="35">
        <v>4</v>
      </c>
      <c r="I67" s="35">
        <v>4</v>
      </c>
      <c r="J67" s="35">
        <v>4</v>
      </c>
      <c r="K67" s="35">
        <v>4</v>
      </c>
      <c r="L67" s="35">
        <v>4</v>
      </c>
      <c r="M67" s="35">
        <v>4</v>
      </c>
      <c r="N67" s="36">
        <v>7</v>
      </c>
      <c r="O67" s="36">
        <v>7</v>
      </c>
      <c r="P67" s="37">
        <v>0.35</v>
      </c>
    </row>
    <row r="68" spans="2:16" x14ac:dyDescent="0.25">
      <c r="B68" s="12" t="s">
        <v>521</v>
      </c>
      <c r="C68" s="34"/>
      <c r="D68" s="2" t="s">
        <v>534</v>
      </c>
      <c r="E68" s="35"/>
      <c r="F68" s="35">
        <v>3.7</v>
      </c>
      <c r="G68" s="35">
        <v>3.7</v>
      </c>
      <c r="H68" s="35">
        <v>3.7</v>
      </c>
      <c r="I68" s="35">
        <v>3.7</v>
      </c>
      <c r="J68" s="35"/>
      <c r="K68" s="35"/>
      <c r="L68" s="35"/>
      <c r="M68" s="35"/>
      <c r="N68" s="36"/>
      <c r="O68" s="36"/>
      <c r="P68" s="37"/>
    </row>
    <row r="69" spans="2:16" x14ac:dyDescent="0.25">
      <c r="B69" s="12" t="s">
        <v>521</v>
      </c>
      <c r="C69" s="34"/>
      <c r="D69" s="2" t="s">
        <v>535</v>
      </c>
      <c r="E69" s="35"/>
      <c r="F69" s="35">
        <v>3.9</v>
      </c>
      <c r="G69" s="35">
        <v>3.9</v>
      </c>
      <c r="H69" s="35">
        <v>3.9</v>
      </c>
      <c r="I69" s="35">
        <v>3.9</v>
      </c>
      <c r="J69" s="35">
        <v>3.9</v>
      </c>
      <c r="K69" s="35">
        <v>3.9</v>
      </c>
      <c r="L69" s="35">
        <v>3.9</v>
      </c>
      <c r="M69" s="35"/>
      <c r="N69" s="36"/>
      <c r="O69" s="36"/>
      <c r="P69" s="37">
        <v>0.45</v>
      </c>
    </row>
    <row r="70" spans="2:16" x14ac:dyDescent="0.25">
      <c r="B70" s="2" t="s">
        <v>521</v>
      </c>
      <c r="C70" s="34"/>
      <c r="D70" s="2" t="s">
        <v>536</v>
      </c>
      <c r="E70" s="35"/>
      <c r="F70" s="35"/>
      <c r="G70" s="35">
        <v>3.5</v>
      </c>
      <c r="H70" s="35">
        <v>3.5</v>
      </c>
      <c r="I70" s="35">
        <v>3.5</v>
      </c>
      <c r="J70" s="35">
        <v>3.5</v>
      </c>
      <c r="K70" s="35">
        <v>3.5</v>
      </c>
      <c r="L70" s="35">
        <v>3.5</v>
      </c>
      <c r="M70" s="35">
        <v>3.5</v>
      </c>
      <c r="N70" s="36">
        <v>5</v>
      </c>
      <c r="O70" s="36">
        <v>5</v>
      </c>
      <c r="P70" s="37"/>
    </row>
    <row r="71" spans="2:16" x14ac:dyDescent="0.25">
      <c r="B71" s="12" t="s">
        <v>521</v>
      </c>
      <c r="C71" s="34"/>
      <c r="D71" s="12" t="s">
        <v>537</v>
      </c>
      <c r="E71" s="35"/>
      <c r="F71" s="38">
        <v>3.7</v>
      </c>
      <c r="G71" s="38">
        <v>3.7</v>
      </c>
      <c r="H71" s="38">
        <v>3.7</v>
      </c>
      <c r="I71" s="38">
        <v>3.7</v>
      </c>
      <c r="J71" s="38"/>
      <c r="K71" s="38"/>
      <c r="L71" s="38"/>
      <c r="M71" s="38"/>
      <c r="N71" s="39">
        <v>7</v>
      </c>
      <c r="O71" s="39">
        <v>7</v>
      </c>
      <c r="P71" s="37"/>
    </row>
    <row r="72" spans="2:16" x14ac:dyDescent="0.25">
      <c r="B72" s="12" t="s">
        <v>521</v>
      </c>
      <c r="C72" s="34"/>
      <c r="D72" s="12" t="s">
        <v>538</v>
      </c>
      <c r="E72" s="35"/>
      <c r="F72" s="38">
        <v>3.7</v>
      </c>
      <c r="G72" s="38">
        <v>3.7</v>
      </c>
      <c r="H72" s="38">
        <v>3.7</v>
      </c>
      <c r="I72" s="38">
        <v>3.7</v>
      </c>
      <c r="J72" s="38">
        <v>3.7</v>
      </c>
      <c r="K72" s="38"/>
      <c r="L72" s="38"/>
      <c r="M72" s="38"/>
      <c r="N72" s="39">
        <v>8</v>
      </c>
      <c r="O72" s="39">
        <v>8</v>
      </c>
      <c r="P72" s="37"/>
    </row>
    <row r="73" spans="2:16" x14ac:dyDescent="0.25">
      <c r="B73" s="12" t="s">
        <v>521</v>
      </c>
      <c r="C73" s="34"/>
      <c r="D73" s="12" t="s">
        <v>539</v>
      </c>
      <c r="E73" s="35"/>
      <c r="F73" s="38">
        <v>3.5</v>
      </c>
      <c r="G73" s="38">
        <v>3.5</v>
      </c>
      <c r="H73" s="38">
        <v>3.5</v>
      </c>
      <c r="I73" s="38">
        <v>3.5</v>
      </c>
      <c r="J73" s="38">
        <v>3.5</v>
      </c>
      <c r="K73" s="38">
        <v>3.5</v>
      </c>
      <c r="L73" s="38">
        <v>3.5</v>
      </c>
      <c r="M73" s="38"/>
      <c r="N73" s="39">
        <v>4.5</v>
      </c>
      <c r="O73" s="39">
        <v>4.5</v>
      </c>
      <c r="P73" s="37"/>
    </row>
    <row r="74" spans="2:16" x14ac:dyDescent="0.25">
      <c r="B74" s="12" t="s">
        <v>521</v>
      </c>
      <c r="C74" s="34"/>
      <c r="D74" s="12" t="s">
        <v>540</v>
      </c>
      <c r="E74" s="35"/>
      <c r="F74" s="38"/>
      <c r="G74" s="38">
        <v>3.9</v>
      </c>
      <c r="H74" s="38">
        <v>3.9</v>
      </c>
      <c r="I74" s="38">
        <v>3.9</v>
      </c>
      <c r="J74" s="38">
        <v>3.9</v>
      </c>
      <c r="K74" s="38">
        <v>3.9</v>
      </c>
      <c r="L74" s="38"/>
      <c r="M74" s="38"/>
      <c r="N74" s="39"/>
      <c r="O74" s="39"/>
      <c r="P74" s="37"/>
    </row>
    <row r="75" spans="2:16" x14ac:dyDescent="0.25">
      <c r="B75" s="12" t="s">
        <v>521</v>
      </c>
      <c r="C75" s="34"/>
      <c r="D75" s="2" t="s">
        <v>541</v>
      </c>
      <c r="E75" s="35"/>
      <c r="F75" s="38"/>
      <c r="G75" s="38">
        <v>3.5</v>
      </c>
      <c r="H75" s="38">
        <v>3.5</v>
      </c>
      <c r="I75" s="38">
        <v>3.5</v>
      </c>
      <c r="J75" s="38">
        <v>3.5</v>
      </c>
      <c r="K75" s="38">
        <v>3.5</v>
      </c>
      <c r="L75" s="38"/>
      <c r="M75" s="38"/>
      <c r="N75" s="39"/>
      <c r="O75" s="39"/>
      <c r="P75" s="37"/>
    </row>
    <row r="76" spans="2:16" x14ac:dyDescent="0.25">
      <c r="B76" s="2" t="s">
        <v>521</v>
      </c>
      <c r="C76" s="34"/>
      <c r="D76" s="2" t="s">
        <v>542</v>
      </c>
      <c r="E76" s="35"/>
      <c r="F76" s="38"/>
      <c r="G76" s="38">
        <v>3.7</v>
      </c>
      <c r="H76" s="38">
        <v>3.7</v>
      </c>
      <c r="I76" s="38">
        <v>3.7</v>
      </c>
      <c r="J76" s="38">
        <v>3.7</v>
      </c>
      <c r="K76" s="38">
        <v>3.7</v>
      </c>
      <c r="L76" s="38">
        <v>3.7</v>
      </c>
      <c r="M76" s="38"/>
      <c r="N76" s="39"/>
      <c r="O76" s="39"/>
      <c r="P76" s="37">
        <v>0.35</v>
      </c>
    </row>
    <row r="77" spans="2:16" x14ac:dyDescent="0.25">
      <c r="B77" s="2" t="s">
        <v>521</v>
      </c>
      <c r="C77" s="34"/>
      <c r="D77" s="2" t="s">
        <v>543</v>
      </c>
      <c r="E77" s="35"/>
      <c r="F77" s="38"/>
      <c r="G77" s="38">
        <v>4</v>
      </c>
      <c r="H77" s="38">
        <v>4</v>
      </c>
      <c r="I77" s="38">
        <v>4</v>
      </c>
      <c r="J77" s="38">
        <v>4</v>
      </c>
      <c r="K77" s="38">
        <v>4</v>
      </c>
      <c r="L77" s="38">
        <v>4</v>
      </c>
      <c r="M77" s="38">
        <v>4</v>
      </c>
      <c r="N77" s="39"/>
      <c r="O77" s="39"/>
      <c r="P77" s="37"/>
    </row>
    <row r="78" spans="2:16" x14ac:dyDescent="0.25">
      <c r="B78" s="2" t="s">
        <v>521</v>
      </c>
      <c r="C78" s="34"/>
      <c r="D78" s="2" t="s">
        <v>544</v>
      </c>
      <c r="E78" s="35"/>
      <c r="F78" s="38"/>
      <c r="G78" s="38">
        <v>4</v>
      </c>
      <c r="H78" s="38">
        <v>4</v>
      </c>
      <c r="I78" s="38">
        <v>4</v>
      </c>
      <c r="J78" s="38">
        <v>4</v>
      </c>
      <c r="K78" s="38">
        <v>4</v>
      </c>
      <c r="L78" s="38">
        <v>4</v>
      </c>
      <c r="M78" s="38">
        <v>4</v>
      </c>
      <c r="N78" s="39"/>
      <c r="O78" s="39"/>
      <c r="P78" s="37"/>
    </row>
    <row r="79" spans="2:16" x14ac:dyDescent="0.25">
      <c r="B79" s="2" t="s">
        <v>521</v>
      </c>
      <c r="C79" s="34"/>
      <c r="D79" s="2" t="s">
        <v>545</v>
      </c>
      <c r="E79" s="35"/>
      <c r="F79" s="35"/>
      <c r="G79" s="35">
        <v>3.9</v>
      </c>
      <c r="H79" s="35">
        <v>3.9</v>
      </c>
      <c r="I79" s="35">
        <v>3.9</v>
      </c>
      <c r="J79" s="35">
        <v>3.9</v>
      </c>
      <c r="K79" s="35">
        <v>3.9</v>
      </c>
      <c r="L79" s="35">
        <v>3.9</v>
      </c>
      <c r="M79" s="35">
        <v>3.9</v>
      </c>
      <c r="N79" s="36"/>
      <c r="O79" s="36"/>
      <c r="P79" s="37"/>
    </row>
    <row r="80" spans="2:16" x14ac:dyDescent="0.25">
      <c r="B80" s="12" t="s">
        <v>521</v>
      </c>
      <c r="C80" s="34"/>
      <c r="D80" s="2" t="s">
        <v>546</v>
      </c>
      <c r="E80" s="35"/>
      <c r="F80" s="35">
        <v>3.7</v>
      </c>
      <c r="G80" s="35">
        <v>3.7</v>
      </c>
      <c r="H80" s="35">
        <v>3.7</v>
      </c>
      <c r="I80" s="35">
        <v>3.7</v>
      </c>
      <c r="J80" s="35">
        <v>3.7</v>
      </c>
      <c r="K80" s="35">
        <v>3.7</v>
      </c>
      <c r="L80" s="35"/>
      <c r="M80" s="35"/>
      <c r="N80" s="36"/>
      <c r="O80" s="36"/>
      <c r="P80" s="37"/>
    </row>
    <row r="81" spans="2:16" x14ac:dyDescent="0.25">
      <c r="B81" s="12" t="s">
        <v>521</v>
      </c>
      <c r="C81" s="34"/>
      <c r="D81" s="2" t="s">
        <v>547</v>
      </c>
      <c r="E81" s="35"/>
      <c r="F81" s="35"/>
      <c r="G81" s="35">
        <v>3.5</v>
      </c>
      <c r="H81" s="35">
        <v>3.5</v>
      </c>
      <c r="I81" s="35">
        <v>3.5</v>
      </c>
      <c r="J81" s="35">
        <v>3.5</v>
      </c>
      <c r="K81" s="35">
        <v>3.5</v>
      </c>
      <c r="L81" s="35">
        <v>3.5</v>
      </c>
      <c r="M81" s="35">
        <v>3.5</v>
      </c>
      <c r="N81" s="36">
        <v>5</v>
      </c>
      <c r="O81" s="36">
        <v>5</v>
      </c>
      <c r="P81" s="37"/>
    </row>
    <row r="82" spans="2:16" x14ac:dyDescent="0.25">
      <c r="B82" s="12" t="s">
        <v>521</v>
      </c>
      <c r="C82" s="34"/>
      <c r="D82" s="2" t="s">
        <v>548</v>
      </c>
      <c r="E82" s="35"/>
      <c r="F82" s="35"/>
      <c r="G82" s="35">
        <v>4.9000000000000004</v>
      </c>
      <c r="H82" s="35">
        <v>4.9000000000000004</v>
      </c>
      <c r="I82" s="35">
        <v>4.9000000000000004</v>
      </c>
      <c r="J82" s="35">
        <v>4.9000000000000004</v>
      </c>
      <c r="K82" s="35">
        <v>4.9000000000000004</v>
      </c>
      <c r="L82" s="35">
        <v>4.9000000000000004</v>
      </c>
      <c r="M82" s="35">
        <v>4.9000000000000004</v>
      </c>
      <c r="N82" s="36"/>
      <c r="O82" s="36"/>
      <c r="P82" s="37"/>
    </row>
    <row r="83" spans="2:16" x14ac:dyDescent="0.25">
      <c r="B83" s="12" t="s">
        <v>521</v>
      </c>
      <c r="C83" s="34"/>
      <c r="D83" s="2" t="s">
        <v>549</v>
      </c>
      <c r="E83" s="35"/>
      <c r="F83" s="38">
        <v>3.7</v>
      </c>
      <c r="G83" s="38">
        <v>3.7</v>
      </c>
      <c r="H83" s="38">
        <v>3.7</v>
      </c>
      <c r="I83" s="38">
        <v>3.7</v>
      </c>
      <c r="J83" s="38">
        <v>3.7</v>
      </c>
      <c r="K83" s="38">
        <v>3.7</v>
      </c>
      <c r="L83" s="38">
        <v>3.7</v>
      </c>
      <c r="M83" s="38">
        <v>3.7</v>
      </c>
      <c r="N83" s="39"/>
      <c r="O83" s="39"/>
      <c r="P83" s="37"/>
    </row>
    <row r="84" spans="2:16" x14ac:dyDescent="0.25">
      <c r="B84" s="2" t="s">
        <v>521</v>
      </c>
      <c r="C84" s="34"/>
      <c r="D84" s="2" t="s">
        <v>550</v>
      </c>
      <c r="E84" s="35"/>
      <c r="F84" s="35">
        <v>3.7</v>
      </c>
      <c r="G84" s="35">
        <v>3.7</v>
      </c>
      <c r="H84" s="35">
        <v>3.7</v>
      </c>
      <c r="I84" s="35">
        <v>3.7</v>
      </c>
      <c r="J84" s="35">
        <v>3.7</v>
      </c>
      <c r="K84" s="35">
        <v>3.7</v>
      </c>
      <c r="L84" s="35">
        <v>3.7</v>
      </c>
      <c r="M84" s="35">
        <v>3.7</v>
      </c>
      <c r="N84" s="36"/>
      <c r="O84" s="36"/>
      <c r="P84" s="37"/>
    </row>
    <row r="85" spans="2:16" x14ac:dyDescent="0.25">
      <c r="B85" s="2" t="s">
        <v>521</v>
      </c>
      <c r="C85" s="34"/>
      <c r="D85" s="2" t="s">
        <v>551</v>
      </c>
      <c r="E85" s="35"/>
      <c r="F85" s="35">
        <v>3.5</v>
      </c>
      <c r="G85" s="35">
        <v>3.5</v>
      </c>
      <c r="H85" s="35">
        <v>3.5</v>
      </c>
      <c r="I85" s="35">
        <v>3.5</v>
      </c>
      <c r="J85" s="35">
        <v>3.5</v>
      </c>
      <c r="K85" s="35">
        <v>3.5</v>
      </c>
      <c r="L85" s="35">
        <v>3.5</v>
      </c>
      <c r="M85" s="35">
        <v>3.5</v>
      </c>
      <c r="N85" s="36" t="s">
        <v>552</v>
      </c>
      <c r="O85" s="36" t="s">
        <v>552</v>
      </c>
      <c r="P85" s="37"/>
    </row>
    <row r="86" spans="2:16" x14ac:dyDescent="0.25">
      <c r="B86" s="2" t="s">
        <v>521</v>
      </c>
      <c r="C86" s="34"/>
      <c r="D86" s="2" t="s">
        <v>553</v>
      </c>
      <c r="E86" s="35"/>
      <c r="F86" s="35">
        <v>4</v>
      </c>
      <c r="G86" s="35">
        <v>4</v>
      </c>
      <c r="H86" s="35">
        <v>4</v>
      </c>
      <c r="I86" s="35">
        <v>4</v>
      </c>
      <c r="J86" s="35">
        <v>4</v>
      </c>
      <c r="K86" s="35">
        <v>4</v>
      </c>
      <c r="L86" s="35">
        <v>4</v>
      </c>
      <c r="M86" s="35">
        <v>4</v>
      </c>
      <c r="N86" s="36">
        <v>5</v>
      </c>
      <c r="O86" s="36">
        <v>5</v>
      </c>
      <c r="P86" s="37"/>
    </row>
    <row r="87" spans="2:16" x14ac:dyDescent="0.25">
      <c r="B87" s="2" t="s">
        <v>521</v>
      </c>
      <c r="C87" s="34"/>
      <c r="D87" s="2" t="s">
        <v>554</v>
      </c>
      <c r="E87" s="35"/>
      <c r="F87" s="35">
        <v>3.5</v>
      </c>
      <c r="G87" s="35">
        <v>3.5</v>
      </c>
      <c r="H87" s="35">
        <v>3.5</v>
      </c>
      <c r="I87" s="35">
        <v>3.5</v>
      </c>
      <c r="J87" s="35">
        <v>3.5</v>
      </c>
      <c r="K87" s="35">
        <v>3.5</v>
      </c>
      <c r="L87" s="35">
        <v>3.5</v>
      </c>
      <c r="M87" s="35">
        <v>3.5</v>
      </c>
      <c r="N87" s="36">
        <v>5.5</v>
      </c>
      <c r="O87" s="36">
        <v>5.5</v>
      </c>
      <c r="P87" s="37"/>
    </row>
    <row r="88" spans="2:16" x14ac:dyDescent="0.25">
      <c r="B88" s="12" t="s">
        <v>555</v>
      </c>
      <c r="C88" s="34"/>
      <c r="D88" s="2" t="s">
        <v>556</v>
      </c>
      <c r="E88" s="43">
        <v>3.5</v>
      </c>
      <c r="F88" s="43">
        <v>3.5</v>
      </c>
      <c r="G88" s="43">
        <v>3.5</v>
      </c>
      <c r="H88" s="43">
        <v>3.5</v>
      </c>
      <c r="I88" s="43">
        <v>3.5</v>
      </c>
      <c r="J88" s="43">
        <v>3.5</v>
      </c>
      <c r="K88" s="43">
        <v>3.5</v>
      </c>
      <c r="L88" s="43">
        <v>3.5</v>
      </c>
      <c r="M88" s="43">
        <v>3.5</v>
      </c>
      <c r="N88" s="44">
        <v>5</v>
      </c>
      <c r="O88" s="44">
        <v>5</v>
      </c>
      <c r="P88" s="37"/>
    </row>
    <row r="89" spans="2:16" x14ac:dyDescent="0.25">
      <c r="B89" s="12" t="s">
        <v>555</v>
      </c>
      <c r="C89" s="34"/>
      <c r="D89" s="12" t="s">
        <v>557</v>
      </c>
      <c r="E89" s="35"/>
      <c r="F89" s="38"/>
      <c r="G89" s="38">
        <v>3.5</v>
      </c>
      <c r="H89" s="38">
        <v>3.5</v>
      </c>
      <c r="I89" s="38">
        <v>3.5</v>
      </c>
      <c r="J89" s="38">
        <v>3.5</v>
      </c>
      <c r="K89" s="38">
        <v>3.5</v>
      </c>
      <c r="L89" s="38">
        <v>3.5</v>
      </c>
      <c r="M89" s="38">
        <v>3.5</v>
      </c>
      <c r="N89" s="39">
        <v>4.2</v>
      </c>
      <c r="O89" s="39">
        <v>4.2</v>
      </c>
      <c r="P89" s="37"/>
    </row>
    <row r="90" spans="2:16" x14ac:dyDescent="0.25">
      <c r="B90" s="12" t="s">
        <v>558</v>
      </c>
      <c r="C90" s="34"/>
      <c r="D90" s="12" t="s">
        <v>559</v>
      </c>
      <c r="E90" s="35"/>
      <c r="F90" s="38"/>
      <c r="G90" s="38">
        <v>7</v>
      </c>
      <c r="H90" s="38">
        <v>7</v>
      </c>
      <c r="I90" s="38">
        <v>7</v>
      </c>
      <c r="J90" s="38">
        <v>7</v>
      </c>
      <c r="K90" s="38">
        <v>7</v>
      </c>
      <c r="L90" s="38">
        <v>7</v>
      </c>
      <c r="M90" s="38">
        <v>7</v>
      </c>
      <c r="N90" s="39">
        <v>9</v>
      </c>
      <c r="O90" s="39">
        <v>9</v>
      </c>
      <c r="P90" s="37"/>
    </row>
    <row r="91" spans="2:16" x14ac:dyDescent="0.25">
      <c r="B91" s="2" t="s">
        <v>558</v>
      </c>
      <c r="C91" s="34"/>
      <c r="D91" s="2" t="s">
        <v>560</v>
      </c>
      <c r="E91" s="35"/>
      <c r="F91" s="35"/>
      <c r="G91" s="35">
        <v>6.5</v>
      </c>
      <c r="H91" s="35">
        <v>6.5</v>
      </c>
      <c r="I91" s="35">
        <v>6.5</v>
      </c>
      <c r="J91" s="35">
        <v>6.5</v>
      </c>
      <c r="K91" s="35">
        <v>6.5</v>
      </c>
      <c r="L91" s="35">
        <v>6.5</v>
      </c>
      <c r="M91" s="35"/>
      <c r="N91" s="36"/>
      <c r="O91" s="36"/>
      <c r="P91" s="37"/>
    </row>
    <row r="92" spans="2:16" x14ac:dyDescent="0.25">
      <c r="B92" s="2" t="s">
        <v>558</v>
      </c>
      <c r="C92" s="34"/>
      <c r="D92" s="2" t="s">
        <v>561</v>
      </c>
      <c r="E92" s="35"/>
      <c r="F92" s="35">
        <v>4</v>
      </c>
      <c r="G92" s="35">
        <v>4</v>
      </c>
      <c r="H92" s="35">
        <v>4</v>
      </c>
      <c r="I92" s="35">
        <v>4</v>
      </c>
      <c r="J92" s="35">
        <v>4</v>
      </c>
      <c r="K92" s="35">
        <v>4</v>
      </c>
      <c r="L92" s="35">
        <v>4</v>
      </c>
      <c r="M92" s="35">
        <v>4</v>
      </c>
      <c r="N92" s="36">
        <v>5</v>
      </c>
      <c r="O92" s="36">
        <v>5</v>
      </c>
      <c r="P92" s="37"/>
    </row>
    <row r="93" spans="2:16" x14ac:dyDescent="0.25">
      <c r="B93" s="2" t="s">
        <v>63</v>
      </c>
      <c r="C93" s="34"/>
      <c r="D93" s="2" t="s">
        <v>562</v>
      </c>
      <c r="E93" s="35"/>
      <c r="F93" s="35">
        <v>3.9</v>
      </c>
      <c r="G93" s="35">
        <v>3.9</v>
      </c>
      <c r="H93" s="35">
        <v>3.9</v>
      </c>
      <c r="I93" s="35">
        <v>3.9</v>
      </c>
      <c r="J93" s="35">
        <v>3.9</v>
      </c>
      <c r="K93" s="35">
        <v>3.9</v>
      </c>
      <c r="L93" s="35">
        <v>3.9</v>
      </c>
      <c r="M93" s="35">
        <v>3.9</v>
      </c>
      <c r="N93" s="36">
        <v>5</v>
      </c>
      <c r="O93" s="36">
        <v>5</v>
      </c>
      <c r="P93" s="37">
        <v>0.5</v>
      </c>
    </row>
    <row r="94" spans="2:16" x14ac:dyDescent="0.25">
      <c r="B94" s="12" t="s">
        <v>63</v>
      </c>
      <c r="C94" s="34"/>
      <c r="D94" s="12" t="s">
        <v>563</v>
      </c>
      <c r="E94" s="43">
        <v>1.6</v>
      </c>
      <c r="F94" s="43">
        <v>1.6</v>
      </c>
      <c r="G94" s="43">
        <v>1.6</v>
      </c>
      <c r="H94" s="43">
        <v>1.6</v>
      </c>
      <c r="I94" s="43">
        <v>1.6</v>
      </c>
      <c r="J94" s="43">
        <v>1.6</v>
      </c>
      <c r="K94" s="43">
        <v>1.6</v>
      </c>
      <c r="L94" s="43">
        <v>1.6</v>
      </c>
      <c r="M94" s="43">
        <v>1.6</v>
      </c>
      <c r="N94" s="43">
        <v>1.6</v>
      </c>
      <c r="O94" s="43">
        <v>1.6</v>
      </c>
      <c r="P94" s="37"/>
    </row>
    <row r="95" spans="2:16" x14ac:dyDescent="0.25">
      <c r="B95" s="2" t="s">
        <v>63</v>
      </c>
      <c r="C95" s="34"/>
      <c r="D95" s="12" t="s">
        <v>564</v>
      </c>
      <c r="E95" s="35">
        <v>3.9</v>
      </c>
      <c r="F95" s="35">
        <v>3.9</v>
      </c>
      <c r="G95" s="35">
        <v>3.9</v>
      </c>
      <c r="H95" s="35">
        <v>3.9</v>
      </c>
      <c r="I95" s="35">
        <v>3.9</v>
      </c>
      <c r="J95" s="35">
        <v>3.9</v>
      </c>
      <c r="K95" s="35">
        <v>3.9</v>
      </c>
      <c r="L95" s="35">
        <v>3.9</v>
      </c>
      <c r="M95" s="35">
        <v>3.9</v>
      </c>
      <c r="N95" s="36">
        <v>5</v>
      </c>
      <c r="O95" s="36">
        <v>5</v>
      </c>
      <c r="P95" s="37"/>
    </row>
    <row r="96" spans="2:16" x14ac:dyDescent="0.25">
      <c r="B96" s="12" t="s">
        <v>63</v>
      </c>
      <c r="C96" s="34"/>
      <c r="D96" s="12" t="s">
        <v>565</v>
      </c>
      <c r="E96" s="35"/>
      <c r="F96" s="38"/>
      <c r="G96" s="38">
        <v>4</v>
      </c>
      <c r="H96" s="38">
        <v>4</v>
      </c>
      <c r="I96" s="38">
        <v>4</v>
      </c>
      <c r="J96" s="38">
        <v>4</v>
      </c>
      <c r="K96" s="38">
        <v>4</v>
      </c>
      <c r="L96" s="38">
        <v>4</v>
      </c>
      <c r="M96" s="38">
        <v>4</v>
      </c>
      <c r="N96" s="39">
        <v>5.5</v>
      </c>
      <c r="O96" s="39">
        <v>5.5</v>
      </c>
      <c r="P96" s="37">
        <v>0.35</v>
      </c>
    </row>
    <row r="97" spans="2:16" x14ac:dyDescent="0.25">
      <c r="B97" s="2" t="s">
        <v>63</v>
      </c>
      <c r="C97" s="34"/>
      <c r="D97" s="2" t="s">
        <v>566</v>
      </c>
      <c r="E97" s="35"/>
      <c r="F97" s="35"/>
      <c r="G97" s="35">
        <v>3.7</v>
      </c>
      <c r="H97" s="35">
        <v>3.7</v>
      </c>
      <c r="I97" s="35">
        <v>3.7</v>
      </c>
      <c r="J97" s="35">
        <v>3.7</v>
      </c>
      <c r="K97" s="35">
        <v>3.7</v>
      </c>
      <c r="L97" s="35">
        <v>3.7</v>
      </c>
      <c r="M97" s="35">
        <v>3.7</v>
      </c>
      <c r="N97" s="36"/>
      <c r="O97" s="36"/>
      <c r="P97" s="37"/>
    </row>
    <row r="98" spans="2:16" x14ac:dyDescent="0.25">
      <c r="B98" s="12" t="s">
        <v>63</v>
      </c>
      <c r="C98" s="34"/>
      <c r="D98" s="2" t="s">
        <v>567</v>
      </c>
      <c r="E98" s="35"/>
      <c r="F98" s="35"/>
      <c r="G98" s="35">
        <v>3.5</v>
      </c>
      <c r="H98" s="35">
        <v>3.5</v>
      </c>
      <c r="I98" s="35">
        <v>3.5</v>
      </c>
      <c r="J98" s="35">
        <v>3.5</v>
      </c>
      <c r="K98" s="35">
        <v>3.5</v>
      </c>
      <c r="L98" s="35">
        <v>3.5</v>
      </c>
      <c r="M98" s="35">
        <v>3.5</v>
      </c>
      <c r="N98" s="36">
        <v>4.5</v>
      </c>
      <c r="O98" s="36">
        <v>4.5</v>
      </c>
      <c r="P98" s="37">
        <v>0.35</v>
      </c>
    </row>
    <row r="99" spans="2:16" x14ac:dyDescent="0.25">
      <c r="B99" s="12" t="s">
        <v>63</v>
      </c>
      <c r="C99" s="34"/>
      <c r="D99" s="2" t="s">
        <v>568</v>
      </c>
      <c r="E99" s="35"/>
      <c r="F99" s="35"/>
      <c r="G99" s="35">
        <v>3.3</v>
      </c>
      <c r="H99" s="35">
        <v>3.3</v>
      </c>
      <c r="I99" s="35">
        <v>3.3</v>
      </c>
      <c r="J99" s="35">
        <v>3.3</v>
      </c>
      <c r="K99" s="35">
        <v>3.3</v>
      </c>
      <c r="L99" s="35">
        <v>3.3</v>
      </c>
      <c r="M99" s="35">
        <v>3.3</v>
      </c>
      <c r="N99" s="36">
        <v>4</v>
      </c>
      <c r="O99" s="36">
        <v>4</v>
      </c>
      <c r="P99" s="37">
        <v>0.35</v>
      </c>
    </row>
    <row r="100" spans="2:16" x14ac:dyDescent="0.25">
      <c r="B100" s="12" t="s">
        <v>63</v>
      </c>
      <c r="C100" s="34"/>
      <c r="D100" s="2" t="s">
        <v>569</v>
      </c>
      <c r="E100" s="35"/>
      <c r="F100" s="35"/>
      <c r="G100" s="35">
        <v>3.5</v>
      </c>
      <c r="H100" s="35">
        <v>3.5</v>
      </c>
      <c r="I100" s="35">
        <v>3.5</v>
      </c>
      <c r="J100" s="35">
        <v>3.5</v>
      </c>
      <c r="K100" s="35">
        <v>3.5</v>
      </c>
      <c r="L100" s="35">
        <v>3.5</v>
      </c>
      <c r="M100" s="35">
        <v>3.5</v>
      </c>
      <c r="N100" s="36">
        <v>4</v>
      </c>
      <c r="O100" s="36">
        <v>4</v>
      </c>
      <c r="P100" s="37"/>
    </row>
    <row r="101" spans="2:16" x14ac:dyDescent="0.25">
      <c r="B101" s="12" t="s">
        <v>63</v>
      </c>
      <c r="C101" s="34"/>
      <c r="D101" s="2" t="s">
        <v>570</v>
      </c>
      <c r="E101" s="35"/>
      <c r="F101" s="35"/>
      <c r="G101" s="35">
        <v>3.9</v>
      </c>
      <c r="H101" s="35">
        <v>3.9</v>
      </c>
      <c r="I101" s="35">
        <v>3.9</v>
      </c>
      <c r="J101" s="35">
        <v>3.9</v>
      </c>
      <c r="K101" s="35">
        <v>3.9</v>
      </c>
      <c r="L101" s="35">
        <v>3.9</v>
      </c>
      <c r="M101" s="35">
        <v>3.9</v>
      </c>
      <c r="N101" s="36">
        <v>5</v>
      </c>
      <c r="O101" s="36">
        <v>5</v>
      </c>
      <c r="P101" s="37">
        <v>0.5</v>
      </c>
    </row>
    <row r="102" spans="2:16" x14ac:dyDescent="0.25">
      <c r="B102" s="2" t="s">
        <v>63</v>
      </c>
      <c r="C102" s="34"/>
      <c r="D102" s="2" t="s">
        <v>571</v>
      </c>
      <c r="E102" s="35"/>
      <c r="F102" s="35">
        <v>4</v>
      </c>
      <c r="G102" s="35">
        <v>4</v>
      </c>
      <c r="H102" s="35">
        <v>4</v>
      </c>
      <c r="I102" s="35">
        <v>4</v>
      </c>
      <c r="J102" s="35">
        <v>4</v>
      </c>
      <c r="K102" s="35">
        <v>4</v>
      </c>
      <c r="L102" s="35">
        <v>4</v>
      </c>
      <c r="M102" s="35">
        <v>4</v>
      </c>
      <c r="N102" s="36">
        <v>5.5</v>
      </c>
      <c r="O102" s="36">
        <v>5.5</v>
      </c>
      <c r="P102" s="37"/>
    </row>
    <row r="103" spans="2:16" x14ac:dyDescent="0.25">
      <c r="B103" s="2" t="s">
        <v>63</v>
      </c>
      <c r="C103" s="34"/>
      <c r="D103" s="2" t="s">
        <v>572</v>
      </c>
      <c r="E103" s="35"/>
      <c r="F103" s="35">
        <v>3.9</v>
      </c>
      <c r="G103" s="35">
        <v>3.9</v>
      </c>
      <c r="H103" s="35">
        <v>3.9</v>
      </c>
      <c r="I103" s="35">
        <v>3.9</v>
      </c>
      <c r="J103" s="35">
        <v>3.9</v>
      </c>
      <c r="K103" s="35">
        <v>3.9</v>
      </c>
      <c r="L103" s="35">
        <v>3.9</v>
      </c>
      <c r="M103" s="35">
        <v>3.9</v>
      </c>
      <c r="N103" s="36">
        <v>4.5</v>
      </c>
      <c r="O103" s="36">
        <v>4.5</v>
      </c>
      <c r="P103" s="37">
        <v>0.5</v>
      </c>
    </row>
    <row r="104" spans="2:16" x14ac:dyDescent="0.25">
      <c r="B104" s="2" t="s">
        <v>63</v>
      </c>
      <c r="C104" s="34"/>
      <c r="D104" s="2" t="s">
        <v>573</v>
      </c>
      <c r="E104" s="35"/>
      <c r="F104" s="35">
        <v>3.7</v>
      </c>
      <c r="G104" s="35">
        <v>3.7</v>
      </c>
      <c r="H104" s="35">
        <v>3.7</v>
      </c>
      <c r="I104" s="35">
        <v>3.7</v>
      </c>
      <c r="J104" s="35">
        <v>3.7</v>
      </c>
      <c r="K104" s="35">
        <v>3.7</v>
      </c>
      <c r="L104" s="35">
        <v>3.7</v>
      </c>
      <c r="M104" s="35">
        <v>3.7</v>
      </c>
      <c r="N104" s="36"/>
      <c r="O104" s="36"/>
      <c r="P104" s="37">
        <v>0.4</v>
      </c>
    </row>
    <row r="105" spans="2:16" x14ac:dyDescent="0.25">
      <c r="B105" s="2" t="s">
        <v>63</v>
      </c>
      <c r="C105" s="34"/>
      <c r="D105" s="2" t="s">
        <v>574</v>
      </c>
      <c r="E105" s="35"/>
      <c r="F105" s="35"/>
      <c r="G105" s="35">
        <v>3.5</v>
      </c>
      <c r="H105" s="35">
        <v>3.5</v>
      </c>
      <c r="I105" s="35">
        <v>3.5</v>
      </c>
      <c r="J105" s="35">
        <v>3.5</v>
      </c>
      <c r="K105" s="35">
        <v>3.5</v>
      </c>
      <c r="L105" s="35">
        <v>3.5</v>
      </c>
      <c r="M105" s="35">
        <v>3.5</v>
      </c>
      <c r="N105" s="36">
        <v>4.5</v>
      </c>
      <c r="O105" s="36">
        <v>4.5</v>
      </c>
      <c r="P105" s="37"/>
    </row>
    <row r="106" spans="2:16" x14ac:dyDescent="0.25">
      <c r="B106" s="2" t="s">
        <v>63</v>
      </c>
      <c r="C106" s="34"/>
      <c r="D106" s="2" t="s">
        <v>575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6">
        <v>1.6</v>
      </c>
      <c r="O106" s="36">
        <v>1.6</v>
      </c>
      <c r="P106" s="37"/>
    </row>
    <row r="107" spans="2:16" x14ac:dyDescent="0.25">
      <c r="B107" s="2" t="s">
        <v>63</v>
      </c>
      <c r="C107" s="34"/>
      <c r="D107" s="2" t="s">
        <v>576</v>
      </c>
      <c r="E107" s="35">
        <v>3.9</v>
      </c>
      <c r="F107" s="35">
        <v>3.9</v>
      </c>
      <c r="G107" s="35">
        <v>3.9</v>
      </c>
      <c r="H107" s="35">
        <v>3.9</v>
      </c>
      <c r="I107" s="35">
        <v>3.9</v>
      </c>
      <c r="J107" s="35">
        <v>3.9</v>
      </c>
      <c r="K107" s="35">
        <v>3.9</v>
      </c>
      <c r="L107" s="35">
        <v>3.9</v>
      </c>
      <c r="M107" s="35">
        <v>3.9</v>
      </c>
      <c r="N107" s="36">
        <v>5</v>
      </c>
      <c r="O107" s="36">
        <v>5</v>
      </c>
      <c r="P107" s="37">
        <v>0.5</v>
      </c>
    </row>
    <row r="108" spans="2:16" x14ac:dyDescent="0.25">
      <c r="B108" s="2" t="s">
        <v>63</v>
      </c>
      <c r="C108" s="34"/>
      <c r="D108" s="2" t="s">
        <v>577</v>
      </c>
      <c r="E108" s="35">
        <v>1.3</v>
      </c>
      <c r="F108" s="35">
        <v>1.3</v>
      </c>
      <c r="G108" s="35">
        <v>1.3</v>
      </c>
      <c r="H108" s="35">
        <v>1.3</v>
      </c>
      <c r="I108" s="35">
        <v>1.3</v>
      </c>
      <c r="J108" s="35">
        <v>1.3</v>
      </c>
      <c r="K108" s="35">
        <v>1.3</v>
      </c>
      <c r="L108" s="35">
        <v>1.3</v>
      </c>
      <c r="M108" s="35">
        <v>1.3</v>
      </c>
      <c r="N108" s="36">
        <v>5</v>
      </c>
      <c r="O108" s="36">
        <v>5</v>
      </c>
      <c r="P108" s="37"/>
    </row>
    <row r="109" spans="2:16" x14ac:dyDescent="0.25">
      <c r="B109" s="2" t="s">
        <v>63</v>
      </c>
      <c r="C109" s="34"/>
      <c r="D109" s="2" t="s">
        <v>578</v>
      </c>
      <c r="E109" s="35"/>
      <c r="F109" s="38"/>
      <c r="G109" s="38">
        <v>3.7</v>
      </c>
      <c r="H109" s="38">
        <v>3.7</v>
      </c>
      <c r="I109" s="38">
        <v>3.7</v>
      </c>
      <c r="J109" s="38">
        <v>3.7</v>
      </c>
      <c r="K109" s="38">
        <v>3.7</v>
      </c>
      <c r="L109" s="38">
        <v>3.7</v>
      </c>
      <c r="M109" s="38">
        <v>3.7</v>
      </c>
      <c r="N109" s="36">
        <v>5</v>
      </c>
      <c r="O109" s="36">
        <v>5</v>
      </c>
      <c r="P109" s="37">
        <v>0.5</v>
      </c>
    </row>
    <row r="110" spans="2:16" x14ac:dyDescent="0.25">
      <c r="B110" s="2" t="s">
        <v>63</v>
      </c>
      <c r="C110" s="34"/>
      <c r="D110" s="2" t="s">
        <v>579</v>
      </c>
      <c r="E110" s="35"/>
      <c r="F110" s="38"/>
      <c r="G110" s="38">
        <v>3.7</v>
      </c>
      <c r="H110" s="38">
        <v>3.7</v>
      </c>
      <c r="I110" s="38">
        <v>3.7</v>
      </c>
      <c r="J110" s="38">
        <v>3.7</v>
      </c>
      <c r="K110" s="38">
        <v>3.7</v>
      </c>
      <c r="L110" s="38">
        <v>3.7</v>
      </c>
      <c r="M110" s="38">
        <v>3.7</v>
      </c>
      <c r="N110" s="36">
        <v>5</v>
      </c>
      <c r="O110" s="36">
        <v>5</v>
      </c>
      <c r="P110" s="37">
        <v>0.5</v>
      </c>
    </row>
    <row r="111" spans="2:16" x14ac:dyDescent="0.25">
      <c r="B111" s="2" t="s">
        <v>63</v>
      </c>
      <c r="C111" s="34"/>
      <c r="D111" s="2" t="s">
        <v>580</v>
      </c>
      <c r="E111" s="35"/>
      <c r="F111" s="35">
        <v>3.5</v>
      </c>
      <c r="G111" s="35">
        <v>3.5</v>
      </c>
      <c r="H111" s="35">
        <v>3.5</v>
      </c>
      <c r="I111" s="35">
        <v>3.5</v>
      </c>
      <c r="J111" s="35">
        <v>3.5</v>
      </c>
      <c r="K111" s="35">
        <v>3.5</v>
      </c>
      <c r="L111" s="35">
        <v>3.5</v>
      </c>
      <c r="M111" s="35">
        <v>3.5</v>
      </c>
      <c r="N111" s="36"/>
      <c r="O111" s="36"/>
      <c r="P111" s="37"/>
    </row>
    <row r="112" spans="2:16" x14ac:dyDescent="0.25">
      <c r="B112" s="2" t="s">
        <v>63</v>
      </c>
      <c r="C112" s="34"/>
      <c r="D112" s="2" t="s">
        <v>581</v>
      </c>
      <c r="E112" s="35"/>
      <c r="F112" s="35">
        <v>3.5</v>
      </c>
      <c r="G112" s="35">
        <v>3.5</v>
      </c>
      <c r="H112" s="35">
        <v>3.5</v>
      </c>
      <c r="I112" s="35">
        <v>3.5</v>
      </c>
      <c r="J112" s="35">
        <v>3.5</v>
      </c>
      <c r="K112" s="35">
        <v>3.5</v>
      </c>
      <c r="L112" s="35">
        <v>3.5</v>
      </c>
      <c r="M112" s="35">
        <v>3.5</v>
      </c>
      <c r="N112" s="36"/>
      <c r="O112" s="36"/>
      <c r="P112" s="37"/>
    </row>
    <row r="113" spans="2:16" x14ac:dyDescent="0.25">
      <c r="B113" s="2" t="s">
        <v>63</v>
      </c>
      <c r="C113" s="34"/>
      <c r="D113" s="2" t="s">
        <v>582</v>
      </c>
      <c r="E113" s="35"/>
      <c r="F113" s="35">
        <v>3.5</v>
      </c>
      <c r="G113" s="35">
        <v>3.5</v>
      </c>
      <c r="H113" s="35">
        <v>3.5</v>
      </c>
      <c r="I113" s="35">
        <v>3.5</v>
      </c>
      <c r="J113" s="35">
        <v>3.5</v>
      </c>
      <c r="K113" s="35">
        <v>3.5</v>
      </c>
      <c r="L113" s="35">
        <v>3.5</v>
      </c>
      <c r="M113" s="35">
        <v>3.5</v>
      </c>
      <c r="N113" s="36"/>
      <c r="O113" s="36"/>
      <c r="P113" s="37"/>
    </row>
    <row r="114" spans="2:16" x14ac:dyDescent="0.25">
      <c r="B114" s="2" t="s">
        <v>63</v>
      </c>
      <c r="C114" s="34"/>
      <c r="D114" s="2" t="s">
        <v>583</v>
      </c>
      <c r="E114" s="35"/>
      <c r="F114" s="35">
        <v>3.5</v>
      </c>
      <c r="G114" s="35">
        <v>3.5</v>
      </c>
      <c r="H114" s="35">
        <v>3.5</v>
      </c>
      <c r="I114" s="35">
        <v>3.5</v>
      </c>
      <c r="J114" s="35">
        <v>3.5</v>
      </c>
      <c r="K114" s="35">
        <v>3.5</v>
      </c>
      <c r="L114" s="35">
        <v>3.5</v>
      </c>
      <c r="M114" s="35">
        <v>3.5</v>
      </c>
      <c r="N114" s="36"/>
      <c r="O114" s="36"/>
      <c r="P114" s="37"/>
    </row>
    <row r="115" spans="2:16" x14ac:dyDescent="0.25">
      <c r="B115" s="2" t="s">
        <v>63</v>
      </c>
      <c r="C115" s="34"/>
      <c r="D115" s="2" t="s">
        <v>584</v>
      </c>
      <c r="E115" s="35"/>
      <c r="F115" s="35">
        <v>3.5</v>
      </c>
      <c r="G115" s="35">
        <v>3.5</v>
      </c>
      <c r="H115" s="35">
        <v>3.5</v>
      </c>
      <c r="I115" s="35">
        <v>3.5</v>
      </c>
      <c r="J115" s="35">
        <v>3.5</v>
      </c>
      <c r="K115" s="35">
        <v>3.5</v>
      </c>
      <c r="L115" s="35">
        <v>3.5</v>
      </c>
      <c r="M115" s="35">
        <v>3.5</v>
      </c>
      <c r="N115" s="36"/>
      <c r="O115" s="36"/>
      <c r="P115" s="37"/>
    </row>
    <row r="116" spans="2:16" x14ac:dyDescent="0.25">
      <c r="B116" s="12" t="s">
        <v>585</v>
      </c>
      <c r="C116" s="34"/>
      <c r="D116" s="12" t="s">
        <v>586</v>
      </c>
      <c r="E116" s="35"/>
      <c r="F116" s="38"/>
      <c r="G116" s="38">
        <v>3.9</v>
      </c>
      <c r="H116" s="38">
        <v>3.9</v>
      </c>
      <c r="I116" s="38">
        <v>3.9</v>
      </c>
      <c r="J116" s="38">
        <v>3.9</v>
      </c>
      <c r="K116" s="38">
        <v>3.9</v>
      </c>
      <c r="L116" s="38">
        <v>3.9</v>
      </c>
      <c r="M116" s="38">
        <v>3.9</v>
      </c>
      <c r="N116" s="39"/>
      <c r="O116" s="39"/>
      <c r="P116" s="37"/>
    </row>
    <row r="117" spans="2:16" x14ac:dyDescent="0.25">
      <c r="B117" s="12" t="s">
        <v>587</v>
      </c>
      <c r="C117" s="34"/>
      <c r="D117" s="12" t="s">
        <v>588</v>
      </c>
      <c r="E117" s="43">
        <v>4.9000000000000004</v>
      </c>
      <c r="F117" s="43">
        <v>4.9000000000000004</v>
      </c>
      <c r="G117" s="43">
        <v>4.9000000000000004</v>
      </c>
      <c r="H117" s="43">
        <v>4.9000000000000004</v>
      </c>
      <c r="I117" s="43">
        <v>4.9000000000000004</v>
      </c>
      <c r="J117" s="43">
        <v>4.9000000000000004</v>
      </c>
      <c r="K117" s="43">
        <v>4.9000000000000004</v>
      </c>
      <c r="L117" s="43">
        <v>4.9000000000000004</v>
      </c>
      <c r="M117" s="43">
        <v>4.9000000000000004</v>
      </c>
      <c r="N117" s="44">
        <v>7</v>
      </c>
      <c r="O117" s="44">
        <v>7</v>
      </c>
      <c r="P117" s="37"/>
    </row>
    <row r="118" spans="2:16" x14ac:dyDescent="0.25">
      <c r="B118" s="2" t="s">
        <v>587</v>
      </c>
      <c r="C118" s="34"/>
      <c r="D118" s="2" t="s">
        <v>589</v>
      </c>
      <c r="E118" s="35"/>
      <c r="F118" s="38"/>
      <c r="G118" s="38">
        <v>5.2</v>
      </c>
      <c r="H118" s="38">
        <v>5.2</v>
      </c>
      <c r="I118" s="38">
        <v>5.2</v>
      </c>
      <c r="J118" s="38">
        <v>5.2</v>
      </c>
      <c r="K118" s="38">
        <v>5.2</v>
      </c>
      <c r="L118" s="38">
        <v>5.2</v>
      </c>
      <c r="M118" s="38">
        <v>5.2</v>
      </c>
      <c r="N118" s="39"/>
      <c r="O118" s="39"/>
      <c r="P118" s="37"/>
    </row>
    <row r="119" spans="2:16" x14ac:dyDescent="0.25">
      <c r="B119" s="12" t="s">
        <v>587</v>
      </c>
      <c r="C119" s="34"/>
      <c r="D119" s="2" t="s">
        <v>590</v>
      </c>
      <c r="E119" s="35"/>
      <c r="F119" s="35"/>
      <c r="G119" s="35">
        <v>4.8</v>
      </c>
      <c r="H119" s="35">
        <v>4.8</v>
      </c>
      <c r="I119" s="35">
        <v>4.8</v>
      </c>
      <c r="J119" s="35">
        <v>4.8</v>
      </c>
      <c r="K119" s="35">
        <v>4.8</v>
      </c>
      <c r="L119" s="35">
        <v>4.8</v>
      </c>
      <c r="M119" s="35">
        <v>4.8</v>
      </c>
      <c r="N119" s="36"/>
      <c r="O119" s="36"/>
      <c r="P119" s="37"/>
    </row>
    <row r="120" spans="2:16" x14ac:dyDescent="0.25">
      <c r="B120" s="12" t="s">
        <v>587</v>
      </c>
      <c r="C120" s="34"/>
      <c r="D120" s="2" t="s">
        <v>591</v>
      </c>
      <c r="E120" s="35"/>
      <c r="F120" s="35"/>
      <c r="G120" s="35">
        <v>5.2</v>
      </c>
      <c r="H120" s="35">
        <v>5.2</v>
      </c>
      <c r="I120" s="35">
        <v>5.2</v>
      </c>
      <c r="J120" s="35">
        <v>5.2</v>
      </c>
      <c r="K120" s="35">
        <v>5.2</v>
      </c>
      <c r="L120" s="35">
        <v>5.2</v>
      </c>
      <c r="M120" s="35">
        <v>5.2</v>
      </c>
      <c r="N120" s="36"/>
      <c r="O120" s="36"/>
      <c r="P120" s="37"/>
    </row>
    <row r="121" spans="2:16" x14ac:dyDescent="0.25">
      <c r="B121" s="12" t="s">
        <v>587</v>
      </c>
      <c r="C121" s="34"/>
      <c r="D121" s="2" t="s">
        <v>592</v>
      </c>
      <c r="E121" s="35"/>
      <c r="F121" s="38"/>
      <c r="G121" s="38">
        <v>5.2</v>
      </c>
      <c r="H121" s="38">
        <v>5.2</v>
      </c>
      <c r="I121" s="38">
        <v>5.2</v>
      </c>
      <c r="J121" s="38">
        <v>5.2</v>
      </c>
      <c r="K121" s="38">
        <v>5.2</v>
      </c>
      <c r="L121" s="38">
        <v>5.2</v>
      </c>
      <c r="M121" s="38">
        <v>5.2</v>
      </c>
      <c r="N121" s="39"/>
      <c r="O121" s="39"/>
      <c r="P121" s="37"/>
    </row>
    <row r="122" spans="2:16" x14ac:dyDescent="0.25">
      <c r="B122" s="12" t="s">
        <v>593</v>
      </c>
      <c r="C122" s="34"/>
      <c r="D122" s="12" t="s">
        <v>594</v>
      </c>
      <c r="E122" s="35"/>
      <c r="F122" s="35"/>
      <c r="G122" s="35">
        <v>4.2</v>
      </c>
      <c r="H122" s="35">
        <v>4.2</v>
      </c>
      <c r="I122" s="35">
        <v>4.2</v>
      </c>
      <c r="J122" s="35">
        <v>4.2</v>
      </c>
      <c r="K122" s="35">
        <v>4.2</v>
      </c>
      <c r="L122" s="35">
        <v>4.2</v>
      </c>
      <c r="M122" s="35">
        <v>4.2</v>
      </c>
      <c r="N122" s="36">
        <v>7</v>
      </c>
      <c r="O122" s="36">
        <v>7</v>
      </c>
      <c r="P122" s="37"/>
    </row>
    <row r="123" spans="2:16" x14ac:dyDescent="0.25">
      <c r="B123" s="12" t="s">
        <v>593</v>
      </c>
      <c r="C123" s="34"/>
      <c r="D123" s="12" t="s">
        <v>595</v>
      </c>
      <c r="E123" s="43"/>
      <c r="F123" s="43"/>
      <c r="G123" s="35">
        <v>4.2</v>
      </c>
      <c r="H123" s="35">
        <v>4.2</v>
      </c>
      <c r="I123" s="35">
        <v>4.2</v>
      </c>
      <c r="J123" s="35">
        <v>4.2</v>
      </c>
      <c r="K123" s="35">
        <v>4.2</v>
      </c>
      <c r="L123" s="35">
        <v>4.2</v>
      </c>
      <c r="M123" s="35">
        <v>4.2</v>
      </c>
      <c r="N123" s="36">
        <v>7</v>
      </c>
      <c r="O123" s="36">
        <v>7</v>
      </c>
      <c r="P123" s="37"/>
    </row>
    <row r="124" spans="2:16" x14ac:dyDescent="0.25">
      <c r="B124" s="12" t="s">
        <v>593</v>
      </c>
      <c r="C124" s="34"/>
      <c r="D124" s="12" t="s">
        <v>596</v>
      </c>
      <c r="E124" s="35"/>
      <c r="F124" s="35"/>
      <c r="G124" s="35">
        <v>4</v>
      </c>
      <c r="H124" s="35">
        <v>4</v>
      </c>
      <c r="I124" s="35">
        <v>4</v>
      </c>
      <c r="J124" s="35">
        <v>4</v>
      </c>
      <c r="K124" s="35">
        <v>4</v>
      </c>
      <c r="L124" s="35">
        <v>4</v>
      </c>
      <c r="M124" s="35">
        <v>4</v>
      </c>
      <c r="N124" s="36">
        <v>7</v>
      </c>
      <c r="O124" s="36">
        <v>7</v>
      </c>
      <c r="P124" s="37"/>
    </row>
    <row r="125" spans="2:16" x14ac:dyDescent="0.25">
      <c r="B125" s="12" t="s">
        <v>593</v>
      </c>
      <c r="C125" s="34"/>
      <c r="D125" s="12" t="s">
        <v>597</v>
      </c>
      <c r="E125" s="35"/>
      <c r="F125" s="35"/>
      <c r="G125" s="35">
        <v>4</v>
      </c>
      <c r="H125" s="35">
        <v>4</v>
      </c>
      <c r="I125" s="35">
        <v>4</v>
      </c>
      <c r="J125" s="35">
        <v>4</v>
      </c>
      <c r="K125" s="35">
        <v>4</v>
      </c>
      <c r="L125" s="35">
        <v>4</v>
      </c>
      <c r="M125" s="35">
        <v>4</v>
      </c>
      <c r="N125" s="36">
        <v>7</v>
      </c>
      <c r="O125" s="36">
        <v>7</v>
      </c>
      <c r="P125" s="37"/>
    </row>
    <row r="126" spans="2:16" x14ac:dyDescent="0.25">
      <c r="B126" s="12" t="s">
        <v>593</v>
      </c>
      <c r="C126" s="34"/>
      <c r="D126" s="12" t="s">
        <v>598</v>
      </c>
      <c r="E126" s="35"/>
      <c r="F126" s="35"/>
      <c r="G126" s="35">
        <v>4</v>
      </c>
      <c r="H126" s="35">
        <v>4</v>
      </c>
      <c r="I126" s="35">
        <v>4</v>
      </c>
      <c r="J126" s="35">
        <v>4</v>
      </c>
      <c r="K126" s="35">
        <v>4</v>
      </c>
      <c r="L126" s="35">
        <v>4</v>
      </c>
      <c r="M126" s="35">
        <v>4</v>
      </c>
      <c r="N126" s="36"/>
      <c r="O126" s="36"/>
      <c r="P126" s="37"/>
    </row>
    <row r="127" spans="2:16" x14ac:dyDescent="0.25">
      <c r="B127" s="12" t="s">
        <v>593</v>
      </c>
      <c r="C127" s="34"/>
      <c r="D127" s="12" t="s">
        <v>599</v>
      </c>
      <c r="E127" s="35"/>
      <c r="F127" s="35"/>
      <c r="G127" s="35">
        <v>3.7</v>
      </c>
      <c r="H127" s="35">
        <v>3.7</v>
      </c>
      <c r="I127" s="35">
        <v>3.7</v>
      </c>
      <c r="J127" s="35">
        <v>3.7</v>
      </c>
      <c r="K127" s="35">
        <v>3.7</v>
      </c>
      <c r="L127" s="35">
        <v>3.7</v>
      </c>
      <c r="M127" s="35">
        <v>3.7</v>
      </c>
      <c r="N127" s="36"/>
      <c r="O127" s="36"/>
      <c r="P127" s="37"/>
    </row>
    <row r="128" spans="2:16" x14ac:dyDescent="0.25">
      <c r="B128" s="12" t="s">
        <v>600</v>
      </c>
      <c r="C128" s="34"/>
      <c r="D128" s="12" t="s">
        <v>601</v>
      </c>
      <c r="E128" s="43">
        <v>3.7</v>
      </c>
      <c r="F128" s="43">
        <v>3.7</v>
      </c>
      <c r="G128" s="43">
        <v>3.7</v>
      </c>
      <c r="H128" s="43">
        <v>3.7</v>
      </c>
      <c r="I128" s="43">
        <v>3.7</v>
      </c>
      <c r="J128" s="43">
        <v>3.7</v>
      </c>
      <c r="K128" s="43">
        <v>3.7</v>
      </c>
      <c r="L128" s="43">
        <v>3.7</v>
      </c>
      <c r="M128" s="43">
        <v>3.7</v>
      </c>
      <c r="N128" s="44">
        <v>4.7</v>
      </c>
      <c r="O128" s="44">
        <v>4.7</v>
      </c>
      <c r="P128" s="37"/>
    </row>
    <row r="129" spans="2:16" x14ac:dyDescent="0.25">
      <c r="B129" s="12" t="s">
        <v>600</v>
      </c>
      <c r="C129" s="34"/>
      <c r="D129" s="12" t="s">
        <v>602</v>
      </c>
      <c r="E129" s="43">
        <v>4.5</v>
      </c>
      <c r="F129" s="43">
        <v>4.5</v>
      </c>
      <c r="G129" s="43">
        <v>4.5</v>
      </c>
      <c r="H129" s="43">
        <v>4.5</v>
      </c>
      <c r="I129" s="43">
        <v>4.5</v>
      </c>
      <c r="J129" s="43">
        <v>4.5</v>
      </c>
      <c r="K129" s="43">
        <v>4.5</v>
      </c>
      <c r="L129" s="43">
        <v>5</v>
      </c>
      <c r="M129" s="43">
        <v>6</v>
      </c>
      <c r="N129" s="44">
        <v>6</v>
      </c>
      <c r="O129" s="44">
        <v>6</v>
      </c>
      <c r="P129" s="37"/>
    </row>
    <row r="130" spans="2:16" x14ac:dyDescent="0.25">
      <c r="B130" s="12" t="s">
        <v>600</v>
      </c>
      <c r="C130" s="34"/>
      <c r="D130" s="2" t="s">
        <v>603</v>
      </c>
      <c r="E130" s="35">
        <v>7</v>
      </c>
      <c r="F130" s="35">
        <v>7</v>
      </c>
      <c r="G130" s="35">
        <v>7</v>
      </c>
      <c r="H130" s="35">
        <v>7</v>
      </c>
      <c r="I130" s="35">
        <v>7</v>
      </c>
      <c r="J130" s="35">
        <v>7</v>
      </c>
      <c r="K130" s="35">
        <v>7</v>
      </c>
      <c r="L130" s="35">
        <v>8</v>
      </c>
      <c r="M130" s="35">
        <v>9</v>
      </c>
      <c r="N130" s="36">
        <v>9</v>
      </c>
      <c r="O130" s="36">
        <v>9</v>
      </c>
      <c r="P130" s="37"/>
    </row>
    <row r="131" spans="2:16" x14ac:dyDescent="0.25">
      <c r="B131" s="2" t="s">
        <v>600</v>
      </c>
      <c r="C131" s="34"/>
      <c r="D131" s="2" t="s">
        <v>604</v>
      </c>
      <c r="E131" s="35"/>
      <c r="F131" s="35"/>
      <c r="G131" s="35">
        <v>1.1000000000000001</v>
      </c>
      <c r="H131" s="35">
        <v>1.1000000000000001</v>
      </c>
      <c r="I131" s="35">
        <v>1.1000000000000001</v>
      </c>
      <c r="J131" s="35">
        <v>1.1000000000000001</v>
      </c>
      <c r="K131" s="35">
        <v>1.1000000000000001</v>
      </c>
      <c r="L131" s="35">
        <v>1.1000000000000001</v>
      </c>
      <c r="M131" s="35">
        <v>1.1000000000000001</v>
      </c>
      <c r="N131" s="36">
        <v>1.3</v>
      </c>
      <c r="O131" s="36">
        <v>1.3</v>
      </c>
      <c r="P131" s="37"/>
    </row>
    <row r="132" spans="2:16" x14ac:dyDescent="0.25">
      <c r="B132" s="2" t="s">
        <v>600</v>
      </c>
      <c r="C132" s="34"/>
      <c r="D132" s="2" t="s">
        <v>605</v>
      </c>
      <c r="E132" s="35"/>
      <c r="F132" s="38"/>
      <c r="G132" s="38"/>
      <c r="H132" s="38"/>
      <c r="I132" s="38"/>
      <c r="J132" s="38"/>
      <c r="K132" s="38"/>
      <c r="L132" s="38"/>
      <c r="M132" s="38"/>
      <c r="N132" s="39"/>
      <c r="O132" s="39"/>
      <c r="P132" s="37"/>
    </row>
    <row r="133" spans="2:16" x14ac:dyDescent="0.25">
      <c r="B133" s="2" t="s">
        <v>555</v>
      </c>
      <c r="C133" s="34"/>
      <c r="D133" s="2" t="s">
        <v>606</v>
      </c>
      <c r="E133" s="35"/>
      <c r="F133" s="35">
        <v>3.7</v>
      </c>
      <c r="G133" s="35">
        <v>3.7</v>
      </c>
      <c r="H133" s="35">
        <v>3.7</v>
      </c>
      <c r="I133" s="35">
        <v>3.7</v>
      </c>
      <c r="J133" s="35">
        <v>3.7</v>
      </c>
      <c r="K133" s="35">
        <v>3.7</v>
      </c>
      <c r="L133" s="35">
        <v>3.7</v>
      </c>
      <c r="M133" s="35">
        <v>3.7</v>
      </c>
      <c r="N133" s="36">
        <v>4.5</v>
      </c>
      <c r="O133" s="36">
        <v>4.5</v>
      </c>
      <c r="P133" s="37"/>
    </row>
    <row r="134" spans="2:16" x14ac:dyDescent="0.25">
      <c r="B134" s="2" t="s">
        <v>558</v>
      </c>
      <c r="C134" s="34"/>
      <c r="D134" s="2" t="s">
        <v>607</v>
      </c>
      <c r="E134" s="35"/>
      <c r="F134" s="35">
        <v>7</v>
      </c>
      <c r="G134" s="35">
        <v>7</v>
      </c>
      <c r="H134" s="35">
        <v>7</v>
      </c>
      <c r="I134" s="35">
        <v>7</v>
      </c>
      <c r="J134" s="35">
        <v>7</v>
      </c>
      <c r="K134" s="35">
        <v>7</v>
      </c>
      <c r="L134" s="35">
        <v>7</v>
      </c>
      <c r="M134" s="35">
        <v>7</v>
      </c>
      <c r="N134" s="36">
        <v>9</v>
      </c>
      <c r="O134" s="36">
        <v>9</v>
      </c>
      <c r="P134" s="37"/>
    </row>
    <row r="135" spans="2:16" x14ac:dyDescent="0.25">
      <c r="B135" s="2" t="s">
        <v>555</v>
      </c>
      <c r="C135" s="34"/>
      <c r="D135" s="2" t="s">
        <v>608</v>
      </c>
      <c r="E135" s="35"/>
      <c r="F135" s="35">
        <v>3.5</v>
      </c>
      <c r="G135" s="35">
        <v>3.5</v>
      </c>
      <c r="H135" s="35">
        <v>3.5</v>
      </c>
      <c r="I135" s="35">
        <v>3.5</v>
      </c>
      <c r="J135" s="35">
        <v>3.5</v>
      </c>
      <c r="K135" s="35">
        <v>3.5</v>
      </c>
      <c r="L135" s="35">
        <v>3.5</v>
      </c>
      <c r="M135" s="35">
        <v>3.5</v>
      </c>
      <c r="N135" s="36"/>
      <c r="O135" s="36"/>
      <c r="P135" s="37"/>
    </row>
    <row r="136" spans="2:16" x14ac:dyDescent="0.25">
      <c r="B136" s="2" t="s">
        <v>555</v>
      </c>
      <c r="C136" s="34"/>
      <c r="D136" s="2" t="s">
        <v>609</v>
      </c>
      <c r="E136" s="35"/>
      <c r="F136" s="35">
        <v>3.7</v>
      </c>
      <c r="G136" s="35">
        <v>3.7</v>
      </c>
      <c r="H136" s="35">
        <v>3.7</v>
      </c>
      <c r="I136" s="35">
        <v>3.7</v>
      </c>
      <c r="J136" s="35">
        <v>3.7</v>
      </c>
      <c r="K136" s="35">
        <v>3.7</v>
      </c>
      <c r="L136" s="35">
        <v>3.7</v>
      </c>
      <c r="M136" s="35">
        <v>3.7</v>
      </c>
      <c r="N136" s="36"/>
      <c r="O136" s="36"/>
      <c r="P136" s="37"/>
    </row>
    <row r="137" spans="2:16" x14ac:dyDescent="0.25">
      <c r="B137" s="2" t="s">
        <v>521</v>
      </c>
      <c r="C137" s="34"/>
      <c r="D137" s="2" t="s">
        <v>610</v>
      </c>
      <c r="E137" s="35"/>
      <c r="F137" s="35">
        <v>3.5</v>
      </c>
      <c r="G137" s="35">
        <v>3.5</v>
      </c>
      <c r="H137" s="35">
        <v>3.5</v>
      </c>
      <c r="I137" s="35">
        <v>3.5</v>
      </c>
      <c r="J137" s="35">
        <v>3.5</v>
      </c>
      <c r="K137" s="35">
        <v>3.5</v>
      </c>
      <c r="L137" s="35">
        <v>3.5</v>
      </c>
      <c r="M137" s="35">
        <v>3.5</v>
      </c>
      <c r="N137" s="36">
        <v>4.5</v>
      </c>
      <c r="O137" s="36">
        <v>4.5</v>
      </c>
      <c r="P137" s="37"/>
    </row>
  </sheetData>
  <mergeCells count="1">
    <mergeCell ref="E2:O2"/>
  </mergeCells>
  <dataValidations count="1">
    <dataValidation type="list" allowBlank="1" showInputMessage="1" showErrorMessage="1" sqref="C19:C20 C24 C4:C17 B4:B137" xr:uid="{79C63461-BF20-4F41-823F-A45E52AA465C}">
      <formula1>INDIRECT("T_CATEGORIA[CATEGORIA]")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RECETAS</vt:lpstr>
      <vt:lpstr>MATERIALES</vt:lpstr>
      <vt:lpstr>CODIGO MAT</vt:lpstr>
      <vt:lpstr>COSTOS DE CONFECCION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JAVIER MAURICIO AZAñA</cp:lastModifiedBy>
  <dcterms:created xsi:type="dcterms:W3CDTF">2015-06-05T18:19:34Z</dcterms:created>
  <dcterms:modified xsi:type="dcterms:W3CDTF">2026-02-21T00:39:07Z</dcterms:modified>
</cp:coreProperties>
</file>